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ndre Chadu\Desktop\Gabaritos Anpec\Provas antigas\"/>
    </mc:Choice>
  </mc:AlternateContent>
  <xr:revisionPtr revIDLastSave="0" documentId="13_ncr:1_{BE3BFF4F-BE93-41A6-BDEA-69283E9804BD}" xr6:coauthVersionLast="47" xr6:coauthVersionMax="47" xr10:uidLastSave="{00000000-0000-0000-0000-000000000000}"/>
  <bookViews>
    <workbookView xWindow="-120" yWindow="-120" windowWidth="29040" windowHeight="15840" activeTab="2" xr2:uid="{00000000-000D-0000-FFFF-FFFF00000000}"/>
  </bookViews>
  <sheets>
    <sheet name="Tópicos" sheetId="1" r:id="rId1"/>
    <sheet name="Matriz" sheetId="2" r:id="rId2"/>
    <sheet name="Dashboard" sheetId="3" r:id="rId3"/>
    <sheet name="Base_Itens" sheetId="4" r:id="rId4"/>
    <sheet name="Metodologia" sheetId="5" r:id="rId5"/>
    <sheet name="Validação" sheetId="6" r:id="rId6"/>
  </sheets>
  <definedNames>
    <definedName name="_xlnm.Print_Area" localSheetId="5">Validação!$A$1:$I$23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075" i="6" l="1"/>
  <c r="K1074" i="6"/>
  <c r="K1073" i="6"/>
  <c r="K1072" i="6"/>
  <c r="K1071" i="6"/>
  <c r="K1070" i="6"/>
  <c r="K1069" i="6"/>
  <c r="K1068" i="6"/>
  <c r="K1067" i="6"/>
  <c r="K1066" i="6"/>
  <c r="K1065" i="6"/>
  <c r="K1064" i="6"/>
  <c r="K1063" i="6"/>
  <c r="K1062" i="6"/>
  <c r="K1061" i="6"/>
  <c r="K1060" i="6"/>
  <c r="K1059" i="6"/>
  <c r="K1058" i="6"/>
  <c r="K1057" i="6"/>
  <c r="K1056" i="6"/>
  <c r="K1055" i="6"/>
  <c r="K1054" i="6"/>
  <c r="K1053" i="6"/>
  <c r="K1052" i="6"/>
  <c r="K1051" i="6"/>
  <c r="K1050" i="6"/>
  <c r="K1049" i="6"/>
  <c r="K1048" i="6"/>
  <c r="K1047" i="6"/>
  <c r="K1046" i="6"/>
  <c r="K1045" i="6"/>
  <c r="K1044" i="6"/>
  <c r="K1043" i="6"/>
  <c r="K1042" i="6"/>
  <c r="K1041" i="6"/>
  <c r="K1040" i="6"/>
  <c r="K1039" i="6"/>
  <c r="K1038" i="6"/>
  <c r="K1037" i="6"/>
  <c r="K1036" i="6"/>
  <c r="K1035" i="6"/>
  <c r="K1034" i="6"/>
  <c r="K1033" i="6"/>
  <c r="K1032" i="6"/>
  <c r="K1031" i="6"/>
  <c r="K1030" i="6"/>
  <c r="K1029" i="6"/>
  <c r="K1028" i="6"/>
  <c r="K1027" i="6"/>
  <c r="K1026" i="6"/>
  <c r="K1025" i="6"/>
  <c r="K1024" i="6"/>
  <c r="K1023" i="6"/>
  <c r="K1022" i="6"/>
  <c r="K1021" i="6"/>
  <c r="K1020" i="6"/>
  <c r="K1019" i="6"/>
  <c r="K1018" i="6"/>
  <c r="K1017" i="6"/>
  <c r="K1016" i="6"/>
  <c r="K1015" i="6"/>
  <c r="K1014" i="6"/>
  <c r="K1013" i="6"/>
  <c r="K1012" i="6"/>
  <c r="K1011" i="6"/>
  <c r="K1010" i="6"/>
  <c r="K1009" i="6"/>
  <c r="K1008" i="6"/>
  <c r="K1007" i="6"/>
  <c r="K1006" i="6"/>
  <c r="K1005" i="6"/>
  <c r="K1004" i="6"/>
  <c r="K1003" i="6"/>
  <c r="K1002" i="6"/>
  <c r="K1001" i="6"/>
  <c r="K1000" i="6"/>
  <c r="K999" i="6"/>
  <c r="K998" i="6"/>
  <c r="K997" i="6"/>
  <c r="K996" i="6"/>
  <c r="K995" i="6"/>
  <c r="K994" i="6"/>
  <c r="K993" i="6"/>
  <c r="K992" i="6"/>
  <c r="K991" i="6"/>
  <c r="K990" i="6"/>
  <c r="K989" i="6"/>
  <c r="K988" i="6"/>
  <c r="K987" i="6"/>
  <c r="K986" i="6"/>
  <c r="K985" i="6"/>
  <c r="K984" i="6"/>
  <c r="K983" i="6"/>
  <c r="K982" i="6"/>
  <c r="K981" i="6"/>
  <c r="K980" i="6"/>
  <c r="K979" i="6"/>
  <c r="K978" i="6"/>
  <c r="K977" i="6"/>
  <c r="K976" i="6"/>
  <c r="K975" i="6"/>
  <c r="K974" i="6"/>
  <c r="K973" i="6"/>
  <c r="K972" i="6"/>
  <c r="K971" i="6"/>
  <c r="K970" i="6"/>
  <c r="K969" i="6"/>
  <c r="K968" i="6"/>
  <c r="K967" i="6"/>
  <c r="K966" i="6"/>
  <c r="K965" i="6"/>
  <c r="K964" i="6"/>
  <c r="K963" i="6"/>
  <c r="K962" i="6"/>
  <c r="K961" i="6"/>
  <c r="K960" i="6"/>
  <c r="K959" i="6"/>
  <c r="K958" i="6"/>
  <c r="K957" i="6"/>
  <c r="K956" i="6"/>
  <c r="K955" i="6"/>
  <c r="K954" i="6"/>
  <c r="K953" i="6"/>
  <c r="K952" i="6"/>
  <c r="K951" i="6"/>
  <c r="K950" i="6"/>
  <c r="K949" i="6"/>
  <c r="K948" i="6"/>
  <c r="K947" i="6"/>
  <c r="K946" i="6"/>
  <c r="K945" i="6"/>
  <c r="K944" i="6"/>
  <c r="K943" i="6"/>
  <c r="K942" i="6"/>
  <c r="K941" i="6"/>
  <c r="K940" i="6"/>
  <c r="K939" i="6"/>
  <c r="K938" i="6"/>
  <c r="K937" i="6"/>
  <c r="K936" i="6"/>
  <c r="K935" i="6"/>
  <c r="K934" i="6"/>
  <c r="K933" i="6"/>
  <c r="K932" i="6"/>
  <c r="K931" i="6"/>
  <c r="K930" i="6"/>
  <c r="K929" i="6"/>
  <c r="K928" i="6"/>
  <c r="K927" i="6"/>
  <c r="K926" i="6"/>
  <c r="K925" i="6"/>
  <c r="K924" i="6"/>
  <c r="K923" i="6"/>
  <c r="K922" i="6"/>
  <c r="K921" i="6"/>
  <c r="K920" i="6"/>
  <c r="K919" i="6"/>
  <c r="K918" i="6"/>
  <c r="K917" i="6"/>
  <c r="K916" i="6"/>
  <c r="K915" i="6"/>
  <c r="K914" i="6"/>
  <c r="K913" i="6"/>
  <c r="K912" i="6"/>
  <c r="K911" i="6"/>
  <c r="K910" i="6"/>
  <c r="K909" i="6"/>
  <c r="K908" i="6"/>
  <c r="K907" i="6"/>
  <c r="K906" i="6"/>
  <c r="K905" i="6"/>
  <c r="K904" i="6"/>
  <c r="K903" i="6"/>
  <c r="K902" i="6"/>
  <c r="K901" i="6"/>
  <c r="K900" i="6"/>
  <c r="K899" i="6"/>
  <c r="K898" i="6"/>
  <c r="K897" i="6"/>
  <c r="K896" i="6"/>
  <c r="K895" i="6"/>
  <c r="K894" i="6"/>
  <c r="K893" i="6"/>
  <c r="K892" i="6"/>
  <c r="K891" i="6"/>
  <c r="K890" i="6"/>
  <c r="K889" i="6"/>
  <c r="K888" i="6"/>
  <c r="K887" i="6"/>
  <c r="K886" i="6"/>
  <c r="K885" i="6"/>
  <c r="K884" i="6"/>
  <c r="K883" i="6"/>
  <c r="K882" i="6"/>
  <c r="K881" i="6"/>
  <c r="K880" i="6"/>
  <c r="K879" i="6"/>
  <c r="K878" i="6"/>
  <c r="K877" i="6"/>
  <c r="K876" i="6"/>
  <c r="K875" i="6"/>
  <c r="K874" i="6"/>
  <c r="K873" i="6"/>
  <c r="K872" i="6"/>
  <c r="K871" i="6"/>
  <c r="K870" i="6"/>
  <c r="K869" i="6"/>
  <c r="K868" i="6"/>
  <c r="K867" i="6"/>
  <c r="K866" i="6"/>
  <c r="K865" i="6"/>
  <c r="K864" i="6"/>
  <c r="K863" i="6"/>
  <c r="K862" i="6"/>
  <c r="K861" i="6"/>
  <c r="K860" i="6"/>
  <c r="K859" i="6"/>
  <c r="K858" i="6"/>
  <c r="K857" i="6"/>
  <c r="K856" i="6"/>
  <c r="K855" i="6"/>
  <c r="K854" i="6"/>
  <c r="K853" i="6"/>
  <c r="K852" i="6"/>
  <c r="K851" i="6"/>
  <c r="K850" i="6"/>
  <c r="K849" i="6"/>
  <c r="K848" i="6"/>
  <c r="K847" i="6"/>
  <c r="K846" i="6"/>
  <c r="K845" i="6"/>
  <c r="K844" i="6"/>
  <c r="K843" i="6"/>
  <c r="K842" i="6"/>
  <c r="K841" i="6"/>
  <c r="K840" i="6"/>
  <c r="K839" i="6"/>
  <c r="K838" i="6"/>
  <c r="K837" i="6"/>
  <c r="K836" i="6"/>
  <c r="K835" i="6"/>
  <c r="K834" i="6"/>
  <c r="K833" i="6"/>
  <c r="K832" i="6"/>
  <c r="K831" i="6"/>
  <c r="K830" i="6"/>
  <c r="K829" i="6"/>
  <c r="K828" i="6"/>
  <c r="K827" i="6"/>
  <c r="K826" i="6"/>
  <c r="K825" i="6"/>
  <c r="K824" i="6"/>
  <c r="K823" i="6"/>
  <c r="K822" i="6"/>
  <c r="K821" i="6"/>
  <c r="K820" i="6"/>
  <c r="K819" i="6"/>
  <c r="K818" i="6"/>
  <c r="K817" i="6"/>
  <c r="K816" i="6"/>
  <c r="K815" i="6"/>
  <c r="K814" i="6"/>
  <c r="K813" i="6"/>
  <c r="K812" i="6"/>
  <c r="K811" i="6"/>
  <c r="K810" i="6"/>
  <c r="K809" i="6"/>
  <c r="K808" i="6"/>
  <c r="K807" i="6"/>
  <c r="K806" i="6"/>
  <c r="K805" i="6"/>
  <c r="K804" i="6"/>
  <c r="K803" i="6"/>
  <c r="K802" i="6"/>
  <c r="K801" i="6"/>
  <c r="K800" i="6"/>
  <c r="K799" i="6"/>
  <c r="K798" i="6"/>
  <c r="K797" i="6"/>
  <c r="K796" i="6"/>
  <c r="K795" i="6"/>
  <c r="K794" i="6"/>
  <c r="K793" i="6"/>
  <c r="K792" i="6"/>
  <c r="K791" i="6"/>
  <c r="K790" i="6"/>
  <c r="K789" i="6"/>
  <c r="K788" i="6"/>
  <c r="K787" i="6"/>
  <c r="K786" i="6"/>
  <c r="K785" i="6"/>
  <c r="K784" i="6"/>
  <c r="K783" i="6"/>
  <c r="K782" i="6"/>
  <c r="K781" i="6"/>
  <c r="K780" i="6"/>
  <c r="K779" i="6"/>
  <c r="K778" i="6"/>
  <c r="K777" i="6"/>
  <c r="K776" i="6"/>
  <c r="K775" i="6"/>
  <c r="K774" i="6"/>
  <c r="K773" i="6"/>
  <c r="K772" i="6"/>
  <c r="K771" i="6"/>
  <c r="K770" i="6"/>
  <c r="K769" i="6"/>
  <c r="K768" i="6"/>
  <c r="K767" i="6"/>
  <c r="K766" i="6"/>
  <c r="K765" i="6"/>
  <c r="K764" i="6"/>
  <c r="K763" i="6"/>
  <c r="K762" i="6"/>
  <c r="K761" i="6"/>
  <c r="K760" i="6"/>
  <c r="K759" i="6"/>
  <c r="K758" i="6"/>
  <c r="K757" i="6"/>
  <c r="K756" i="6"/>
  <c r="K755" i="6"/>
  <c r="K754" i="6"/>
  <c r="K753" i="6"/>
  <c r="K752" i="6"/>
  <c r="K751" i="6"/>
  <c r="K750" i="6"/>
  <c r="K749" i="6"/>
  <c r="K748" i="6"/>
  <c r="K747" i="6"/>
  <c r="K746" i="6"/>
  <c r="K745" i="6"/>
  <c r="K744" i="6"/>
  <c r="K743" i="6"/>
  <c r="K742" i="6"/>
  <c r="K741" i="6"/>
  <c r="K740" i="6"/>
  <c r="K739" i="6"/>
  <c r="K738" i="6"/>
  <c r="K737" i="6"/>
  <c r="K736" i="6"/>
  <c r="K735" i="6"/>
  <c r="K734" i="6"/>
  <c r="K733" i="6"/>
  <c r="K732" i="6"/>
  <c r="K731" i="6"/>
  <c r="K730" i="6"/>
  <c r="K729" i="6"/>
  <c r="K728" i="6"/>
  <c r="K727" i="6"/>
  <c r="K726" i="6"/>
  <c r="K725" i="6"/>
  <c r="K724" i="6"/>
  <c r="K723" i="6"/>
  <c r="K722" i="6"/>
  <c r="K721" i="6"/>
  <c r="K720" i="6"/>
  <c r="K719" i="6"/>
  <c r="K718" i="6"/>
  <c r="K717" i="6"/>
  <c r="K716" i="6"/>
  <c r="K715" i="6"/>
  <c r="K714" i="6"/>
  <c r="K713" i="6"/>
  <c r="K712" i="6"/>
  <c r="K711" i="6"/>
  <c r="K710" i="6"/>
  <c r="K709" i="6"/>
  <c r="K708" i="6"/>
  <c r="K707" i="6"/>
  <c r="K706" i="6"/>
  <c r="K705" i="6"/>
  <c r="K704" i="6"/>
  <c r="K703" i="6"/>
  <c r="K702" i="6"/>
  <c r="K701" i="6"/>
  <c r="K700" i="6"/>
  <c r="K699" i="6"/>
  <c r="K698" i="6"/>
  <c r="K697" i="6"/>
  <c r="K696" i="6"/>
  <c r="K695" i="6"/>
  <c r="K694" i="6"/>
  <c r="K693" i="6"/>
  <c r="K692" i="6"/>
  <c r="K691" i="6"/>
  <c r="K690" i="6"/>
  <c r="K689" i="6"/>
  <c r="K688" i="6"/>
  <c r="K687" i="6"/>
  <c r="K686" i="6"/>
  <c r="K685" i="6"/>
  <c r="K684" i="6"/>
  <c r="K683" i="6"/>
  <c r="K682" i="6"/>
  <c r="K681" i="6"/>
  <c r="K680" i="6"/>
  <c r="K679" i="6"/>
  <c r="K678" i="6"/>
  <c r="K677" i="6"/>
  <c r="K676" i="6"/>
  <c r="K675" i="6"/>
  <c r="K674" i="6"/>
  <c r="K673" i="6"/>
  <c r="K672" i="6"/>
  <c r="K671" i="6"/>
  <c r="K670" i="6"/>
  <c r="K669" i="6"/>
  <c r="K668" i="6"/>
  <c r="K667" i="6"/>
  <c r="K666" i="6"/>
  <c r="K665" i="6"/>
  <c r="K664" i="6"/>
  <c r="K663" i="6"/>
  <c r="K662" i="6"/>
  <c r="K661" i="6"/>
  <c r="K660" i="6"/>
  <c r="K659" i="6"/>
  <c r="K658" i="6"/>
  <c r="K657" i="6"/>
  <c r="K656" i="6"/>
  <c r="K655" i="6"/>
  <c r="K654" i="6"/>
  <c r="K653" i="6"/>
  <c r="K652" i="6"/>
  <c r="K651" i="6"/>
  <c r="K650" i="6"/>
  <c r="K649" i="6"/>
  <c r="K648" i="6"/>
  <c r="K647" i="6"/>
  <c r="K646" i="6"/>
  <c r="K645" i="6"/>
  <c r="K644" i="6"/>
  <c r="K643" i="6"/>
  <c r="K642" i="6"/>
  <c r="K641" i="6"/>
  <c r="K640" i="6"/>
  <c r="K639" i="6"/>
  <c r="K638" i="6"/>
  <c r="K637" i="6"/>
  <c r="K636" i="6"/>
  <c r="K635" i="6"/>
  <c r="K634" i="6"/>
  <c r="K633" i="6"/>
  <c r="K632" i="6"/>
  <c r="K631" i="6"/>
  <c r="K630" i="6"/>
  <c r="K629" i="6"/>
  <c r="K628" i="6"/>
  <c r="K627" i="6"/>
  <c r="K626" i="6"/>
  <c r="K625" i="6"/>
  <c r="K624" i="6"/>
  <c r="K623" i="6"/>
  <c r="K622" i="6"/>
  <c r="K621" i="6"/>
  <c r="K620" i="6"/>
  <c r="K619" i="6"/>
  <c r="K618" i="6"/>
  <c r="K617" i="6"/>
  <c r="K616" i="6"/>
  <c r="K615" i="6"/>
  <c r="K614" i="6"/>
  <c r="K613" i="6"/>
  <c r="K612" i="6"/>
  <c r="K611" i="6"/>
  <c r="K610" i="6"/>
  <c r="K609" i="6"/>
  <c r="K608" i="6"/>
  <c r="K607" i="6"/>
  <c r="K606" i="6"/>
  <c r="K605" i="6"/>
  <c r="K604" i="6"/>
  <c r="K603" i="6"/>
  <c r="K602" i="6"/>
  <c r="K601" i="6"/>
  <c r="K600" i="6"/>
  <c r="K599" i="6"/>
  <c r="K598" i="6"/>
  <c r="K597" i="6"/>
  <c r="K596" i="6"/>
  <c r="K595" i="6"/>
  <c r="K594" i="6"/>
  <c r="K593" i="6"/>
  <c r="K592" i="6"/>
  <c r="K591" i="6"/>
  <c r="K590" i="6"/>
  <c r="K589" i="6"/>
  <c r="K588" i="6"/>
  <c r="K587" i="6"/>
  <c r="K586" i="6"/>
  <c r="K585" i="6"/>
  <c r="K584" i="6"/>
  <c r="K583" i="6"/>
  <c r="K582" i="6"/>
  <c r="K581" i="6"/>
  <c r="K580" i="6"/>
  <c r="K579" i="6"/>
  <c r="K578" i="6"/>
  <c r="K577" i="6"/>
  <c r="K576" i="6"/>
  <c r="K575" i="6"/>
  <c r="K574" i="6"/>
  <c r="K573" i="6"/>
  <c r="K572" i="6"/>
  <c r="K571" i="6"/>
  <c r="K570" i="6"/>
  <c r="K569" i="6"/>
  <c r="K568" i="6"/>
  <c r="K567" i="6"/>
  <c r="K566" i="6"/>
  <c r="K565" i="6"/>
  <c r="K564" i="6"/>
  <c r="K563" i="6"/>
  <c r="K562" i="6"/>
  <c r="K561" i="6"/>
  <c r="K560" i="6"/>
  <c r="K559" i="6"/>
  <c r="K558" i="6"/>
  <c r="K557" i="6"/>
  <c r="K556" i="6"/>
  <c r="K555" i="6"/>
  <c r="K554" i="6"/>
  <c r="K553" i="6"/>
  <c r="K552" i="6"/>
  <c r="K551" i="6"/>
  <c r="K550" i="6"/>
  <c r="K549" i="6"/>
  <c r="K548" i="6"/>
  <c r="K547" i="6"/>
  <c r="K546" i="6"/>
  <c r="K545" i="6"/>
  <c r="K544" i="6"/>
  <c r="K543" i="6"/>
  <c r="K542" i="6"/>
  <c r="K541" i="6"/>
  <c r="K540" i="6"/>
  <c r="K539" i="6"/>
  <c r="K538" i="6"/>
  <c r="K537" i="6"/>
  <c r="K536" i="6"/>
  <c r="K535" i="6"/>
  <c r="K534" i="6"/>
  <c r="K533" i="6"/>
  <c r="K532" i="6"/>
  <c r="K531" i="6"/>
  <c r="K530" i="6"/>
  <c r="K529" i="6"/>
  <c r="K528" i="6"/>
  <c r="K527" i="6"/>
  <c r="K526" i="6"/>
  <c r="K525" i="6"/>
  <c r="K524" i="6"/>
  <c r="K523" i="6"/>
  <c r="K522" i="6"/>
  <c r="K521" i="6"/>
  <c r="K520" i="6"/>
  <c r="K519" i="6"/>
  <c r="K518" i="6"/>
  <c r="K517" i="6"/>
  <c r="K516" i="6"/>
  <c r="K515" i="6"/>
  <c r="K514" i="6"/>
  <c r="K513" i="6"/>
  <c r="K512" i="6"/>
  <c r="K511" i="6"/>
  <c r="K510" i="6"/>
  <c r="K509" i="6"/>
  <c r="K508" i="6"/>
  <c r="K507" i="6"/>
  <c r="K506" i="6"/>
  <c r="K505" i="6"/>
  <c r="K504" i="6"/>
  <c r="K503" i="6"/>
  <c r="K502" i="6"/>
  <c r="K501" i="6"/>
  <c r="K500" i="6"/>
  <c r="K499" i="6"/>
  <c r="K498" i="6"/>
  <c r="K497" i="6"/>
  <c r="K496" i="6"/>
  <c r="K495" i="6"/>
  <c r="K494" i="6"/>
  <c r="K493" i="6"/>
  <c r="K492" i="6"/>
  <c r="K491" i="6"/>
  <c r="K490" i="6"/>
  <c r="K489" i="6"/>
  <c r="K488" i="6"/>
  <c r="K487" i="6"/>
  <c r="K486" i="6"/>
  <c r="K485" i="6"/>
  <c r="K484" i="6"/>
  <c r="K483" i="6"/>
  <c r="K482" i="6"/>
  <c r="K481" i="6"/>
  <c r="K480" i="6"/>
  <c r="K479" i="6"/>
  <c r="K478" i="6"/>
  <c r="K477" i="6"/>
  <c r="K476" i="6"/>
  <c r="K475" i="6"/>
  <c r="K474" i="6"/>
  <c r="K473" i="6"/>
  <c r="K472" i="6"/>
  <c r="K471" i="6"/>
  <c r="K470" i="6"/>
  <c r="K469" i="6"/>
  <c r="K468" i="6"/>
  <c r="K467" i="6"/>
  <c r="K466" i="6"/>
  <c r="K465" i="6"/>
  <c r="K464" i="6"/>
  <c r="K463" i="6"/>
  <c r="K462" i="6"/>
  <c r="K461" i="6"/>
  <c r="K460" i="6"/>
  <c r="K459" i="6"/>
  <c r="K458" i="6"/>
  <c r="K457" i="6"/>
  <c r="K456" i="6"/>
  <c r="K455" i="6"/>
  <c r="K454" i="6"/>
  <c r="K453" i="6"/>
  <c r="K452" i="6"/>
  <c r="K451" i="6"/>
  <c r="K450" i="6"/>
  <c r="K449" i="6"/>
  <c r="K448" i="6"/>
  <c r="K447" i="6"/>
  <c r="K446" i="6"/>
  <c r="K445" i="6"/>
  <c r="K444" i="6"/>
  <c r="K443" i="6"/>
  <c r="K442" i="6"/>
  <c r="K441" i="6"/>
  <c r="K440" i="6"/>
  <c r="K439" i="6"/>
  <c r="K438" i="6"/>
  <c r="K437" i="6"/>
  <c r="K436" i="6"/>
  <c r="K435" i="6"/>
  <c r="K434" i="6"/>
  <c r="K433" i="6"/>
  <c r="K432" i="6"/>
  <c r="K431" i="6"/>
  <c r="K430" i="6"/>
  <c r="K429" i="6"/>
  <c r="K428" i="6"/>
  <c r="K427" i="6"/>
  <c r="K426" i="6"/>
  <c r="K425" i="6"/>
  <c r="K424" i="6"/>
  <c r="K423" i="6"/>
  <c r="K422" i="6"/>
  <c r="K421" i="6"/>
  <c r="K420" i="6"/>
  <c r="K419" i="6"/>
  <c r="K418" i="6"/>
  <c r="K417" i="6"/>
  <c r="K416" i="6"/>
  <c r="K415" i="6"/>
  <c r="K414" i="6"/>
  <c r="K413" i="6"/>
  <c r="K412" i="6"/>
  <c r="K411" i="6"/>
  <c r="K410" i="6"/>
  <c r="K409" i="6"/>
  <c r="K408" i="6"/>
  <c r="K407" i="6"/>
  <c r="K406" i="6"/>
  <c r="K405" i="6"/>
  <c r="K404" i="6"/>
  <c r="K403" i="6"/>
  <c r="K402" i="6"/>
  <c r="K401" i="6"/>
  <c r="K400" i="6"/>
  <c r="K399" i="6"/>
  <c r="K398" i="6"/>
  <c r="K397" i="6"/>
  <c r="K396" i="6"/>
  <c r="K395" i="6"/>
  <c r="K394" i="6"/>
  <c r="K393" i="6"/>
  <c r="K392" i="6"/>
  <c r="K391" i="6"/>
  <c r="K390" i="6"/>
  <c r="K389" i="6"/>
  <c r="K388" i="6"/>
  <c r="K387" i="6"/>
  <c r="K386" i="6"/>
  <c r="K385" i="6"/>
  <c r="K384" i="6"/>
  <c r="K383" i="6"/>
  <c r="K382" i="6"/>
  <c r="K381" i="6"/>
  <c r="K380" i="6"/>
  <c r="K379" i="6"/>
  <c r="K378" i="6"/>
  <c r="K377" i="6"/>
  <c r="K376" i="6"/>
  <c r="K375" i="6"/>
  <c r="K374" i="6"/>
  <c r="K373" i="6"/>
  <c r="K372" i="6"/>
  <c r="K371" i="6"/>
  <c r="K370" i="6"/>
  <c r="K369" i="6"/>
  <c r="K368" i="6"/>
  <c r="K367" i="6"/>
  <c r="K366" i="6"/>
  <c r="K365" i="6"/>
  <c r="K364" i="6"/>
  <c r="K363" i="6"/>
  <c r="K362" i="6"/>
  <c r="K361" i="6"/>
  <c r="K360" i="6"/>
  <c r="K359" i="6"/>
  <c r="K358" i="6"/>
  <c r="K357" i="6"/>
  <c r="K356" i="6"/>
  <c r="K355" i="6"/>
  <c r="K354" i="6"/>
  <c r="K353" i="6"/>
  <c r="K352" i="6"/>
  <c r="K351" i="6"/>
  <c r="K350" i="6"/>
  <c r="K349" i="6"/>
  <c r="K348" i="6"/>
  <c r="K347" i="6"/>
  <c r="K346" i="6"/>
  <c r="K345" i="6"/>
  <c r="K344" i="6"/>
  <c r="K343" i="6"/>
  <c r="K342" i="6"/>
  <c r="K341" i="6"/>
  <c r="K340" i="6"/>
  <c r="K339" i="6"/>
  <c r="K338" i="6"/>
  <c r="K337" i="6"/>
  <c r="K336" i="6"/>
  <c r="K335" i="6"/>
  <c r="K334" i="6"/>
  <c r="K333" i="6"/>
  <c r="K332" i="6"/>
  <c r="K331" i="6"/>
  <c r="K330" i="6"/>
  <c r="K329" i="6"/>
  <c r="K328" i="6"/>
  <c r="K327" i="6"/>
  <c r="K326" i="6"/>
  <c r="K325" i="6"/>
  <c r="K324" i="6"/>
  <c r="K323" i="6"/>
  <c r="K322" i="6"/>
  <c r="K321" i="6"/>
  <c r="K320" i="6"/>
  <c r="K319" i="6"/>
  <c r="K318" i="6"/>
  <c r="K317" i="6"/>
  <c r="K316" i="6"/>
  <c r="K315" i="6"/>
  <c r="K314" i="6"/>
  <c r="K313" i="6"/>
  <c r="K312" i="6"/>
  <c r="K311" i="6"/>
  <c r="K310" i="6"/>
  <c r="K309" i="6"/>
  <c r="K308" i="6"/>
  <c r="K307" i="6"/>
  <c r="K306" i="6"/>
  <c r="K305" i="6"/>
  <c r="K304" i="6"/>
  <c r="K303" i="6"/>
  <c r="K302" i="6"/>
  <c r="K301" i="6"/>
  <c r="K300" i="6"/>
  <c r="K299" i="6"/>
  <c r="K298" i="6"/>
  <c r="K297" i="6"/>
  <c r="K296" i="6"/>
  <c r="K295" i="6"/>
  <c r="K294" i="6"/>
  <c r="K293" i="6"/>
  <c r="K292" i="6"/>
  <c r="K291" i="6"/>
  <c r="K290" i="6"/>
  <c r="K289" i="6"/>
  <c r="K288" i="6"/>
  <c r="K287" i="6"/>
  <c r="K286" i="6"/>
  <c r="K285" i="6"/>
  <c r="K284" i="6"/>
  <c r="K283" i="6"/>
  <c r="K282" i="6"/>
  <c r="K281" i="6"/>
  <c r="K280" i="6"/>
  <c r="K279" i="6"/>
  <c r="K278" i="6"/>
  <c r="K277" i="6"/>
  <c r="K276" i="6"/>
  <c r="K275" i="6"/>
  <c r="K274" i="6"/>
  <c r="K273" i="6"/>
  <c r="K272" i="6"/>
  <c r="K271" i="6"/>
  <c r="K270" i="6"/>
  <c r="K269" i="6"/>
  <c r="K268" i="6"/>
  <c r="K267" i="6"/>
  <c r="K266" i="6"/>
  <c r="K265" i="6"/>
  <c r="K264" i="6"/>
  <c r="K263" i="6"/>
  <c r="K262" i="6"/>
  <c r="K261" i="6"/>
  <c r="K260" i="6"/>
  <c r="K259" i="6"/>
  <c r="K258" i="6"/>
  <c r="K257" i="6"/>
  <c r="K256" i="6"/>
  <c r="K255" i="6"/>
  <c r="K254" i="6"/>
  <c r="K253" i="6"/>
  <c r="K252" i="6"/>
  <c r="K251" i="6"/>
  <c r="K250" i="6"/>
  <c r="K249" i="6"/>
  <c r="K248" i="6"/>
  <c r="K247" i="6"/>
  <c r="K246" i="6"/>
  <c r="K245" i="6"/>
  <c r="K244" i="6"/>
  <c r="K243" i="6"/>
  <c r="K242" i="6"/>
  <c r="K241" i="6"/>
  <c r="K240" i="6"/>
  <c r="K239" i="6"/>
  <c r="K238" i="6"/>
  <c r="K237" i="6"/>
  <c r="K236" i="6"/>
  <c r="K235" i="6"/>
  <c r="K234" i="6"/>
  <c r="K233" i="6"/>
  <c r="K232" i="6"/>
  <c r="K231" i="6"/>
  <c r="K230" i="6"/>
  <c r="K229" i="6"/>
  <c r="K228" i="6"/>
  <c r="K227" i="6"/>
  <c r="K226" i="6"/>
  <c r="K225" i="6"/>
  <c r="K224" i="6"/>
  <c r="K223" i="6"/>
  <c r="K222" i="6"/>
  <c r="K221" i="6"/>
  <c r="K220" i="6"/>
  <c r="K219" i="6"/>
  <c r="K218" i="6"/>
  <c r="K217" i="6"/>
  <c r="K216" i="6"/>
  <c r="K215" i="6"/>
  <c r="K214" i="6"/>
  <c r="K213" i="6"/>
  <c r="K212" i="6"/>
  <c r="K211" i="6"/>
  <c r="K210" i="6"/>
  <c r="K209" i="6"/>
  <c r="K208" i="6"/>
  <c r="K207" i="6"/>
  <c r="K206" i="6"/>
  <c r="K205" i="6"/>
  <c r="K204" i="6"/>
  <c r="K203" i="6"/>
  <c r="K202" i="6"/>
  <c r="K201" i="6"/>
  <c r="K200" i="6"/>
  <c r="K199" i="6"/>
  <c r="K198" i="6"/>
  <c r="K197" i="6"/>
  <c r="K196" i="6"/>
  <c r="K195" i="6"/>
  <c r="K194" i="6"/>
  <c r="K193" i="6"/>
  <c r="K192" i="6"/>
  <c r="K191" i="6"/>
  <c r="K190" i="6"/>
  <c r="K189" i="6"/>
  <c r="K188" i="6"/>
  <c r="K187" i="6"/>
  <c r="K186" i="6"/>
  <c r="K185" i="6"/>
  <c r="K184" i="6"/>
  <c r="K183" i="6"/>
  <c r="K182" i="6"/>
  <c r="K181" i="6"/>
  <c r="K180" i="6"/>
  <c r="K179" i="6"/>
  <c r="K178" i="6"/>
  <c r="K177" i="6"/>
  <c r="K176" i="6"/>
  <c r="K175" i="6"/>
  <c r="K174" i="6"/>
  <c r="K173" i="6"/>
  <c r="K172" i="6"/>
  <c r="K171" i="6"/>
  <c r="K170" i="6"/>
  <c r="K169" i="6"/>
  <c r="K168" i="6"/>
  <c r="K167" i="6"/>
  <c r="K166" i="6"/>
  <c r="K165" i="6"/>
  <c r="K164" i="6"/>
  <c r="K163" i="6"/>
  <c r="K162" i="6"/>
  <c r="K161" i="6"/>
  <c r="K160" i="6"/>
  <c r="K159" i="6"/>
  <c r="K158" i="6"/>
  <c r="K157" i="6"/>
  <c r="K156" i="6"/>
  <c r="K155" i="6"/>
  <c r="K154" i="6"/>
  <c r="K153" i="6"/>
  <c r="K152" i="6"/>
  <c r="K151" i="6"/>
  <c r="K150" i="6"/>
  <c r="K149" i="6"/>
  <c r="K148" i="6"/>
  <c r="K147" i="6"/>
  <c r="K146" i="6"/>
  <c r="K145" i="6"/>
  <c r="K144" i="6"/>
  <c r="K143" i="6"/>
  <c r="K142" i="6"/>
  <c r="K141" i="6"/>
  <c r="K140" i="6"/>
  <c r="K139" i="6"/>
  <c r="K138" i="6"/>
  <c r="K137" i="6"/>
  <c r="K136" i="6"/>
  <c r="K135" i="6"/>
  <c r="K134" i="6"/>
  <c r="K133" i="6"/>
  <c r="K132" i="6"/>
  <c r="K131" i="6"/>
  <c r="K130" i="6"/>
  <c r="K129" i="6"/>
  <c r="K128" i="6"/>
  <c r="K127" i="6"/>
  <c r="K126" i="6"/>
  <c r="K125" i="6"/>
  <c r="K124" i="6"/>
  <c r="K123" i="6"/>
  <c r="K122" i="6"/>
  <c r="K121" i="6"/>
  <c r="K120" i="6"/>
  <c r="K119" i="6"/>
  <c r="K118" i="6"/>
  <c r="K117" i="6"/>
  <c r="K116" i="6"/>
  <c r="K115" i="6"/>
  <c r="K114" i="6"/>
  <c r="K113" i="6"/>
  <c r="K112" i="6"/>
  <c r="K111" i="6"/>
  <c r="K110" i="6"/>
  <c r="K109" i="6"/>
  <c r="K108" i="6"/>
  <c r="K107" i="6"/>
  <c r="K106" i="6"/>
  <c r="K105" i="6"/>
  <c r="K104" i="6"/>
  <c r="K103" i="6"/>
  <c r="K102" i="6"/>
  <c r="K101" i="6"/>
  <c r="K100" i="6"/>
  <c r="K99" i="6"/>
  <c r="K98" i="6"/>
  <c r="K97" i="6"/>
  <c r="K96" i="6"/>
  <c r="K95" i="6"/>
  <c r="K94" i="6"/>
  <c r="K93" i="6"/>
  <c r="K92" i="6"/>
  <c r="K91" i="6"/>
  <c r="K90" i="6"/>
  <c r="K89" i="6"/>
  <c r="K88" i="6"/>
  <c r="K87" i="6"/>
  <c r="K86" i="6"/>
  <c r="K85" i="6"/>
  <c r="K84" i="6"/>
  <c r="K83" i="6"/>
  <c r="K82" i="6"/>
  <c r="K81" i="6"/>
  <c r="K80" i="6"/>
  <c r="K79" i="6"/>
  <c r="K78" i="6"/>
  <c r="K77" i="6"/>
  <c r="K76" i="6"/>
  <c r="K75" i="6"/>
  <c r="K74" i="6"/>
  <c r="K73" i="6"/>
  <c r="K72" i="6"/>
  <c r="K71" i="6"/>
  <c r="K70" i="6"/>
  <c r="K69" i="6"/>
  <c r="K68" i="6"/>
  <c r="K67" i="6"/>
  <c r="K66" i="6"/>
  <c r="K65" i="6"/>
  <c r="K64" i="6"/>
  <c r="K63" i="6"/>
  <c r="K62" i="6"/>
  <c r="K61" i="6"/>
  <c r="K60" i="6"/>
  <c r="K59" i="6"/>
  <c r="K58" i="6"/>
  <c r="K57" i="6"/>
  <c r="K56" i="6"/>
  <c r="K55" i="6"/>
  <c r="K54" i="6"/>
  <c r="K53" i="6"/>
  <c r="K52" i="6"/>
  <c r="K51" i="6"/>
  <c r="K50" i="6"/>
  <c r="K49" i="6"/>
  <c r="K48" i="6"/>
  <c r="K47" i="6"/>
  <c r="K46" i="6"/>
  <c r="K45" i="6"/>
  <c r="K44" i="6"/>
  <c r="K43" i="6"/>
  <c r="K42" i="6"/>
  <c r="K41" i="6"/>
  <c r="K40" i="6"/>
  <c r="K39" i="6"/>
  <c r="K38" i="6"/>
  <c r="K37" i="6"/>
  <c r="K36" i="6"/>
  <c r="K35" i="6"/>
  <c r="K34" i="6"/>
  <c r="K33" i="6"/>
  <c r="K32" i="6"/>
  <c r="K31" i="6"/>
  <c r="K30" i="6"/>
  <c r="K29" i="6"/>
  <c r="J29" i="6"/>
  <c r="K28" i="6"/>
  <c r="H23" i="6"/>
  <c r="G23" i="6"/>
  <c r="F23" i="6"/>
  <c r="B23" i="6"/>
  <c r="C21" i="6"/>
  <c r="C20" i="6"/>
  <c r="C19" i="6"/>
  <c r="C18" i="6"/>
  <c r="C17" i="6"/>
  <c r="C16" i="6"/>
  <c r="C15" i="6"/>
  <c r="C14" i="6"/>
  <c r="C13" i="6"/>
  <c r="C12" i="6"/>
  <c r="C11" i="6"/>
  <c r="C10" i="6"/>
  <c r="C9" i="6"/>
  <c r="C8" i="6"/>
  <c r="C7" i="6"/>
  <c r="K6" i="6"/>
  <c r="I6" i="6"/>
  <c r="C6" i="6"/>
  <c r="C5" i="6"/>
  <c r="H1504" i="4"/>
  <c r="F1504" i="4"/>
  <c r="E1504" i="4"/>
  <c r="H1503" i="4"/>
  <c r="F1503" i="4"/>
  <c r="E1503" i="4"/>
  <c r="H1502" i="4"/>
  <c r="F1502" i="4"/>
  <c r="E1502" i="4"/>
  <c r="H1501" i="4"/>
  <c r="F1501" i="4"/>
  <c r="E1501" i="4"/>
  <c r="H1500" i="4"/>
  <c r="F1500" i="4"/>
  <c r="E1500" i="4"/>
  <c r="H1499" i="4"/>
  <c r="F1499" i="4"/>
  <c r="E1499" i="4"/>
  <c r="H1498" i="4"/>
  <c r="F1498" i="4"/>
  <c r="E1498" i="4"/>
  <c r="H1497" i="4"/>
  <c r="F1497" i="4"/>
  <c r="E1497" i="4"/>
  <c r="H1496" i="4"/>
  <c r="F1496" i="4"/>
  <c r="E1496" i="4"/>
  <c r="H1495" i="4"/>
  <c r="F1495" i="4"/>
  <c r="E1495" i="4"/>
  <c r="H1494" i="4"/>
  <c r="F1494" i="4"/>
  <c r="E1494" i="4"/>
  <c r="H1493" i="4"/>
  <c r="F1493" i="4"/>
  <c r="E1493" i="4"/>
  <c r="H1492" i="4"/>
  <c r="F1492" i="4"/>
  <c r="E1492" i="4"/>
  <c r="H1491" i="4"/>
  <c r="F1491" i="4"/>
  <c r="E1491" i="4"/>
  <c r="H1490" i="4"/>
  <c r="F1490" i="4"/>
  <c r="E1490" i="4"/>
  <c r="H1489" i="4"/>
  <c r="F1489" i="4"/>
  <c r="E1489" i="4"/>
  <c r="H1488" i="4"/>
  <c r="F1488" i="4"/>
  <c r="E1488" i="4"/>
  <c r="H1487" i="4"/>
  <c r="F1487" i="4"/>
  <c r="E1487" i="4"/>
  <c r="H1486" i="4"/>
  <c r="F1486" i="4"/>
  <c r="E1486" i="4"/>
  <c r="H1485" i="4"/>
  <c r="F1485" i="4"/>
  <c r="E1485" i="4"/>
  <c r="H1484" i="4"/>
  <c r="F1484" i="4"/>
  <c r="E1484" i="4"/>
  <c r="H1483" i="4"/>
  <c r="F1483" i="4"/>
  <c r="E1483" i="4"/>
  <c r="H1482" i="4"/>
  <c r="F1482" i="4"/>
  <c r="E1482" i="4"/>
  <c r="H1481" i="4"/>
  <c r="F1481" i="4"/>
  <c r="E1481" i="4"/>
  <c r="H1480" i="4"/>
  <c r="F1480" i="4"/>
  <c r="E1480" i="4"/>
  <c r="H1479" i="4"/>
  <c r="F1479" i="4"/>
  <c r="E1479" i="4"/>
  <c r="H1478" i="4"/>
  <c r="F1478" i="4"/>
  <c r="E1478" i="4"/>
  <c r="H1477" i="4"/>
  <c r="F1477" i="4"/>
  <c r="E1477" i="4"/>
  <c r="H1476" i="4"/>
  <c r="F1476" i="4"/>
  <c r="E1476" i="4"/>
  <c r="H1475" i="4"/>
  <c r="F1475" i="4"/>
  <c r="E1475" i="4"/>
  <c r="H1474" i="4"/>
  <c r="F1474" i="4"/>
  <c r="E1474" i="4"/>
  <c r="H1473" i="4"/>
  <c r="F1473" i="4"/>
  <c r="E1473" i="4"/>
  <c r="H1472" i="4"/>
  <c r="F1472" i="4"/>
  <c r="E1472" i="4"/>
  <c r="H1471" i="4"/>
  <c r="F1471" i="4"/>
  <c r="E1471" i="4"/>
  <c r="H1470" i="4"/>
  <c r="F1470" i="4"/>
  <c r="E1470" i="4"/>
  <c r="H1469" i="4"/>
  <c r="F1469" i="4"/>
  <c r="E1469" i="4"/>
  <c r="H1468" i="4"/>
  <c r="F1468" i="4"/>
  <c r="E1468" i="4"/>
  <c r="H1467" i="4"/>
  <c r="F1467" i="4"/>
  <c r="E1467" i="4"/>
  <c r="H1466" i="4"/>
  <c r="F1466" i="4"/>
  <c r="E1466" i="4"/>
  <c r="H1465" i="4"/>
  <c r="F1465" i="4"/>
  <c r="E1465" i="4"/>
  <c r="H1464" i="4"/>
  <c r="F1464" i="4"/>
  <c r="E1464" i="4"/>
  <c r="H1463" i="4"/>
  <c r="F1463" i="4"/>
  <c r="E1463" i="4"/>
  <c r="H1462" i="4"/>
  <c r="F1462" i="4"/>
  <c r="E1462" i="4"/>
  <c r="H1461" i="4"/>
  <c r="F1461" i="4"/>
  <c r="E1461" i="4"/>
  <c r="H1460" i="4"/>
  <c r="F1460" i="4"/>
  <c r="E1460" i="4"/>
  <c r="H1459" i="4"/>
  <c r="F1459" i="4"/>
  <c r="E1459" i="4"/>
  <c r="H1458" i="4"/>
  <c r="F1458" i="4"/>
  <c r="E1458" i="4"/>
  <c r="H1457" i="4"/>
  <c r="F1457" i="4"/>
  <c r="E1457" i="4"/>
  <c r="H1456" i="4"/>
  <c r="F1456" i="4"/>
  <c r="E1456" i="4"/>
  <c r="H1455" i="4"/>
  <c r="F1455" i="4"/>
  <c r="E1455" i="4"/>
  <c r="H1454" i="4"/>
  <c r="F1454" i="4"/>
  <c r="E1454" i="4"/>
  <c r="H1453" i="4"/>
  <c r="F1453" i="4"/>
  <c r="E1453" i="4"/>
  <c r="H1452" i="4"/>
  <c r="F1452" i="4"/>
  <c r="E1452" i="4"/>
  <c r="H1451" i="4"/>
  <c r="F1451" i="4"/>
  <c r="E1451" i="4"/>
  <c r="H1450" i="4"/>
  <c r="F1450" i="4"/>
  <c r="E1450" i="4"/>
  <c r="H1449" i="4"/>
  <c r="F1449" i="4"/>
  <c r="E1449" i="4"/>
  <c r="H1448" i="4"/>
  <c r="F1448" i="4"/>
  <c r="E1448" i="4"/>
  <c r="H1447" i="4"/>
  <c r="F1447" i="4"/>
  <c r="E1447" i="4"/>
  <c r="H1446" i="4"/>
  <c r="F1446" i="4"/>
  <c r="E1446" i="4"/>
  <c r="H1445" i="4"/>
  <c r="F1445" i="4"/>
  <c r="E1445" i="4"/>
  <c r="H1444" i="4"/>
  <c r="F1444" i="4"/>
  <c r="E1444" i="4"/>
  <c r="H1443" i="4"/>
  <c r="F1443" i="4"/>
  <c r="E1443" i="4"/>
  <c r="H1442" i="4"/>
  <c r="F1442" i="4"/>
  <c r="E1442" i="4"/>
  <c r="H1441" i="4"/>
  <c r="F1441" i="4"/>
  <c r="E1441" i="4"/>
  <c r="H1440" i="4"/>
  <c r="F1440" i="4"/>
  <c r="E1440" i="4"/>
  <c r="H1439" i="4"/>
  <c r="F1439" i="4"/>
  <c r="E1439" i="4"/>
  <c r="H1438" i="4"/>
  <c r="F1438" i="4"/>
  <c r="E1438" i="4"/>
  <c r="H1437" i="4"/>
  <c r="F1437" i="4"/>
  <c r="E1437" i="4"/>
  <c r="H1436" i="4"/>
  <c r="F1436" i="4"/>
  <c r="E1436" i="4"/>
  <c r="H1435" i="4"/>
  <c r="F1435" i="4"/>
  <c r="E1435" i="4"/>
  <c r="H1434" i="4"/>
  <c r="F1434" i="4"/>
  <c r="E1434" i="4"/>
  <c r="H1433" i="4"/>
  <c r="F1433" i="4"/>
  <c r="E1433" i="4"/>
  <c r="H1432" i="4"/>
  <c r="F1432" i="4"/>
  <c r="E1432" i="4"/>
  <c r="H1431" i="4"/>
  <c r="F1431" i="4"/>
  <c r="E1431" i="4"/>
  <c r="H1430" i="4"/>
  <c r="F1430" i="4"/>
  <c r="E1430" i="4"/>
  <c r="H1429" i="4"/>
  <c r="F1429" i="4"/>
  <c r="E1429" i="4"/>
  <c r="H1428" i="4"/>
  <c r="F1428" i="4"/>
  <c r="E1428" i="4"/>
  <c r="H1427" i="4"/>
  <c r="F1427" i="4"/>
  <c r="E1427" i="4"/>
  <c r="H1426" i="4"/>
  <c r="F1426" i="4"/>
  <c r="E1426" i="4"/>
  <c r="H1425" i="4"/>
  <c r="F1425" i="4"/>
  <c r="E1425" i="4"/>
  <c r="H1424" i="4"/>
  <c r="F1424" i="4"/>
  <c r="E1424" i="4"/>
  <c r="H1423" i="4"/>
  <c r="F1423" i="4"/>
  <c r="E1423" i="4"/>
  <c r="H1422" i="4"/>
  <c r="F1422" i="4"/>
  <c r="E1422" i="4"/>
  <c r="H1421" i="4"/>
  <c r="F1421" i="4"/>
  <c r="E1421" i="4"/>
  <c r="H1420" i="4"/>
  <c r="F1420" i="4"/>
  <c r="E1420" i="4"/>
  <c r="H1419" i="4"/>
  <c r="F1419" i="4"/>
  <c r="E1419" i="4"/>
  <c r="H1418" i="4"/>
  <c r="F1418" i="4"/>
  <c r="E1418" i="4"/>
  <c r="H1417" i="4"/>
  <c r="F1417" i="4"/>
  <c r="E1417" i="4"/>
  <c r="H1416" i="4"/>
  <c r="F1416" i="4"/>
  <c r="E1416" i="4"/>
  <c r="H1415" i="4"/>
  <c r="F1415" i="4"/>
  <c r="E1415" i="4"/>
  <c r="H1414" i="4"/>
  <c r="F1414" i="4"/>
  <c r="E1414" i="4"/>
  <c r="H1413" i="4"/>
  <c r="F1413" i="4"/>
  <c r="E1413" i="4"/>
  <c r="H1412" i="4"/>
  <c r="F1412" i="4"/>
  <c r="E1412" i="4"/>
  <c r="H1411" i="4"/>
  <c r="F1411" i="4"/>
  <c r="E1411" i="4"/>
  <c r="H1410" i="4"/>
  <c r="F1410" i="4"/>
  <c r="E1410" i="4"/>
  <c r="H1409" i="4"/>
  <c r="F1409" i="4"/>
  <c r="E1409" i="4"/>
  <c r="H1408" i="4"/>
  <c r="F1408" i="4"/>
  <c r="E1408" i="4"/>
  <c r="H1407" i="4"/>
  <c r="F1407" i="4"/>
  <c r="E1407" i="4"/>
  <c r="H1406" i="4"/>
  <c r="F1406" i="4"/>
  <c r="E1406" i="4"/>
  <c r="H1405" i="4"/>
  <c r="F1405" i="4"/>
  <c r="E1405" i="4"/>
  <c r="H1404" i="4"/>
  <c r="F1404" i="4"/>
  <c r="E1404" i="4"/>
  <c r="H1403" i="4"/>
  <c r="F1403" i="4"/>
  <c r="E1403" i="4"/>
  <c r="H1402" i="4"/>
  <c r="F1402" i="4"/>
  <c r="E1402" i="4"/>
  <c r="H1401" i="4"/>
  <c r="F1401" i="4"/>
  <c r="E1401" i="4"/>
  <c r="H1400" i="4"/>
  <c r="F1400" i="4"/>
  <c r="E1400" i="4"/>
  <c r="H1399" i="4"/>
  <c r="F1399" i="4"/>
  <c r="E1399" i="4"/>
  <c r="H1398" i="4"/>
  <c r="F1398" i="4"/>
  <c r="E1398" i="4"/>
  <c r="H1397" i="4"/>
  <c r="F1397" i="4"/>
  <c r="E1397" i="4"/>
  <c r="H1396" i="4"/>
  <c r="F1396" i="4"/>
  <c r="E1396" i="4"/>
  <c r="H1395" i="4"/>
  <c r="F1395" i="4"/>
  <c r="E1395" i="4"/>
  <c r="H1394" i="4"/>
  <c r="F1394" i="4"/>
  <c r="E1394" i="4"/>
  <c r="H1393" i="4"/>
  <c r="F1393" i="4"/>
  <c r="E1393" i="4"/>
  <c r="H1392" i="4"/>
  <c r="F1392" i="4"/>
  <c r="E1392" i="4"/>
  <c r="H1391" i="4"/>
  <c r="F1391" i="4"/>
  <c r="E1391" i="4"/>
  <c r="H1390" i="4"/>
  <c r="F1390" i="4"/>
  <c r="E1390" i="4"/>
  <c r="H1389" i="4"/>
  <c r="F1389" i="4"/>
  <c r="E1389" i="4"/>
  <c r="H1388" i="4"/>
  <c r="F1388" i="4"/>
  <c r="E1388" i="4"/>
  <c r="H1387" i="4"/>
  <c r="F1387" i="4"/>
  <c r="E1387" i="4"/>
  <c r="H1386" i="4"/>
  <c r="F1386" i="4"/>
  <c r="E1386" i="4"/>
  <c r="H1385" i="4"/>
  <c r="F1385" i="4"/>
  <c r="E1385" i="4"/>
  <c r="H1384" i="4"/>
  <c r="F1384" i="4"/>
  <c r="E1384" i="4"/>
  <c r="H1383" i="4"/>
  <c r="F1383" i="4"/>
  <c r="E1383" i="4"/>
  <c r="H1382" i="4"/>
  <c r="F1382" i="4"/>
  <c r="E1382" i="4"/>
  <c r="H1381" i="4"/>
  <c r="F1381" i="4"/>
  <c r="E1381" i="4"/>
  <c r="H1380" i="4"/>
  <c r="F1380" i="4"/>
  <c r="E1380" i="4"/>
  <c r="H1379" i="4"/>
  <c r="F1379" i="4"/>
  <c r="E1379" i="4"/>
  <c r="H1378" i="4"/>
  <c r="F1378" i="4"/>
  <c r="E1378" i="4"/>
  <c r="H1377" i="4"/>
  <c r="F1377" i="4"/>
  <c r="E1377" i="4"/>
  <c r="H1376" i="4"/>
  <c r="F1376" i="4"/>
  <c r="E1376" i="4"/>
  <c r="H1375" i="4"/>
  <c r="F1375" i="4"/>
  <c r="E1375" i="4"/>
  <c r="H1374" i="4"/>
  <c r="F1374" i="4"/>
  <c r="E1374" i="4"/>
  <c r="H1373" i="4"/>
  <c r="F1373" i="4"/>
  <c r="E1373" i="4"/>
  <c r="H1372" i="4"/>
  <c r="F1372" i="4"/>
  <c r="E1372" i="4"/>
  <c r="H1371" i="4"/>
  <c r="F1371" i="4"/>
  <c r="E1371" i="4"/>
  <c r="H1370" i="4"/>
  <c r="F1370" i="4"/>
  <c r="E1370" i="4"/>
  <c r="H1369" i="4"/>
  <c r="F1369" i="4"/>
  <c r="E1369" i="4"/>
  <c r="H1368" i="4"/>
  <c r="F1368" i="4"/>
  <c r="E1368" i="4"/>
  <c r="H1367" i="4"/>
  <c r="F1367" i="4"/>
  <c r="E1367" i="4"/>
  <c r="H1366" i="4"/>
  <c r="F1366" i="4"/>
  <c r="E1366" i="4"/>
  <c r="H1365" i="4"/>
  <c r="F1365" i="4"/>
  <c r="E1365" i="4"/>
  <c r="H1364" i="4"/>
  <c r="F1364" i="4"/>
  <c r="E1364" i="4"/>
  <c r="H1363" i="4"/>
  <c r="F1363" i="4"/>
  <c r="E1363" i="4"/>
  <c r="H1362" i="4"/>
  <c r="F1362" i="4"/>
  <c r="E1362" i="4"/>
  <c r="H1361" i="4"/>
  <c r="F1361" i="4"/>
  <c r="E1361" i="4"/>
  <c r="H1360" i="4"/>
  <c r="F1360" i="4"/>
  <c r="E1360" i="4"/>
  <c r="H1359" i="4"/>
  <c r="F1359" i="4"/>
  <c r="E1359" i="4"/>
  <c r="H1358" i="4"/>
  <c r="F1358" i="4"/>
  <c r="E1358" i="4"/>
  <c r="H1357" i="4"/>
  <c r="F1357" i="4"/>
  <c r="E1357" i="4"/>
  <c r="H1356" i="4"/>
  <c r="F1356" i="4"/>
  <c r="E1356" i="4"/>
  <c r="H1355" i="4"/>
  <c r="F1355" i="4"/>
  <c r="E1355" i="4"/>
  <c r="H1354" i="4"/>
  <c r="F1354" i="4"/>
  <c r="E1354" i="4"/>
  <c r="H1353" i="4"/>
  <c r="F1353" i="4"/>
  <c r="E1353" i="4"/>
  <c r="H1352" i="4"/>
  <c r="F1352" i="4"/>
  <c r="E1352" i="4"/>
  <c r="H1351" i="4"/>
  <c r="F1351" i="4"/>
  <c r="E1351" i="4"/>
  <c r="H1350" i="4"/>
  <c r="F1350" i="4"/>
  <c r="E1350" i="4"/>
  <c r="H1349" i="4"/>
  <c r="F1349" i="4"/>
  <c r="E1349" i="4"/>
  <c r="H1348" i="4"/>
  <c r="F1348" i="4"/>
  <c r="E1348" i="4"/>
  <c r="H1347" i="4"/>
  <c r="F1347" i="4"/>
  <c r="E1347" i="4"/>
  <c r="H1346" i="4"/>
  <c r="F1346" i="4"/>
  <c r="E1346" i="4"/>
  <c r="H1345" i="4"/>
  <c r="F1345" i="4"/>
  <c r="E1345" i="4"/>
  <c r="H1344" i="4"/>
  <c r="F1344" i="4"/>
  <c r="E1344" i="4"/>
  <c r="H1343" i="4"/>
  <c r="F1343" i="4"/>
  <c r="E1343" i="4"/>
  <c r="H1342" i="4"/>
  <c r="F1342" i="4"/>
  <c r="E1342" i="4"/>
  <c r="H1341" i="4"/>
  <c r="F1341" i="4"/>
  <c r="E1341" i="4"/>
  <c r="H1340" i="4"/>
  <c r="F1340" i="4"/>
  <c r="E1340" i="4"/>
  <c r="H1339" i="4"/>
  <c r="F1339" i="4"/>
  <c r="E1339" i="4"/>
  <c r="H1338" i="4"/>
  <c r="F1338" i="4"/>
  <c r="E1338" i="4"/>
  <c r="H1337" i="4"/>
  <c r="F1337" i="4"/>
  <c r="E1337" i="4"/>
  <c r="H1336" i="4"/>
  <c r="F1336" i="4"/>
  <c r="E1336" i="4"/>
  <c r="H1335" i="4"/>
  <c r="F1335" i="4"/>
  <c r="E1335" i="4"/>
  <c r="H1334" i="4"/>
  <c r="F1334" i="4"/>
  <c r="E1334" i="4"/>
  <c r="H1333" i="4"/>
  <c r="F1333" i="4"/>
  <c r="E1333" i="4"/>
  <c r="H1332" i="4"/>
  <c r="F1332" i="4"/>
  <c r="E1332" i="4"/>
  <c r="H1331" i="4"/>
  <c r="F1331" i="4"/>
  <c r="E1331" i="4"/>
  <c r="H1330" i="4"/>
  <c r="F1330" i="4"/>
  <c r="E1330" i="4"/>
  <c r="H1329" i="4"/>
  <c r="F1329" i="4"/>
  <c r="E1329" i="4"/>
  <c r="H1328" i="4"/>
  <c r="F1328" i="4"/>
  <c r="E1328" i="4"/>
  <c r="H1327" i="4"/>
  <c r="F1327" i="4"/>
  <c r="E1327" i="4"/>
  <c r="H1326" i="4"/>
  <c r="F1326" i="4"/>
  <c r="E1326" i="4"/>
  <c r="H1325" i="4"/>
  <c r="F1325" i="4"/>
  <c r="E1325" i="4"/>
  <c r="H1324" i="4"/>
  <c r="F1324" i="4"/>
  <c r="E1324" i="4"/>
  <c r="H1323" i="4"/>
  <c r="F1323" i="4"/>
  <c r="E1323" i="4"/>
  <c r="H1322" i="4"/>
  <c r="F1322" i="4"/>
  <c r="E1322" i="4"/>
  <c r="H1321" i="4"/>
  <c r="F1321" i="4"/>
  <c r="E1321" i="4"/>
  <c r="H1320" i="4"/>
  <c r="F1320" i="4"/>
  <c r="E1320" i="4"/>
  <c r="H1319" i="4"/>
  <c r="F1319" i="4"/>
  <c r="E1319" i="4"/>
  <c r="H1318" i="4"/>
  <c r="F1318" i="4"/>
  <c r="E1318" i="4"/>
  <c r="H1317" i="4"/>
  <c r="F1317" i="4"/>
  <c r="E1317" i="4"/>
  <c r="H1316" i="4"/>
  <c r="F1316" i="4"/>
  <c r="E1316" i="4"/>
  <c r="H1315" i="4"/>
  <c r="F1315" i="4"/>
  <c r="E1315" i="4"/>
  <c r="H1314" i="4"/>
  <c r="F1314" i="4"/>
  <c r="E1314" i="4"/>
  <c r="H1313" i="4"/>
  <c r="F1313" i="4"/>
  <c r="E1313" i="4"/>
  <c r="H1312" i="4"/>
  <c r="F1312" i="4"/>
  <c r="E1312" i="4"/>
  <c r="H1311" i="4"/>
  <c r="F1311" i="4"/>
  <c r="E1311" i="4"/>
  <c r="H1310" i="4"/>
  <c r="F1310" i="4"/>
  <c r="E1310" i="4"/>
  <c r="H1309" i="4"/>
  <c r="F1309" i="4"/>
  <c r="E1309" i="4"/>
  <c r="H1308" i="4"/>
  <c r="F1308" i="4"/>
  <c r="E1308" i="4"/>
  <c r="H1307" i="4"/>
  <c r="F1307" i="4"/>
  <c r="E1307" i="4"/>
  <c r="H1306" i="4"/>
  <c r="F1306" i="4"/>
  <c r="E1306" i="4"/>
  <c r="H1305" i="4"/>
  <c r="F1305" i="4"/>
  <c r="E1305" i="4"/>
  <c r="H1304" i="4"/>
  <c r="F1304" i="4"/>
  <c r="E1304" i="4"/>
  <c r="H1303" i="4"/>
  <c r="F1303" i="4"/>
  <c r="E1303" i="4"/>
  <c r="H1302" i="4"/>
  <c r="F1302" i="4"/>
  <c r="E1302" i="4"/>
  <c r="H1301" i="4"/>
  <c r="F1301" i="4"/>
  <c r="E1301" i="4"/>
  <c r="H1300" i="4"/>
  <c r="F1300" i="4"/>
  <c r="E1300" i="4"/>
  <c r="H1299" i="4"/>
  <c r="F1299" i="4"/>
  <c r="E1299" i="4"/>
  <c r="H1298" i="4"/>
  <c r="F1298" i="4"/>
  <c r="E1298" i="4"/>
  <c r="H1297" i="4"/>
  <c r="F1297" i="4"/>
  <c r="E1297" i="4"/>
  <c r="H1296" i="4"/>
  <c r="F1296" i="4"/>
  <c r="E1296" i="4"/>
  <c r="H1295" i="4"/>
  <c r="F1295" i="4"/>
  <c r="E1295" i="4"/>
  <c r="H1294" i="4"/>
  <c r="F1294" i="4"/>
  <c r="E1294" i="4"/>
  <c r="H1293" i="4"/>
  <c r="F1293" i="4"/>
  <c r="E1293" i="4"/>
  <c r="H1292" i="4"/>
  <c r="F1292" i="4"/>
  <c r="E1292" i="4"/>
  <c r="H1291" i="4"/>
  <c r="F1291" i="4"/>
  <c r="E1291" i="4"/>
  <c r="H1290" i="4"/>
  <c r="F1290" i="4"/>
  <c r="E1290" i="4"/>
  <c r="H1289" i="4"/>
  <c r="F1289" i="4"/>
  <c r="E1289" i="4"/>
  <c r="H1288" i="4"/>
  <c r="F1288" i="4"/>
  <c r="E1288" i="4"/>
  <c r="H1287" i="4"/>
  <c r="F1287" i="4"/>
  <c r="E1287" i="4"/>
  <c r="H1286" i="4"/>
  <c r="F1286" i="4"/>
  <c r="E1286" i="4"/>
  <c r="H1285" i="4"/>
  <c r="F1285" i="4"/>
  <c r="E1285" i="4"/>
  <c r="H1284" i="4"/>
  <c r="F1284" i="4"/>
  <c r="E1284" i="4"/>
  <c r="H1283" i="4"/>
  <c r="F1283" i="4"/>
  <c r="E1283" i="4"/>
  <c r="H1282" i="4"/>
  <c r="F1282" i="4"/>
  <c r="E1282" i="4"/>
  <c r="H1281" i="4"/>
  <c r="F1281" i="4"/>
  <c r="E1281" i="4"/>
  <c r="H1280" i="4"/>
  <c r="F1280" i="4"/>
  <c r="E1280" i="4"/>
  <c r="H1279" i="4"/>
  <c r="F1279" i="4"/>
  <c r="E1279" i="4"/>
  <c r="H1278" i="4"/>
  <c r="F1278" i="4"/>
  <c r="E1278" i="4"/>
  <c r="H1277" i="4"/>
  <c r="F1277" i="4"/>
  <c r="E1277" i="4"/>
  <c r="H1276" i="4"/>
  <c r="F1276" i="4"/>
  <c r="E1276" i="4"/>
  <c r="H1275" i="4"/>
  <c r="F1275" i="4"/>
  <c r="E1275" i="4"/>
  <c r="H1274" i="4"/>
  <c r="F1274" i="4"/>
  <c r="E1274" i="4"/>
  <c r="H1273" i="4"/>
  <c r="F1273" i="4"/>
  <c r="E1273" i="4"/>
  <c r="H1272" i="4"/>
  <c r="F1272" i="4"/>
  <c r="E1272" i="4"/>
  <c r="H1271" i="4"/>
  <c r="F1271" i="4"/>
  <c r="E1271" i="4"/>
  <c r="H1270" i="4"/>
  <c r="F1270" i="4"/>
  <c r="E1270" i="4"/>
  <c r="H1269" i="4"/>
  <c r="F1269" i="4"/>
  <c r="E1269" i="4"/>
  <c r="H1268" i="4"/>
  <c r="F1268" i="4"/>
  <c r="E1268" i="4"/>
  <c r="H1267" i="4"/>
  <c r="F1267" i="4"/>
  <c r="E1267" i="4"/>
  <c r="H1266" i="4"/>
  <c r="F1266" i="4"/>
  <c r="E1266" i="4"/>
  <c r="H1265" i="4"/>
  <c r="F1265" i="4"/>
  <c r="E1265" i="4"/>
  <c r="H1264" i="4"/>
  <c r="F1264" i="4"/>
  <c r="E1264" i="4"/>
  <c r="H1263" i="4"/>
  <c r="F1263" i="4"/>
  <c r="E1263" i="4"/>
  <c r="H1262" i="4"/>
  <c r="F1262" i="4"/>
  <c r="E1262" i="4"/>
  <c r="H1261" i="4"/>
  <c r="F1261" i="4"/>
  <c r="E1261" i="4"/>
  <c r="H1260" i="4"/>
  <c r="F1260" i="4"/>
  <c r="E1260" i="4"/>
  <c r="H1259" i="4"/>
  <c r="F1259" i="4"/>
  <c r="E1259" i="4"/>
  <c r="H1258" i="4"/>
  <c r="F1258" i="4"/>
  <c r="E1258" i="4"/>
  <c r="H1257" i="4"/>
  <c r="F1257" i="4"/>
  <c r="E1257" i="4"/>
  <c r="H1256" i="4"/>
  <c r="F1256" i="4"/>
  <c r="E1256" i="4"/>
  <c r="H1255" i="4"/>
  <c r="F1255" i="4"/>
  <c r="E1255" i="4"/>
  <c r="H1254" i="4"/>
  <c r="F1254" i="4"/>
  <c r="E1254" i="4"/>
  <c r="H1253" i="4"/>
  <c r="F1253" i="4"/>
  <c r="E1253" i="4"/>
  <c r="H1252" i="4"/>
  <c r="F1252" i="4"/>
  <c r="E1252" i="4"/>
  <c r="H1251" i="4"/>
  <c r="F1251" i="4"/>
  <c r="E1251" i="4"/>
  <c r="H1250" i="4"/>
  <c r="F1250" i="4"/>
  <c r="E1250" i="4"/>
  <c r="H1249" i="4"/>
  <c r="F1249" i="4"/>
  <c r="E1249" i="4"/>
  <c r="H1248" i="4"/>
  <c r="F1248" i="4"/>
  <c r="E1248" i="4"/>
  <c r="H1247" i="4"/>
  <c r="F1247" i="4"/>
  <c r="E1247" i="4"/>
  <c r="H1246" i="4"/>
  <c r="F1246" i="4"/>
  <c r="E1246" i="4"/>
  <c r="H1245" i="4"/>
  <c r="F1245" i="4"/>
  <c r="E1245" i="4"/>
  <c r="H1244" i="4"/>
  <c r="F1244" i="4"/>
  <c r="E1244" i="4"/>
  <c r="H1243" i="4"/>
  <c r="F1243" i="4"/>
  <c r="E1243" i="4"/>
  <c r="H1242" i="4"/>
  <c r="F1242" i="4"/>
  <c r="E1242" i="4"/>
  <c r="H1241" i="4"/>
  <c r="F1241" i="4"/>
  <c r="E1241" i="4"/>
  <c r="H1240" i="4"/>
  <c r="F1240" i="4"/>
  <c r="E1240" i="4"/>
  <c r="H1239" i="4"/>
  <c r="F1239" i="4"/>
  <c r="E1239" i="4"/>
  <c r="H1238" i="4"/>
  <c r="F1238" i="4"/>
  <c r="E1238" i="4"/>
  <c r="H1237" i="4"/>
  <c r="F1237" i="4"/>
  <c r="E1237" i="4"/>
  <c r="H1236" i="4"/>
  <c r="F1236" i="4"/>
  <c r="E1236" i="4"/>
  <c r="H1235" i="4"/>
  <c r="F1235" i="4"/>
  <c r="E1235" i="4"/>
  <c r="H1234" i="4"/>
  <c r="F1234" i="4"/>
  <c r="E1234" i="4"/>
  <c r="H1233" i="4"/>
  <c r="F1233" i="4"/>
  <c r="E1233" i="4"/>
  <c r="H1232" i="4"/>
  <c r="F1232" i="4"/>
  <c r="E1232" i="4"/>
  <c r="H1231" i="4"/>
  <c r="F1231" i="4"/>
  <c r="E1231" i="4"/>
  <c r="H1230" i="4"/>
  <c r="F1230" i="4"/>
  <c r="E1230" i="4"/>
  <c r="H1229" i="4"/>
  <c r="F1229" i="4"/>
  <c r="E1229" i="4"/>
  <c r="H1228" i="4"/>
  <c r="F1228" i="4"/>
  <c r="E1228" i="4"/>
  <c r="H1227" i="4"/>
  <c r="F1227" i="4"/>
  <c r="E1227" i="4"/>
  <c r="H1226" i="4"/>
  <c r="F1226" i="4"/>
  <c r="E1226" i="4"/>
  <c r="H1225" i="4"/>
  <c r="F1225" i="4"/>
  <c r="E1225" i="4"/>
  <c r="H1224" i="4"/>
  <c r="F1224" i="4"/>
  <c r="E1224" i="4"/>
  <c r="H1223" i="4"/>
  <c r="F1223" i="4"/>
  <c r="E1223" i="4"/>
  <c r="H1222" i="4"/>
  <c r="F1222" i="4"/>
  <c r="E1222" i="4"/>
  <c r="H1221" i="4"/>
  <c r="F1221" i="4"/>
  <c r="E1221" i="4"/>
  <c r="H1220" i="4"/>
  <c r="F1220" i="4"/>
  <c r="E1220" i="4"/>
  <c r="H1219" i="4"/>
  <c r="F1219" i="4"/>
  <c r="E1219" i="4"/>
  <c r="H1218" i="4"/>
  <c r="F1218" i="4"/>
  <c r="E1218" i="4"/>
  <c r="H1217" i="4"/>
  <c r="F1217" i="4"/>
  <c r="E1217" i="4"/>
  <c r="H1216" i="4"/>
  <c r="F1216" i="4"/>
  <c r="E1216" i="4"/>
  <c r="H1215" i="4"/>
  <c r="F1215" i="4"/>
  <c r="E1215" i="4"/>
  <c r="H1214" i="4"/>
  <c r="F1214" i="4"/>
  <c r="E1214" i="4"/>
  <c r="H1213" i="4"/>
  <c r="F1213" i="4"/>
  <c r="E1213" i="4"/>
  <c r="H1212" i="4"/>
  <c r="F1212" i="4"/>
  <c r="E1212" i="4"/>
  <c r="H1211" i="4"/>
  <c r="F1211" i="4"/>
  <c r="E1211" i="4"/>
  <c r="H1210" i="4"/>
  <c r="F1210" i="4"/>
  <c r="E1210" i="4"/>
  <c r="H1209" i="4"/>
  <c r="F1209" i="4"/>
  <c r="E1209" i="4"/>
  <c r="H1208" i="4"/>
  <c r="F1208" i="4"/>
  <c r="E1208" i="4"/>
  <c r="H1207" i="4"/>
  <c r="F1207" i="4"/>
  <c r="E1207" i="4"/>
  <c r="H1206" i="4"/>
  <c r="F1206" i="4"/>
  <c r="E1206" i="4"/>
  <c r="H1205" i="4"/>
  <c r="F1205" i="4"/>
  <c r="E1205" i="4"/>
  <c r="H1204" i="4"/>
  <c r="F1204" i="4"/>
  <c r="E1204" i="4"/>
  <c r="H1203" i="4"/>
  <c r="F1203" i="4"/>
  <c r="E1203" i="4"/>
  <c r="H1202" i="4"/>
  <c r="F1202" i="4"/>
  <c r="E1202" i="4"/>
  <c r="H1201" i="4"/>
  <c r="F1201" i="4"/>
  <c r="E1201" i="4"/>
  <c r="H1200" i="4"/>
  <c r="F1200" i="4"/>
  <c r="E1200" i="4"/>
  <c r="H1199" i="4"/>
  <c r="F1199" i="4"/>
  <c r="E1199" i="4"/>
  <c r="H1198" i="4"/>
  <c r="F1198" i="4"/>
  <c r="E1198" i="4"/>
  <c r="H1197" i="4"/>
  <c r="F1197" i="4"/>
  <c r="E1197" i="4"/>
  <c r="H1196" i="4"/>
  <c r="F1196" i="4"/>
  <c r="E1196" i="4"/>
  <c r="H1195" i="4"/>
  <c r="F1195" i="4"/>
  <c r="E1195" i="4"/>
  <c r="H1194" i="4"/>
  <c r="F1194" i="4"/>
  <c r="E1194" i="4"/>
  <c r="H1193" i="4"/>
  <c r="F1193" i="4"/>
  <c r="E1193" i="4"/>
  <c r="H1192" i="4"/>
  <c r="F1192" i="4"/>
  <c r="E1192" i="4"/>
  <c r="H1191" i="4"/>
  <c r="F1191" i="4"/>
  <c r="E1191" i="4"/>
  <c r="H1190" i="4"/>
  <c r="F1190" i="4"/>
  <c r="E1190" i="4"/>
  <c r="H1189" i="4"/>
  <c r="F1189" i="4"/>
  <c r="E1189" i="4"/>
  <c r="H1188" i="4"/>
  <c r="F1188" i="4"/>
  <c r="E1188" i="4"/>
  <c r="H1187" i="4"/>
  <c r="F1187" i="4"/>
  <c r="E1187" i="4"/>
  <c r="H1186" i="4"/>
  <c r="F1186" i="4"/>
  <c r="E1186" i="4"/>
  <c r="H1185" i="4"/>
  <c r="F1185" i="4"/>
  <c r="E1185" i="4"/>
  <c r="H1184" i="4"/>
  <c r="F1184" i="4"/>
  <c r="E1184" i="4"/>
  <c r="H1183" i="4"/>
  <c r="F1183" i="4"/>
  <c r="E1183" i="4"/>
  <c r="H1182" i="4"/>
  <c r="F1182" i="4"/>
  <c r="E1182" i="4"/>
  <c r="H1181" i="4"/>
  <c r="F1181" i="4"/>
  <c r="E1181" i="4"/>
  <c r="H1180" i="4"/>
  <c r="F1180" i="4"/>
  <c r="E1180" i="4"/>
  <c r="H1179" i="4"/>
  <c r="F1179" i="4"/>
  <c r="E1179" i="4"/>
  <c r="H1178" i="4"/>
  <c r="F1178" i="4"/>
  <c r="E1178" i="4"/>
  <c r="H1177" i="4"/>
  <c r="F1177" i="4"/>
  <c r="E1177" i="4"/>
  <c r="H1176" i="4"/>
  <c r="F1176" i="4"/>
  <c r="E1176" i="4"/>
  <c r="H1175" i="4"/>
  <c r="F1175" i="4"/>
  <c r="E1175" i="4"/>
  <c r="H1174" i="4"/>
  <c r="F1174" i="4"/>
  <c r="E1174" i="4"/>
  <c r="H1173" i="4"/>
  <c r="F1173" i="4"/>
  <c r="E1173" i="4"/>
  <c r="H1172" i="4"/>
  <c r="F1172" i="4"/>
  <c r="E1172" i="4"/>
  <c r="H1171" i="4"/>
  <c r="F1171" i="4"/>
  <c r="E1171" i="4"/>
  <c r="H1170" i="4"/>
  <c r="F1170" i="4"/>
  <c r="E1170" i="4"/>
  <c r="H1169" i="4"/>
  <c r="F1169" i="4"/>
  <c r="E1169" i="4"/>
  <c r="H1168" i="4"/>
  <c r="F1168" i="4"/>
  <c r="E1168" i="4"/>
  <c r="H1167" i="4"/>
  <c r="F1167" i="4"/>
  <c r="E1167" i="4"/>
  <c r="H1166" i="4"/>
  <c r="F1166" i="4"/>
  <c r="E1166" i="4"/>
  <c r="H1165" i="4"/>
  <c r="F1165" i="4"/>
  <c r="E1165" i="4"/>
  <c r="H1164" i="4"/>
  <c r="F1164" i="4"/>
  <c r="E1164" i="4"/>
  <c r="H1163" i="4"/>
  <c r="F1163" i="4"/>
  <c r="E1163" i="4"/>
  <c r="H1162" i="4"/>
  <c r="F1162" i="4"/>
  <c r="E1162" i="4"/>
  <c r="H1161" i="4"/>
  <c r="F1161" i="4"/>
  <c r="E1161" i="4"/>
  <c r="H1160" i="4"/>
  <c r="F1160" i="4"/>
  <c r="E1160" i="4"/>
  <c r="H1159" i="4"/>
  <c r="F1159" i="4"/>
  <c r="E1159" i="4"/>
  <c r="H1158" i="4"/>
  <c r="F1158" i="4"/>
  <c r="E1158" i="4"/>
  <c r="H1157" i="4"/>
  <c r="F1157" i="4"/>
  <c r="E1157" i="4"/>
  <c r="H1156" i="4"/>
  <c r="F1156" i="4"/>
  <c r="E1156" i="4"/>
  <c r="H1155" i="4"/>
  <c r="F1155" i="4"/>
  <c r="E1155" i="4"/>
  <c r="H1154" i="4"/>
  <c r="F1154" i="4"/>
  <c r="E1154" i="4"/>
  <c r="H1153" i="4"/>
  <c r="F1153" i="4"/>
  <c r="E1153" i="4"/>
  <c r="H1152" i="4"/>
  <c r="F1152" i="4"/>
  <c r="E1152" i="4"/>
  <c r="H1151" i="4"/>
  <c r="F1151" i="4"/>
  <c r="E1151" i="4"/>
  <c r="H1150" i="4"/>
  <c r="F1150" i="4"/>
  <c r="E1150" i="4"/>
  <c r="H1149" i="4"/>
  <c r="F1149" i="4"/>
  <c r="E1149" i="4"/>
  <c r="H1148" i="4"/>
  <c r="F1148" i="4"/>
  <c r="E1148" i="4"/>
  <c r="H1147" i="4"/>
  <c r="F1147" i="4"/>
  <c r="E1147" i="4"/>
  <c r="H1146" i="4"/>
  <c r="F1146" i="4"/>
  <c r="E1146" i="4"/>
  <c r="H1145" i="4"/>
  <c r="F1145" i="4"/>
  <c r="E1145" i="4"/>
  <c r="H1144" i="4"/>
  <c r="F1144" i="4"/>
  <c r="E1144" i="4"/>
  <c r="H1143" i="4"/>
  <c r="F1143" i="4"/>
  <c r="E1143" i="4"/>
  <c r="H1142" i="4"/>
  <c r="F1142" i="4"/>
  <c r="E1142" i="4"/>
  <c r="H1141" i="4"/>
  <c r="F1141" i="4"/>
  <c r="E1141" i="4"/>
  <c r="H1140" i="4"/>
  <c r="F1140" i="4"/>
  <c r="E1140" i="4"/>
  <c r="H1139" i="4"/>
  <c r="F1139" i="4"/>
  <c r="E1139" i="4"/>
  <c r="H1138" i="4"/>
  <c r="F1138" i="4"/>
  <c r="E1138" i="4"/>
  <c r="H1137" i="4"/>
  <c r="F1137" i="4"/>
  <c r="E1137" i="4"/>
  <c r="H1136" i="4"/>
  <c r="F1136" i="4"/>
  <c r="E1136" i="4"/>
  <c r="H1135" i="4"/>
  <c r="F1135" i="4"/>
  <c r="E1135" i="4"/>
  <c r="H1134" i="4"/>
  <c r="F1134" i="4"/>
  <c r="E1134" i="4"/>
  <c r="H1133" i="4"/>
  <c r="F1133" i="4"/>
  <c r="E1133" i="4"/>
  <c r="H1132" i="4"/>
  <c r="F1132" i="4"/>
  <c r="E1132" i="4"/>
  <c r="H1131" i="4"/>
  <c r="F1131" i="4"/>
  <c r="E1131" i="4"/>
  <c r="H1130" i="4"/>
  <c r="F1130" i="4"/>
  <c r="E1130" i="4"/>
  <c r="H1129" i="4"/>
  <c r="F1129" i="4"/>
  <c r="E1129" i="4"/>
  <c r="H1128" i="4"/>
  <c r="F1128" i="4"/>
  <c r="E1128" i="4"/>
  <c r="H1127" i="4"/>
  <c r="F1127" i="4"/>
  <c r="E1127" i="4"/>
  <c r="H1126" i="4"/>
  <c r="F1126" i="4"/>
  <c r="E1126" i="4"/>
  <c r="H1125" i="4"/>
  <c r="F1125" i="4"/>
  <c r="E1125" i="4"/>
  <c r="H1124" i="4"/>
  <c r="F1124" i="4"/>
  <c r="E1124" i="4"/>
  <c r="H1123" i="4"/>
  <c r="F1123" i="4"/>
  <c r="E1123" i="4"/>
  <c r="H1122" i="4"/>
  <c r="F1122" i="4"/>
  <c r="E1122" i="4"/>
  <c r="H1121" i="4"/>
  <c r="F1121" i="4"/>
  <c r="E1121" i="4"/>
  <c r="H1120" i="4"/>
  <c r="F1120" i="4"/>
  <c r="E1120" i="4"/>
  <c r="H1119" i="4"/>
  <c r="F1119" i="4"/>
  <c r="E1119" i="4"/>
  <c r="H1118" i="4"/>
  <c r="F1118" i="4"/>
  <c r="E1118" i="4"/>
  <c r="H1117" i="4"/>
  <c r="F1117" i="4"/>
  <c r="E1117" i="4"/>
  <c r="H1116" i="4"/>
  <c r="F1116" i="4"/>
  <c r="E1116" i="4"/>
  <c r="H1115" i="4"/>
  <c r="F1115" i="4"/>
  <c r="E1115" i="4"/>
  <c r="H1114" i="4"/>
  <c r="F1114" i="4"/>
  <c r="E1114" i="4"/>
  <c r="H1113" i="4"/>
  <c r="F1113" i="4"/>
  <c r="E1113" i="4"/>
  <c r="H1112" i="4"/>
  <c r="F1112" i="4"/>
  <c r="E1112" i="4"/>
  <c r="H1111" i="4"/>
  <c r="F1111" i="4"/>
  <c r="E1111" i="4"/>
  <c r="H1110" i="4"/>
  <c r="F1110" i="4"/>
  <c r="E1110" i="4"/>
  <c r="H1109" i="4"/>
  <c r="F1109" i="4"/>
  <c r="E1109" i="4"/>
  <c r="H1108" i="4"/>
  <c r="F1108" i="4"/>
  <c r="E1108" i="4"/>
  <c r="H1107" i="4"/>
  <c r="F1107" i="4"/>
  <c r="E1107" i="4"/>
  <c r="H1106" i="4"/>
  <c r="F1106" i="4"/>
  <c r="E1106" i="4"/>
  <c r="H1105" i="4"/>
  <c r="F1105" i="4"/>
  <c r="E1105" i="4"/>
  <c r="H1104" i="4"/>
  <c r="F1104" i="4"/>
  <c r="E1104" i="4"/>
  <c r="H1103" i="4"/>
  <c r="F1103" i="4"/>
  <c r="E1103" i="4"/>
  <c r="H1102" i="4"/>
  <c r="F1102" i="4"/>
  <c r="E1102" i="4"/>
  <c r="H1101" i="4"/>
  <c r="F1101" i="4"/>
  <c r="E1101" i="4"/>
  <c r="H1100" i="4"/>
  <c r="F1100" i="4"/>
  <c r="E1100" i="4"/>
  <c r="H1099" i="4"/>
  <c r="F1099" i="4"/>
  <c r="E1099" i="4"/>
  <c r="H1098" i="4"/>
  <c r="F1098" i="4"/>
  <c r="E1098" i="4"/>
  <c r="H1097" i="4"/>
  <c r="F1097" i="4"/>
  <c r="E1097" i="4"/>
  <c r="H1096" i="4"/>
  <c r="F1096" i="4"/>
  <c r="E1096" i="4"/>
  <c r="H1095" i="4"/>
  <c r="F1095" i="4"/>
  <c r="E1095" i="4"/>
  <c r="H1094" i="4"/>
  <c r="F1094" i="4"/>
  <c r="E1094" i="4"/>
  <c r="H1093" i="4"/>
  <c r="F1093" i="4"/>
  <c r="E1093" i="4"/>
  <c r="H1092" i="4"/>
  <c r="F1092" i="4"/>
  <c r="E1092" i="4"/>
  <c r="H1091" i="4"/>
  <c r="F1091" i="4"/>
  <c r="E1091" i="4"/>
  <c r="H1090" i="4"/>
  <c r="F1090" i="4"/>
  <c r="E1090" i="4"/>
  <c r="H1089" i="4"/>
  <c r="F1089" i="4"/>
  <c r="E1089" i="4"/>
  <c r="H1088" i="4"/>
  <c r="F1088" i="4"/>
  <c r="E1088" i="4"/>
  <c r="H1087" i="4"/>
  <c r="F1087" i="4"/>
  <c r="E1087" i="4"/>
  <c r="H1086" i="4"/>
  <c r="F1086" i="4"/>
  <c r="E1086" i="4"/>
  <c r="H1085" i="4"/>
  <c r="F1085" i="4"/>
  <c r="E1085" i="4"/>
  <c r="H1084" i="4"/>
  <c r="F1084" i="4"/>
  <c r="E1084" i="4"/>
  <c r="H1083" i="4"/>
  <c r="F1083" i="4"/>
  <c r="E1083" i="4"/>
  <c r="H1082" i="4"/>
  <c r="F1082" i="4"/>
  <c r="E1082" i="4"/>
  <c r="H1081" i="4"/>
  <c r="F1081" i="4"/>
  <c r="E1081" i="4"/>
  <c r="H1080" i="4"/>
  <c r="F1080" i="4"/>
  <c r="E1080" i="4"/>
  <c r="H1079" i="4"/>
  <c r="F1079" i="4"/>
  <c r="E1079" i="4"/>
  <c r="H1078" i="4"/>
  <c r="F1078" i="4"/>
  <c r="E1078" i="4"/>
  <c r="H1077" i="4"/>
  <c r="F1077" i="4"/>
  <c r="E1077" i="4"/>
  <c r="H1076" i="4"/>
  <c r="F1076" i="4"/>
  <c r="E1076" i="4"/>
  <c r="H1075" i="4"/>
  <c r="F1075" i="4"/>
  <c r="E1075" i="4"/>
  <c r="H1074" i="4"/>
  <c r="F1074" i="4"/>
  <c r="E1074" i="4"/>
  <c r="H1073" i="4"/>
  <c r="F1073" i="4"/>
  <c r="E1073" i="4"/>
  <c r="H1072" i="4"/>
  <c r="F1072" i="4"/>
  <c r="E1072" i="4"/>
  <c r="H1071" i="4"/>
  <c r="F1071" i="4"/>
  <c r="E1071" i="4"/>
  <c r="H1070" i="4"/>
  <c r="F1070" i="4"/>
  <c r="E1070" i="4"/>
  <c r="H1069" i="4"/>
  <c r="F1069" i="4"/>
  <c r="E1069" i="4"/>
  <c r="H1068" i="4"/>
  <c r="F1068" i="4"/>
  <c r="E1068" i="4"/>
  <c r="H1067" i="4"/>
  <c r="F1067" i="4"/>
  <c r="E1067" i="4"/>
  <c r="H1066" i="4"/>
  <c r="F1066" i="4"/>
  <c r="E1066" i="4"/>
  <c r="H1065" i="4"/>
  <c r="F1065" i="4"/>
  <c r="E1065" i="4"/>
  <c r="H1064" i="4"/>
  <c r="F1064" i="4"/>
  <c r="E1064" i="4"/>
  <c r="H1063" i="4"/>
  <c r="F1063" i="4"/>
  <c r="E1063" i="4"/>
  <c r="H1062" i="4"/>
  <c r="F1062" i="4"/>
  <c r="E1062" i="4"/>
  <c r="H1061" i="4"/>
  <c r="F1061" i="4"/>
  <c r="E1061" i="4"/>
  <c r="H1060" i="4"/>
  <c r="F1060" i="4"/>
  <c r="E1060" i="4"/>
  <c r="H1059" i="4"/>
  <c r="F1059" i="4"/>
  <c r="E1059" i="4"/>
  <c r="H1058" i="4"/>
  <c r="F1058" i="4"/>
  <c r="E1058" i="4"/>
  <c r="H1057" i="4"/>
  <c r="F1057" i="4"/>
  <c r="E1057" i="4"/>
  <c r="H1056" i="4"/>
  <c r="F1056" i="4"/>
  <c r="E1056" i="4"/>
  <c r="H1055" i="4"/>
  <c r="F1055" i="4"/>
  <c r="E1055" i="4"/>
  <c r="H1054" i="4"/>
  <c r="F1054" i="4"/>
  <c r="E1054" i="4"/>
  <c r="H1053" i="4"/>
  <c r="F1053" i="4"/>
  <c r="E1053" i="4"/>
  <c r="H1052" i="4"/>
  <c r="F1052" i="4"/>
  <c r="E1052" i="4"/>
  <c r="J1075" i="6" s="1"/>
  <c r="H1051" i="4"/>
  <c r="F1051" i="4"/>
  <c r="E1051" i="4"/>
  <c r="J1074" i="6" s="1"/>
  <c r="H1050" i="4"/>
  <c r="F1050" i="4"/>
  <c r="E1050" i="4"/>
  <c r="J1073" i="6" s="1"/>
  <c r="H1049" i="4"/>
  <c r="F1049" i="4"/>
  <c r="E1049" i="4"/>
  <c r="J1072" i="6" s="1"/>
  <c r="H1048" i="4"/>
  <c r="F1048" i="4"/>
  <c r="E1048" i="4"/>
  <c r="J1071" i="6" s="1"/>
  <c r="H1047" i="4"/>
  <c r="F1047" i="4"/>
  <c r="E1047" i="4"/>
  <c r="J1070" i="6" s="1"/>
  <c r="H1046" i="4"/>
  <c r="F1046" i="4"/>
  <c r="E1046" i="4"/>
  <c r="J1069" i="6" s="1"/>
  <c r="H1045" i="4"/>
  <c r="F1045" i="4"/>
  <c r="E1045" i="4"/>
  <c r="J1068" i="6" s="1"/>
  <c r="H1044" i="4"/>
  <c r="F1044" i="4"/>
  <c r="E1044" i="4"/>
  <c r="J1067" i="6" s="1"/>
  <c r="H1043" i="4"/>
  <c r="F1043" i="4"/>
  <c r="E1043" i="4"/>
  <c r="J1066" i="6" s="1"/>
  <c r="H1042" i="4"/>
  <c r="F1042" i="4"/>
  <c r="E1042" i="4"/>
  <c r="J1065" i="6" s="1"/>
  <c r="H1041" i="4"/>
  <c r="F1041" i="4"/>
  <c r="E1041" i="4"/>
  <c r="J1064" i="6" s="1"/>
  <c r="H1040" i="4"/>
  <c r="F1040" i="4"/>
  <c r="E1040" i="4"/>
  <c r="J1063" i="6" s="1"/>
  <c r="H1039" i="4"/>
  <c r="F1039" i="4"/>
  <c r="E1039" i="4"/>
  <c r="J1062" i="6" s="1"/>
  <c r="H1038" i="4"/>
  <c r="F1038" i="4"/>
  <c r="E1038" i="4"/>
  <c r="J1061" i="6" s="1"/>
  <c r="H1037" i="4"/>
  <c r="F1037" i="4"/>
  <c r="E1037" i="4"/>
  <c r="J1060" i="6" s="1"/>
  <c r="H1036" i="4"/>
  <c r="F1036" i="4"/>
  <c r="E1036" i="4"/>
  <c r="J1059" i="6" s="1"/>
  <c r="H1035" i="4"/>
  <c r="F1035" i="4"/>
  <c r="E1035" i="4"/>
  <c r="J1058" i="6" s="1"/>
  <c r="H1034" i="4"/>
  <c r="F1034" i="4"/>
  <c r="E1034" i="4"/>
  <c r="J1057" i="6" s="1"/>
  <c r="H1033" i="4"/>
  <c r="F1033" i="4"/>
  <c r="E1033" i="4"/>
  <c r="J1056" i="6" s="1"/>
  <c r="H1032" i="4"/>
  <c r="F1032" i="4"/>
  <c r="E1032" i="4"/>
  <c r="J1055" i="6" s="1"/>
  <c r="H1031" i="4"/>
  <c r="F1031" i="4"/>
  <c r="E1031" i="4"/>
  <c r="J1054" i="6" s="1"/>
  <c r="H1030" i="4"/>
  <c r="F1030" i="4"/>
  <c r="E1030" i="4"/>
  <c r="J1053" i="6" s="1"/>
  <c r="H1029" i="4"/>
  <c r="F1029" i="4"/>
  <c r="E1029" i="4"/>
  <c r="J1052" i="6" s="1"/>
  <c r="H1028" i="4"/>
  <c r="F1028" i="4"/>
  <c r="E1028" i="4"/>
  <c r="J1051" i="6" s="1"/>
  <c r="H1027" i="4"/>
  <c r="F1027" i="4"/>
  <c r="E1027" i="4"/>
  <c r="J1050" i="6" s="1"/>
  <c r="H1026" i="4"/>
  <c r="F1026" i="4"/>
  <c r="E1026" i="4"/>
  <c r="J1049" i="6" s="1"/>
  <c r="H1025" i="4"/>
  <c r="F1025" i="4"/>
  <c r="E1025" i="4"/>
  <c r="J1048" i="6" s="1"/>
  <c r="H1024" i="4"/>
  <c r="F1024" i="4"/>
  <c r="E1024" i="4"/>
  <c r="J1047" i="6" s="1"/>
  <c r="H1023" i="4"/>
  <c r="F1023" i="4"/>
  <c r="E1023" i="4"/>
  <c r="J1046" i="6" s="1"/>
  <c r="H1022" i="4"/>
  <c r="F1022" i="4"/>
  <c r="E1022" i="4"/>
  <c r="J1045" i="6" s="1"/>
  <c r="H1021" i="4"/>
  <c r="F1021" i="4"/>
  <c r="E1021" i="4"/>
  <c r="J1044" i="6" s="1"/>
  <c r="H1020" i="4"/>
  <c r="F1020" i="4"/>
  <c r="E1020" i="4"/>
  <c r="J1043" i="6" s="1"/>
  <c r="H1019" i="4"/>
  <c r="F1019" i="4"/>
  <c r="E1019" i="4"/>
  <c r="J1042" i="6" s="1"/>
  <c r="H1018" i="4"/>
  <c r="F1018" i="4"/>
  <c r="E1018" i="4"/>
  <c r="J1041" i="6" s="1"/>
  <c r="H1017" i="4"/>
  <c r="F1017" i="4"/>
  <c r="E1017" i="4"/>
  <c r="J1040" i="6" s="1"/>
  <c r="H1016" i="4"/>
  <c r="F1016" i="4"/>
  <c r="E1016" i="4"/>
  <c r="J1039" i="6" s="1"/>
  <c r="H1015" i="4"/>
  <c r="F1015" i="4"/>
  <c r="E1015" i="4"/>
  <c r="J1038" i="6" s="1"/>
  <c r="H1014" i="4"/>
  <c r="F1014" i="4"/>
  <c r="E1014" i="4"/>
  <c r="J1037" i="6" s="1"/>
  <c r="H1013" i="4"/>
  <c r="F1013" i="4"/>
  <c r="E1013" i="4"/>
  <c r="J1036" i="6" s="1"/>
  <c r="H1012" i="4"/>
  <c r="F1012" i="4"/>
  <c r="E1012" i="4"/>
  <c r="J1035" i="6" s="1"/>
  <c r="H1011" i="4"/>
  <c r="F1011" i="4"/>
  <c r="E1011" i="4"/>
  <c r="J1034" i="6" s="1"/>
  <c r="H1010" i="4"/>
  <c r="F1010" i="4"/>
  <c r="E1010" i="4"/>
  <c r="J1033" i="6" s="1"/>
  <c r="H1009" i="4"/>
  <c r="F1009" i="4"/>
  <c r="E1009" i="4"/>
  <c r="J1032" i="6" s="1"/>
  <c r="H1008" i="4"/>
  <c r="F1008" i="4"/>
  <c r="E1008" i="4"/>
  <c r="J1031" i="6" s="1"/>
  <c r="H1007" i="4"/>
  <c r="F1007" i="4"/>
  <c r="E1007" i="4"/>
  <c r="J1030" i="6" s="1"/>
  <c r="H1006" i="4"/>
  <c r="F1006" i="4"/>
  <c r="E1006" i="4"/>
  <c r="J1029" i="6" s="1"/>
  <c r="H1005" i="4"/>
  <c r="F1005" i="4"/>
  <c r="E1005" i="4"/>
  <c r="J1028" i="6" s="1"/>
  <c r="H1004" i="4"/>
  <c r="F1004" i="4"/>
  <c r="E1004" i="4"/>
  <c r="J1027" i="6" s="1"/>
  <c r="H1003" i="4"/>
  <c r="F1003" i="4"/>
  <c r="E1003" i="4"/>
  <c r="J1026" i="6" s="1"/>
  <c r="H1002" i="4"/>
  <c r="F1002" i="4"/>
  <c r="E1002" i="4"/>
  <c r="J1025" i="6" s="1"/>
  <c r="H1001" i="4"/>
  <c r="F1001" i="4"/>
  <c r="E1001" i="4"/>
  <c r="J1024" i="6" s="1"/>
  <c r="H1000" i="4"/>
  <c r="F1000" i="4"/>
  <c r="E1000" i="4"/>
  <c r="J1023" i="6" s="1"/>
  <c r="H999" i="4"/>
  <c r="F999" i="4"/>
  <c r="E999" i="4"/>
  <c r="J1022" i="6" s="1"/>
  <c r="H998" i="4"/>
  <c r="F998" i="4"/>
  <c r="E998" i="4"/>
  <c r="J1021" i="6" s="1"/>
  <c r="H997" i="4"/>
  <c r="F997" i="4"/>
  <c r="E997" i="4"/>
  <c r="J1020" i="6" s="1"/>
  <c r="H996" i="4"/>
  <c r="F996" i="4"/>
  <c r="E996" i="4"/>
  <c r="J1019" i="6" s="1"/>
  <c r="H995" i="4"/>
  <c r="F995" i="4"/>
  <c r="E995" i="4"/>
  <c r="J1018" i="6" s="1"/>
  <c r="H994" i="4"/>
  <c r="F994" i="4"/>
  <c r="E994" i="4"/>
  <c r="J1017" i="6" s="1"/>
  <c r="H993" i="4"/>
  <c r="F993" i="4"/>
  <c r="E993" i="4"/>
  <c r="J1016" i="6" s="1"/>
  <c r="H992" i="4"/>
  <c r="F992" i="4"/>
  <c r="E992" i="4"/>
  <c r="J1015" i="6" s="1"/>
  <c r="H991" i="4"/>
  <c r="F991" i="4"/>
  <c r="E991" i="4"/>
  <c r="J1014" i="6" s="1"/>
  <c r="H990" i="4"/>
  <c r="F990" i="4"/>
  <c r="E990" i="4"/>
  <c r="J1013" i="6" s="1"/>
  <c r="H989" i="4"/>
  <c r="F989" i="4"/>
  <c r="E989" i="4"/>
  <c r="J1012" i="6" s="1"/>
  <c r="H988" i="4"/>
  <c r="F988" i="4"/>
  <c r="E988" i="4"/>
  <c r="J1011" i="6" s="1"/>
  <c r="H987" i="4"/>
  <c r="F987" i="4"/>
  <c r="E987" i="4"/>
  <c r="J1010" i="6" s="1"/>
  <c r="H986" i="4"/>
  <c r="F986" i="4"/>
  <c r="E986" i="4"/>
  <c r="J1009" i="6" s="1"/>
  <c r="H985" i="4"/>
  <c r="F985" i="4"/>
  <c r="E985" i="4"/>
  <c r="J1008" i="6" s="1"/>
  <c r="H984" i="4"/>
  <c r="F984" i="4"/>
  <c r="E984" i="4"/>
  <c r="J1007" i="6" s="1"/>
  <c r="H983" i="4"/>
  <c r="F983" i="4"/>
  <c r="E983" i="4"/>
  <c r="J1006" i="6" s="1"/>
  <c r="H982" i="4"/>
  <c r="F982" i="4"/>
  <c r="E982" i="4"/>
  <c r="J1005" i="6" s="1"/>
  <c r="H981" i="4"/>
  <c r="F981" i="4"/>
  <c r="E981" i="4"/>
  <c r="J1004" i="6" s="1"/>
  <c r="H980" i="4"/>
  <c r="F980" i="4"/>
  <c r="E980" i="4"/>
  <c r="J1003" i="6" s="1"/>
  <c r="H979" i="4"/>
  <c r="F979" i="4"/>
  <c r="E979" i="4"/>
  <c r="J1002" i="6" s="1"/>
  <c r="H978" i="4"/>
  <c r="F978" i="4"/>
  <c r="E978" i="4"/>
  <c r="J1001" i="6" s="1"/>
  <c r="H977" i="4"/>
  <c r="F977" i="4"/>
  <c r="E977" i="4"/>
  <c r="J1000" i="6" s="1"/>
  <c r="H976" i="4"/>
  <c r="F976" i="4"/>
  <c r="E976" i="4"/>
  <c r="J999" i="6" s="1"/>
  <c r="H975" i="4"/>
  <c r="F975" i="4"/>
  <c r="E975" i="4"/>
  <c r="J998" i="6" s="1"/>
  <c r="H974" i="4"/>
  <c r="F974" i="4"/>
  <c r="E974" i="4"/>
  <c r="J997" i="6" s="1"/>
  <c r="H973" i="4"/>
  <c r="F973" i="4"/>
  <c r="E973" i="4"/>
  <c r="J996" i="6" s="1"/>
  <c r="H972" i="4"/>
  <c r="F972" i="4"/>
  <c r="E972" i="4"/>
  <c r="J995" i="6" s="1"/>
  <c r="H971" i="4"/>
  <c r="F971" i="4"/>
  <c r="E971" i="4"/>
  <c r="J994" i="6" s="1"/>
  <c r="H970" i="4"/>
  <c r="F970" i="4"/>
  <c r="E970" i="4"/>
  <c r="J993" i="6" s="1"/>
  <c r="H969" i="4"/>
  <c r="F969" i="4"/>
  <c r="E969" i="4"/>
  <c r="J992" i="6" s="1"/>
  <c r="H968" i="4"/>
  <c r="F968" i="4"/>
  <c r="E968" i="4"/>
  <c r="J991" i="6" s="1"/>
  <c r="H967" i="4"/>
  <c r="F967" i="4"/>
  <c r="E967" i="4"/>
  <c r="J990" i="6" s="1"/>
  <c r="H966" i="4"/>
  <c r="F966" i="4"/>
  <c r="E966" i="4"/>
  <c r="J989" i="6" s="1"/>
  <c r="H965" i="4"/>
  <c r="F965" i="4"/>
  <c r="E965" i="4"/>
  <c r="J988" i="6" s="1"/>
  <c r="H964" i="4"/>
  <c r="F964" i="4"/>
  <c r="E964" i="4"/>
  <c r="J987" i="6" s="1"/>
  <c r="H963" i="4"/>
  <c r="F963" i="4"/>
  <c r="E963" i="4"/>
  <c r="J986" i="6" s="1"/>
  <c r="H962" i="4"/>
  <c r="F962" i="4"/>
  <c r="E962" i="4"/>
  <c r="J985" i="6" s="1"/>
  <c r="H961" i="4"/>
  <c r="F961" i="4"/>
  <c r="E961" i="4"/>
  <c r="J984" i="6" s="1"/>
  <c r="H960" i="4"/>
  <c r="F960" i="4"/>
  <c r="E960" i="4"/>
  <c r="J983" i="6" s="1"/>
  <c r="H959" i="4"/>
  <c r="F959" i="4"/>
  <c r="E959" i="4"/>
  <c r="J982" i="6" s="1"/>
  <c r="H958" i="4"/>
  <c r="F958" i="4"/>
  <c r="E958" i="4"/>
  <c r="J981" i="6" s="1"/>
  <c r="H957" i="4"/>
  <c r="F957" i="4"/>
  <c r="E957" i="4"/>
  <c r="J980" i="6" s="1"/>
  <c r="H956" i="4"/>
  <c r="F956" i="4"/>
  <c r="E956" i="4"/>
  <c r="J979" i="6" s="1"/>
  <c r="H955" i="4"/>
  <c r="F955" i="4"/>
  <c r="E955" i="4"/>
  <c r="J978" i="6" s="1"/>
  <c r="H954" i="4"/>
  <c r="F954" i="4"/>
  <c r="E954" i="4"/>
  <c r="J977" i="6" s="1"/>
  <c r="H953" i="4"/>
  <c r="F953" i="4"/>
  <c r="E953" i="4"/>
  <c r="J976" i="6" s="1"/>
  <c r="H952" i="4"/>
  <c r="F952" i="4"/>
  <c r="E952" i="4"/>
  <c r="J975" i="6" s="1"/>
  <c r="H951" i="4"/>
  <c r="F951" i="4"/>
  <c r="E951" i="4"/>
  <c r="J974" i="6" s="1"/>
  <c r="H950" i="4"/>
  <c r="F950" i="4"/>
  <c r="E950" i="4"/>
  <c r="J973" i="6" s="1"/>
  <c r="H949" i="4"/>
  <c r="F949" i="4"/>
  <c r="E949" i="4"/>
  <c r="J972" i="6" s="1"/>
  <c r="H948" i="4"/>
  <c r="F948" i="4"/>
  <c r="E948" i="4"/>
  <c r="J971" i="6" s="1"/>
  <c r="H947" i="4"/>
  <c r="F947" i="4"/>
  <c r="E947" i="4"/>
  <c r="J970" i="6" s="1"/>
  <c r="H946" i="4"/>
  <c r="F946" i="4"/>
  <c r="E946" i="4"/>
  <c r="J969" i="6" s="1"/>
  <c r="H945" i="4"/>
  <c r="F945" i="4"/>
  <c r="E945" i="4"/>
  <c r="J968" i="6" s="1"/>
  <c r="H944" i="4"/>
  <c r="F944" i="4"/>
  <c r="E944" i="4"/>
  <c r="J967" i="6" s="1"/>
  <c r="H943" i="4"/>
  <c r="F943" i="4"/>
  <c r="E943" i="4"/>
  <c r="J966" i="6" s="1"/>
  <c r="H942" i="4"/>
  <c r="F942" i="4"/>
  <c r="E942" i="4"/>
  <c r="J965" i="6" s="1"/>
  <c r="H941" i="4"/>
  <c r="F941" i="4"/>
  <c r="E941" i="4"/>
  <c r="J964" i="6" s="1"/>
  <c r="H940" i="4"/>
  <c r="F940" i="4"/>
  <c r="E940" i="4"/>
  <c r="J963" i="6" s="1"/>
  <c r="H939" i="4"/>
  <c r="F939" i="4"/>
  <c r="E939" i="4"/>
  <c r="J962" i="6" s="1"/>
  <c r="H938" i="4"/>
  <c r="F938" i="4"/>
  <c r="E938" i="4"/>
  <c r="J961" i="6" s="1"/>
  <c r="H937" i="4"/>
  <c r="F937" i="4"/>
  <c r="E937" i="4"/>
  <c r="J960" i="6" s="1"/>
  <c r="H936" i="4"/>
  <c r="F936" i="4"/>
  <c r="E936" i="4"/>
  <c r="J959" i="6" s="1"/>
  <c r="H935" i="4"/>
  <c r="F935" i="4"/>
  <c r="E935" i="4"/>
  <c r="J958" i="6" s="1"/>
  <c r="H934" i="4"/>
  <c r="F934" i="4"/>
  <c r="E934" i="4"/>
  <c r="J957" i="6" s="1"/>
  <c r="H933" i="4"/>
  <c r="F933" i="4"/>
  <c r="E933" i="4"/>
  <c r="J956" i="6" s="1"/>
  <c r="H932" i="4"/>
  <c r="F932" i="4"/>
  <c r="E932" i="4"/>
  <c r="J955" i="6" s="1"/>
  <c r="H931" i="4"/>
  <c r="F931" i="4"/>
  <c r="E931" i="4"/>
  <c r="J954" i="6" s="1"/>
  <c r="H930" i="4"/>
  <c r="F930" i="4"/>
  <c r="E930" i="4"/>
  <c r="J953" i="6" s="1"/>
  <c r="H929" i="4"/>
  <c r="F929" i="4"/>
  <c r="E929" i="4"/>
  <c r="J952" i="6" s="1"/>
  <c r="H928" i="4"/>
  <c r="F928" i="4"/>
  <c r="E928" i="4"/>
  <c r="J951" i="6" s="1"/>
  <c r="H927" i="4"/>
  <c r="F927" i="4"/>
  <c r="E927" i="4"/>
  <c r="J950" i="6" s="1"/>
  <c r="H926" i="4"/>
  <c r="F926" i="4"/>
  <c r="E926" i="4"/>
  <c r="J949" i="6" s="1"/>
  <c r="H925" i="4"/>
  <c r="F925" i="4"/>
  <c r="E925" i="4"/>
  <c r="J948" i="6" s="1"/>
  <c r="H924" i="4"/>
  <c r="F924" i="4"/>
  <c r="E924" i="4"/>
  <c r="J947" i="6" s="1"/>
  <c r="H923" i="4"/>
  <c r="F923" i="4"/>
  <c r="E923" i="4"/>
  <c r="J946" i="6" s="1"/>
  <c r="H922" i="4"/>
  <c r="F922" i="4"/>
  <c r="E922" i="4"/>
  <c r="J945" i="6" s="1"/>
  <c r="H921" i="4"/>
  <c r="F921" i="4"/>
  <c r="E921" i="4"/>
  <c r="J944" i="6" s="1"/>
  <c r="H920" i="4"/>
  <c r="F920" i="4"/>
  <c r="E920" i="4"/>
  <c r="J943" i="6" s="1"/>
  <c r="H919" i="4"/>
  <c r="F919" i="4"/>
  <c r="E919" i="4"/>
  <c r="J942" i="6" s="1"/>
  <c r="H918" i="4"/>
  <c r="F918" i="4"/>
  <c r="E918" i="4"/>
  <c r="J941" i="6" s="1"/>
  <c r="H917" i="4"/>
  <c r="F917" i="4"/>
  <c r="E917" i="4"/>
  <c r="J940" i="6" s="1"/>
  <c r="H916" i="4"/>
  <c r="F916" i="4"/>
  <c r="E916" i="4"/>
  <c r="J939" i="6" s="1"/>
  <c r="H915" i="4"/>
  <c r="F915" i="4"/>
  <c r="E915" i="4"/>
  <c r="J938" i="6" s="1"/>
  <c r="H914" i="4"/>
  <c r="F914" i="4"/>
  <c r="E914" i="4"/>
  <c r="J937" i="6" s="1"/>
  <c r="H913" i="4"/>
  <c r="F913" i="4"/>
  <c r="E913" i="4"/>
  <c r="J936" i="6" s="1"/>
  <c r="H912" i="4"/>
  <c r="F912" i="4"/>
  <c r="E912" i="4"/>
  <c r="J935" i="6" s="1"/>
  <c r="H911" i="4"/>
  <c r="F911" i="4"/>
  <c r="E911" i="4"/>
  <c r="J934" i="6" s="1"/>
  <c r="H910" i="4"/>
  <c r="F910" i="4"/>
  <c r="E910" i="4"/>
  <c r="J933" i="6" s="1"/>
  <c r="H909" i="4"/>
  <c r="F909" i="4"/>
  <c r="E909" i="4"/>
  <c r="J932" i="6" s="1"/>
  <c r="H908" i="4"/>
  <c r="F908" i="4"/>
  <c r="E908" i="4"/>
  <c r="J931" i="6" s="1"/>
  <c r="H907" i="4"/>
  <c r="F907" i="4"/>
  <c r="E907" i="4"/>
  <c r="J930" i="6" s="1"/>
  <c r="H906" i="4"/>
  <c r="F906" i="4"/>
  <c r="E906" i="4"/>
  <c r="J929" i="6" s="1"/>
  <c r="H905" i="4"/>
  <c r="F905" i="4"/>
  <c r="E905" i="4"/>
  <c r="J928" i="6" s="1"/>
  <c r="H904" i="4"/>
  <c r="F904" i="4"/>
  <c r="E904" i="4"/>
  <c r="J927" i="6" s="1"/>
  <c r="H903" i="4"/>
  <c r="F903" i="4"/>
  <c r="E903" i="4"/>
  <c r="J926" i="6" s="1"/>
  <c r="H902" i="4"/>
  <c r="F902" i="4"/>
  <c r="E902" i="4"/>
  <c r="J925" i="6" s="1"/>
  <c r="H901" i="4"/>
  <c r="F901" i="4"/>
  <c r="E901" i="4"/>
  <c r="J924" i="6" s="1"/>
  <c r="H900" i="4"/>
  <c r="F900" i="4"/>
  <c r="E900" i="4"/>
  <c r="J923" i="6" s="1"/>
  <c r="H899" i="4"/>
  <c r="F899" i="4"/>
  <c r="E899" i="4"/>
  <c r="J922" i="6" s="1"/>
  <c r="H898" i="4"/>
  <c r="F898" i="4"/>
  <c r="E898" i="4"/>
  <c r="J921" i="6" s="1"/>
  <c r="H897" i="4"/>
  <c r="F897" i="4"/>
  <c r="E897" i="4"/>
  <c r="J920" i="6" s="1"/>
  <c r="H896" i="4"/>
  <c r="F896" i="4"/>
  <c r="E896" i="4"/>
  <c r="J919" i="6" s="1"/>
  <c r="H895" i="4"/>
  <c r="F895" i="4"/>
  <c r="E895" i="4"/>
  <c r="J918" i="6" s="1"/>
  <c r="H894" i="4"/>
  <c r="F894" i="4"/>
  <c r="E894" i="4"/>
  <c r="J917" i="6" s="1"/>
  <c r="H893" i="4"/>
  <c r="F893" i="4"/>
  <c r="E893" i="4"/>
  <c r="J916" i="6" s="1"/>
  <c r="H892" i="4"/>
  <c r="F892" i="4"/>
  <c r="E892" i="4"/>
  <c r="J915" i="6" s="1"/>
  <c r="H891" i="4"/>
  <c r="F891" i="4"/>
  <c r="E891" i="4"/>
  <c r="J914" i="6" s="1"/>
  <c r="H890" i="4"/>
  <c r="F890" i="4"/>
  <c r="E890" i="4"/>
  <c r="J913" i="6" s="1"/>
  <c r="H889" i="4"/>
  <c r="F889" i="4"/>
  <c r="E889" i="4"/>
  <c r="J912" i="6" s="1"/>
  <c r="H888" i="4"/>
  <c r="F888" i="4"/>
  <c r="E888" i="4"/>
  <c r="J911" i="6" s="1"/>
  <c r="H887" i="4"/>
  <c r="F887" i="4"/>
  <c r="E887" i="4"/>
  <c r="J910" i="6" s="1"/>
  <c r="H886" i="4"/>
  <c r="F886" i="4"/>
  <c r="E886" i="4"/>
  <c r="J909" i="6" s="1"/>
  <c r="H885" i="4"/>
  <c r="F885" i="4"/>
  <c r="E885" i="4"/>
  <c r="J908" i="6" s="1"/>
  <c r="H884" i="4"/>
  <c r="F884" i="4"/>
  <c r="E884" i="4"/>
  <c r="J907" i="6" s="1"/>
  <c r="H883" i="4"/>
  <c r="F883" i="4"/>
  <c r="E883" i="4"/>
  <c r="J906" i="6" s="1"/>
  <c r="H882" i="4"/>
  <c r="F882" i="4"/>
  <c r="E882" i="4"/>
  <c r="J905" i="6" s="1"/>
  <c r="H881" i="4"/>
  <c r="F881" i="4"/>
  <c r="E881" i="4"/>
  <c r="J904" i="6" s="1"/>
  <c r="H880" i="4"/>
  <c r="F880" i="4"/>
  <c r="E880" i="4"/>
  <c r="J903" i="6" s="1"/>
  <c r="H879" i="4"/>
  <c r="F879" i="4"/>
  <c r="E879" i="4"/>
  <c r="J902" i="6" s="1"/>
  <c r="H878" i="4"/>
  <c r="F878" i="4"/>
  <c r="E878" i="4"/>
  <c r="J901" i="6" s="1"/>
  <c r="H877" i="4"/>
  <c r="F877" i="4"/>
  <c r="E877" i="4"/>
  <c r="J900" i="6" s="1"/>
  <c r="H876" i="4"/>
  <c r="F876" i="4"/>
  <c r="E876" i="4"/>
  <c r="J899" i="6" s="1"/>
  <c r="H875" i="4"/>
  <c r="F875" i="4"/>
  <c r="E875" i="4"/>
  <c r="J898" i="6" s="1"/>
  <c r="H874" i="4"/>
  <c r="F874" i="4"/>
  <c r="E874" i="4"/>
  <c r="J897" i="6" s="1"/>
  <c r="H873" i="4"/>
  <c r="F873" i="4"/>
  <c r="E873" i="4"/>
  <c r="J896" i="6" s="1"/>
  <c r="H872" i="4"/>
  <c r="F872" i="4"/>
  <c r="E872" i="4"/>
  <c r="J895" i="6" s="1"/>
  <c r="H871" i="4"/>
  <c r="F871" i="4"/>
  <c r="E871" i="4"/>
  <c r="J894" i="6" s="1"/>
  <c r="H870" i="4"/>
  <c r="F870" i="4"/>
  <c r="E870" i="4"/>
  <c r="J893" i="6" s="1"/>
  <c r="H869" i="4"/>
  <c r="F869" i="4"/>
  <c r="E869" i="4"/>
  <c r="J892" i="6" s="1"/>
  <c r="H868" i="4"/>
  <c r="F868" i="4"/>
  <c r="E868" i="4"/>
  <c r="J891" i="6" s="1"/>
  <c r="H867" i="4"/>
  <c r="F867" i="4"/>
  <c r="E867" i="4"/>
  <c r="J890" i="6" s="1"/>
  <c r="H866" i="4"/>
  <c r="F866" i="4"/>
  <c r="E866" i="4"/>
  <c r="J889" i="6" s="1"/>
  <c r="H865" i="4"/>
  <c r="F865" i="4"/>
  <c r="E865" i="4"/>
  <c r="J888" i="6" s="1"/>
  <c r="H864" i="4"/>
  <c r="F864" i="4"/>
  <c r="E864" i="4"/>
  <c r="J887" i="6" s="1"/>
  <c r="H863" i="4"/>
  <c r="F863" i="4"/>
  <c r="E863" i="4"/>
  <c r="J886" i="6" s="1"/>
  <c r="H862" i="4"/>
  <c r="F862" i="4"/>
  <c r="E862" i="4"/>
  <c r="J885" i="6" s="1"/>
  <c r="H861" i="4"/>
  <c r="F861" i="4"/>
  <c r="E861" i="4"/>
  <c r="J884" i="6" s="1"/>
  <c r="H860" i="4"/>
  <c r="F860" i="4"/>
  <c r="E860" i="4"/>
  <c r="J883" i="6" s="1"/>
  <c r="H859" i="4"/>
  <c r="F859" i="4"/>
  <c r="E859" i="4"/>
  <c r="J882" i="6" s="1"/>
  <c r="H858" i="4"/>
  <c r="F858" i="4"/>
  <c r="E858" i="4"/>
  <c r="J881" i="6" s="1"/>
  <c r="H857" i="4"/>
  <c r="F857" i="4"/>
  <c r="E857" i="4"/>
  <c r="J880" i="6" s="1"/>
  <c r="H856" i="4"/>
  <c r="F856" i="4"/>
  <c r="E856" i="4"/>
  <c r="J879" i="6" s="1"/>
  <c r="H855" i="4"/>
  <c r="F855" i="4"/>
  <c r="E855" i="4"/>
  <c r="J878" i="6" s="1"/>
  <c r="H854" i="4"/>
  <c r="F854" i="4"/>
  <c r="E854" i="4"/>
  <c r="J877" i="6" s="1"/>
  <c r="H853" i="4"/>
  <c r="F853" i="4"/>
  <c r="E853" i="4"/>
  <c r="J876" i="6" s="1"/>
  <c r="H852" i="4"/>
  <c r="F852" i="4"/>
  <c r="E852" i="4"/>
  <c r="J875" i="6" s="1"/>
  <c r="H851" i="4"/>
  <c r="F851" i="4"/>
  <c r="E851" i="4"/>
  <c r="J874" i="6" s="1"/>
  <c r="H850" i="4"/>
  <c r="F850" i="4"/>
  <c r="E850" i="4"/>
  <c r="J873" i="6" s="1"/>
  <c r="H849" i="4"/>
  <c r="F849" i="4"/>
  <c r="E849" i="4"/>
  <c r="J872" i="6" s="1"/>
  <c r="H848" i="4"/>
  <c r="F848" i="4"/>
  <c r="E848" i="4"/>
  <c r="J871" i="6" s="1"/>
  <c r="H847" i="4"/>
  <c r="F847" i="4"/>
  <c r="E847" i="4"/>
  <c r="J870" i="6" s="1"/>
  <c r="H846" i="4"/>
  <c r="F846" i="4"/>
  <c r="E846" i="4"/>
  <c r="J869" i="6" s="1"/>
  <c r="H845" i="4"/>
  <c r="F845" i="4"/>
  <c r="E845" i="4"/>
  <c r="J868" i="6" s="1"/>
  <c r="H844" i="4"/>
  <c r="F844" i="4"/>
  <c r="E844" i="4"/>
  <c r="J867" i="6" s="1"/>
  <c r="H843" i="4"/>
  <c r="F843" i="4"/>
  <c r="E843" i="4"/>
  <c r="J866" i="6" s="1"/>
  <c r="H842" i="4"/>
  <c r="F842" i="4"/>
  <c r="E842" i="4"/>
  <c r="J865" i="6" s="1"/>
  <c r="H841" i="4"/>
  <c r="F841" i="4"/>
  <c r="E841" i="4"/>
  <c r="J864" i="6" s="1"/>
  <c r="H840" i="4"/>
  <c r="F840" i="4"/>
  <c r="E840" i="4"/>
  <c r="J863" i="6" s="1"/>
  <c r="H839" i="4"/>
  <c r="F839" i="4"/>
  <c r="E839" i="4"/>
  <c r="J862" i="6" s="1"/>
  <c r="H838" i="4"/>
  <c r="F838" i="4"/>
  <c r="E838" i="4"/>
  <c r="J861" i="6" s="1"/>
  <c r="H837" i="4"/>
  <c r="F837" i="4"/>
  <c r="E837" i="4"/>
  <c r="J860" i="6" s="1"/>
  <c r="H836" i="4"/>
  <c r="F836" i="4"/>
  <c r="E836" i="4"/>
  <c r="J859" i="6" s="1"/>
  <c r="H835" i="4"/>
  <c r="F835" i="4"/>
  <c r="E835" i="4"/>
  <c r="J858" i="6" s="1"/>
  <c r="H834" i="4"/>
  <c r="F834" i="4"/>
  <c r="E834" i="4"/>
  <c r="J857" i="6" s="1"/>
  <c r="H833" i="4"/>
  <c r="F833" i="4"/>
  <c r="E833" i="4"/>
  <c r="J856" i="6" s="1"/>
  <c r="H832" i="4"/>
  <c r="F832" i="4"/>
  <c r="E832" i="4"/>
  <c r="J855" i="6" s="1"/>
  <c r="H831" i="4"/>
  <c r="F831" i="4"/>
  <c r="E831" i="4"/>
  <c r="J854" i="6" s="1"/>
  <c r="H830" i="4"/>
  <c r="F830" i="4"/>
  <c r="E830" i="4"/>
  <c r="J853" i="6" s="1"/>
  <c r="H829" i="4"/>
  <c r="F829" i="4"/>
  <c r="E829" i="4"/>
  <c r="J852" i="6" s="1"/>
  <c r="H828" i="4"/>
  <c r="F828" i="4"/>
  <c r="E828" i="4"/>
  <c r="J851" i="6" s="1"/>
  <c r="H827" i="4"/>
  <c r="F827" i="4"/>
  <c r="E827" i="4"/>
  <c r="J850" i="6" s="1"/>
  <c r="H826" i="4"/>
  <c r="F826" i="4"/>
  <c r="E826" i="4"/>
  <c r="J849" i="6" s="1"/>
  <c r="H825" i="4"/>
  <c r="F825" i="4"/>
  <c r="E825" i="4"/>
  <c r="J848" i="6" s="1"/>
  <c r="H824" i="4"/>
  <c r="F824" i="4"/>
  <c r="E824" i="4"/>
  <c r="J847" i="6" s="1"/>
  <c r="H823" i="4"/>
  <c r="F823" i="4"/>
  <c r="E823" i="4"/>
  <c r="J846" i="6" s="1"/>
  <c r="H822" i="4"/>
  <c r="F822" i="4"/>
  <c r="E822" i="4"/>
  <c r="J845" i="6" s="1"/>
  <c r="H821" i="4"/>
  <c r="F821" i="4"/>
  <c r="E821" i="4"/>
  <c r="J844" i="6" s="1"/>
  <c r="H820" i="4"/>
  <c r="F820" i="4"/>
  <c r="E820" i="4"/>
  <c r="J843" i="6" s="1"/>
  <c r="H819" i="4"/>
  <c r="F819" i="4"/>
  <c r="E819" i="4"/>
  <c r="J842" i="6" s="1"/>
  <c r="H818" i="4"/>
  <c r="F818" i="4"/>
  <c r="E818" i="4"/>
  <c r="J841" i="6" s="1"/>
  <c r="H817" i="4"/>
  <c r="F817" i="4"/>
  <c r="E817" i="4"/>
  <c r="J840" i="6" s="1"/>
  <c r="H816" i="4"/>
  <c r="F816" i="4"/>
  <c r="E816" i="4"/>
  <c r="J839" i="6" s="1"/>
  <c r="H815" i="4"/>
  <c r="F815" i="4"/>
  <c r="E815" i="4"/>
  <c r="J838" i="6" s="1"/>
  <c r="H814" i="4"/>
  <c r="F814" i="4"/>
  <c r="E814" i="4"/>
  <c r="J837" i="6" s="1"/>
  <c r="H813" i="4"/>
  <c r="F813" i="4"/>
  <c r="E813" i="4"/>
  <c r="J836" i="6" s="1"/>
  <c r="H812" i="4"/>
  <c r="F812" i="4"/>
  <c r="E812" i="4"/>
  <c r="J835" i="6" s="1"/>
  <c r="H811" i="4"/>
  <c r="F811" i="4"/>
  <c r="E811" i="4"/>
  <c r="J834" i="6" s="1"/>
  <c r="H810" i="4"/>
  <c r="F810" i="4"/>
  <c r="E810" i="4"/>
  <c r="J833" i="6" s="1"/>
  <c r="H809" i="4"/>
  <c r="F809" i="4"/>
  <c r="E809" i="4"/>
  <c r="J832" i="6" s="1"/>
  <c r="H808" i="4"/>
  <c r="F808" i="4"/>
  <c r="E808" i="4"/>
  <c r="J831" i="6" s="1"/>
  <c r="H807" i="4"/>
  <c r="F807" i="4"/>
  <c r="E807" i="4"/>
  <c r="J830" i="6" s="1"/>
  <c r="H806" i="4"/>
  <c r="F806" i="4"/>
  <c r="E806" i="4"/>
  <c r="J829" i="6" s="1"/>
  <c r="H805" i="4"/>
  <c r="F805" i="4"/>
  <c r="E805" i="4"/>
  <c r="J828" i="6" s="1"/>
  <c r="H804" i="4"/>
  <c r="F804" i="4"/>
  <c r="E804" i="4"/>
  <c r="J827" i="6" s="1"/>
  <c r="H803" i="4"/>
  <c r="F803" i="4"/>
  <c r="E803" i="4"/>
  <c r="J826" i="6" s="1"/>
  <c r="H802" i="4"/>
  <c r="F802" i="4"/>
  <c r="E802" i="4"/>
  <c r="J825" i="6" s="1"/>
  <c r="H801" i="4"/>
  <c r="F801" i="4"/>
  <c r="E801" i="4"/>
  <c r="J824" i="6" s="1"/>
  <c r="H800" i="4"/>
  <c r="F800" i="4"/>
  <c r="E800" i="4"/>
  <c r="J823" i="6" s="1"/>
  <c r="H799" i="4"/>
  <c r="F799" i="4"/>
  <c r="E799" i="4"/>
  <c r="J822" i="6" s="1"/>
  <c r="H798" i="4"/>
  <c r="F798" i="4"/>
  <c r="E798" i="4"/>
  <c r="J821" i="6" s="1"/>
  <c r="H797" i="4"/>
  <c r="F797" i="4"/>
  <c r="E797" i="4"/>
  <c r="J820" i="6" s="1"/>
  <c r="H796" i="4"/>
  <c r="F796" i="4"/>
  <c r="E796" i="4"/>
  <c r="J819" i="6" s="1"/>
  <c r="H795" i="4"/>
  <c r="F795" i="4"/>
  <c r="E795" i="4"/>
  <c r="J818" i="6" s="1"/>
  <c r="H794" i="4"/>
  <c r="F794" i="4"/>
  <c r="E794" i="4"/>
  <c r="J817" i="6" s="1"/>
  <c r="H793" i="4"/>
  <c r="F793" i="4"/>
  <c r="E793" i="4"/>
  <c r="J816" i="6" s="1"/>
  <c r="H792" i="4"/>
  <c r="F792" i="4"/>
  <c r="E792" i="4"/>
  <c r="J815" i="6" s="1"/>
  <c r="H791" i="4"/>
  <c r="F791" i="4"/>
  <c r="E791" i="4"/>
  <c r="J814" i="6" s="1"/>
  <c r="H790" i="4"/>
  <c r="F790" i="4"/>
  <c r="E790" i="4"/>
  <c r="J813" i="6" s="1"/>
  <c r="H789" i="4"/>
  <c r="F789" i="4"/>
  <c r="E789" i="4"/>
  <c r="J812" i="6" s="1"/>
  <c r="H788" i="4"/>
  <c r="F788" i="4"/>
  <c r="E788" i="4"/>
  <c r="J811" i="6" s="1"/>
  <c r="H787" i="4"/>
  <c r="F787" i="4"/>
  <c r="E787" i="4"/>
  <c r="J810" i="6" s="1"/>
  <c r="H786" i="4"/>
  <c r="F786" i="4"/>
  <c r="E786" i="4"/>
  <c r="J809" i="6" s="1"/>
  <c r="H785" i="4"/>
  <c r="F785" i="4"/>
  <c r="E785" i="4"/>
  <c r="J808" i="6" s="1"/>
  <c r="H784" i="4"/>
  <c r="F784" i="4"/>
  <c r="E784" i="4"/>
  <c r="J807" i="6" s="1"/>
  <c r="H783" i="4"/>
  <c r="F783" i="4"/>
  <c r="E783" i="4"/>
  <c r="J806" i="6" s="1"/>
  <c r="H782" i="4"/>
  <c r="F782" i="4"/>
  <c r="E782" i="4"/>
  <c r="J805" i="6" s="1"/>
  <c r="H781" i="4"/>
  <c r="F781" i="4"/>
  <c r="E781" i="4"/>
  <c r="J804" i="6" s="1"/>
  <c r="H780" i="4"/>
  <c r="F780" i="4"/>
  <c r="E780" i="4"/>
  <c r="J803" i="6" s="1"/>
  <c r="H779" i="4"/>
  <c r="F779" i="4"/>
  <c r="E779" i="4"/>
  <c r="J802" i="6" s="1"/>
  <c r="H778" i="4"/>
  <c r="F778" i="4"/>
  <c r="E778" i="4"/>
  <c r="J801" i="6" s="1"/>
  <c r="H777" i="4"/>
  <c r="F777" i="4"/>
  <c r="E777" i="4"/>
  <c r="J800" i="6" s="1"/>
  <c r="H776" i="4"/>
  <c r="F776" i="4"/>
  <c r="E776" i="4"/>
  <c r="J799" i="6" s="1"/>
  <c r="H775" i="4"/>
  <c r="F775" i="4"/>
  <c r="E775" i="4"/>
  <c r="J798" i="6" s="1"/>
  <c r="H774" i="4"/>
  <c r="F774" i="4"/>
  <c r="E774" i="4"/>
  <c r="J797" i="6" s="1"/>
  <c r="H773" i="4"/>
  <c r="F773" i="4"/>
  <c r="E773" i="4"/>
  <c r="J796" i="6" s="1"/>
  <c r="H772" i="4"/>
  <c r="F772" i="4"/>
  <c r="E772" i="4"/>
  <c r="J795" i="6" s="1"/>
  <c r="H771" i="4"/>
  <c r="F771" i="4"/>
  <c r="E771" i="4"/>
  <c r="J794" i="6" s="1"/>
  <c r="H770" i="4"/>
  <c r="F770" i="4"/>
  <c r="E770" i="4"/>
  <c r="J793" i="6" s="1"/>
  <c r="H769" i="4"/>
  <c r="F769" i="4"/>
  <c r="E769" i="4"/>
  <c r="J792" i="6" s="1"/>
  <c r="H768" i="4"/>
  <c r="F768" i="4"/>
  <c r="E768" i="4"/>
  <c r="J791" i="6" s="1"/>
  <c r="H767" i="4"/>
  <c r="F767" i="4"/>
  <c r="E767" i="4"/>
  <c r="J790" i="6" s="1"/>
  <c r="H766" i="4"/>
  <c r="F766" i="4"/>
  <c r="E766" i="4"/>
  <c r="J789" i="6" s="1"/>
  <c r="H765" i="4"/>
  <c r="F765" i="4"/>
  <c r="E765" i="4"/>
  <c r="J788" i="6" s="1"/>
  <c r="H764" i="4"/>
  <c r="F764" i="4"/>
  <c r="E764" i="4"/>
  <c r="J787" i="6" s="1"/>
  <c r="H763" i="4"/>
  <c r="F763" i="4"/>
  <c r="E763" i="4"/>
  <c r="J786" i="6" s="1"/>
  <c r="H762" i="4"/>
  <c r="F762" i="4"/>
  <c r="E762" i="4"/>
  <c r="J785" i="6" s="1"/>
  <c r="H761" i="4"/>
  <c r="F761" i="4"/>
  <c r="E761" i="4"/>
  <c r="J784" i="6" s="1"/>
  <c r="H760" i="4"/>
  <c r="F760" i="4"/>
  <c r="E760" i="4"/>
  <c r="J783" i="6" s="1"/>
  <c r="H759" i="4"/>
  <c r="F759" i="4"/>
  <c r="E759" i="4"/>
  <c r="J782" i="6" s="1"/>
  <c r="H758" i="4"/>
  <c r="F758" i="4"/>
  <c r="E758" i="4"/>
  <c r="J781" i="6" s="1"/>
  <c r="H757" i="4"/>
  <c r="F757" i="4"/>
  <c r="E757" i="4"/>
  <c r="J780" i="6" s="1"/>
  <c r="H756" i="4"/>
  <c r="F756" i="4"/>
  <c r="E756" i="4"/>
  <c r="J779" i="6" s="1"/>
  <c r="H755" i="4"/>
  <c r="F755" i="4"/>
  <c r="E755" i="4"/>
  <c r="J778" i="6" s="1"/>
  <c r="H754" i="4"/>
  <c r="F754" i="4"/>
  <c r="E754" i="4"/>
  <c r="J777" i="6" s="1"/>
  <c r="H753" i="4"/>
  <c r="F753" i="4"/>
  <c r="E753" i="4"/>
  <c r="J776" i="6" s="1"/>
  <c r="H752" i="4"/>
  <c r="F752" i="4"/>
  <c r="E752" i="4"/>
  <c r="J775" i="6" s="1"/>
  <c r="H751" i="4"/>
  <c r="F751" i="4"/>
  <c r="E751" i="4"/>
  <c r="J774" i="6" s="1"/>
  <c r="H750" i="4"/>
  <c r="F750" i="4"/>
  <c r="E750" i="4"/>
  <c r="J773" i="6" s="1"/>
  <c r="H749" i="4"/>
  <c r="F749" i="4"/>
  <c r="E749" i="4"/>
  <c r="J772" i="6" s="1"/>
  <c r="H748" i="4"/>
  <c r="F748" i="4"/>
  <c r="E748" i="4"/>
  <c r="J771" i="6" s="1"/>
  <c r="H747" i="4"/>
  <c r="F747" i="4"/>
  <c r="E747" i="4"/>
  <c r="J770" i="6" s="1"/>
  <c r="H746" i="4"/>
  <c r="F746" i="4"/>
  <c r="E746" i="4"/>
  <c r="J769" i="6" s="1"/>
  <c r="H745" i="4"/>
  <c r="F745" i="4"/>
  <c r="E745" i="4"/>
  <c r="J768" i="6" s="1"/>
  <c r="H744" i="4"/>
  <c r="F744" i="4"/>
  <c r="E744" i="4"/>
  <c r="J767" i="6" s="1"/>
  <c r="H743" i="4"/>
  <c r="F743" i="4"/>
  <c r="E743" i="4"/>
  <c r="J766" i="6" s="1"/>
  <c r="H742" i="4"/>
  <c r="F742" i="4"/>
  <c r="E742" i="4"/>
  <c r="J765" i="6" s="1"/>
  <c r="H741" i="4"/>
  <c r="F741" i="4"/>
  <c r="E741" i="4"/>
  <c r="J764" i="6" s="1"/>
  <c r="H740" i="4"/>
  <c r="F740" i="4"/>
  <c r="E740" i="4"/>
  <c r="J763" i="6" s="1"/>
  <c r="H739" i="4"/>
  <c r="F739" i="4"/>
  <c r="E739" i="4"/>
  <c r="J762" i="6" s="1"/>
  <c r="H738" i="4"/>
  <c r="F738" i="4"/>
  <c r="E738" i="4"/>
  <c r="J761" i="6" s="1"/>
  <c r="H737" i="4"/>
  <c r="F737" i="4"/>
  <c r="E737" i="4"/>
  <c r="J760" i="6" s="1"/>
  <c r="H736" i="4"/>
  <c r="F736" i="4"/>
  <c r="E736" i="4"/>
  <c r="J759" i="6" s="1"/>
  <c r="H735" i="4"/>
  <c r="F735" i="4"/>
  <c r="E735" i="4"/>
  <c r="J758" i="6" s="1"/>
  <c r="H734" i="4"/>
  <c r="F734" i="4"/>
  <c r="E734" i="4"/>
  <c r="J757" i="6" s="1"/>
  <c r="H733" i="4"/>
  <c r="F733" i="4"/>
  <c r="E733" i="4"/>
  <c r="J756" i="6" s="1"/>
  <c r="H732" i="4"/>
  <c r="F732" i="4"/>
  <c r="E732" i="4"/>
  <c r="J755" i="6" s="1"/>
  <c r="H731" i="4"/>
  <c r="F731" i="4"/>
  <c r="E731" i="4"/>
  <c r="J754" i="6" s="1"/>
  <c r="H730" i="4"/>
  <c r="F730" i="4"/>
  <c r="E730" i="4"/>
  <c r="J753" i="6" s="1"/>
  <c r="H729" i="4"/>
  <c r="F729" i="4"/>
  <c r="E729" i="4"/>
  <c r="J752" i="6" s="1"/>
  <c r="H728" i="4"/>
  <c r="F728" i="4"/>
  <c r="E728" i="4"/>
  <c r="J751" i="6" s="1"/>
  <c r="H727" i="4"/>
  <c r="F727" i="4"/>
  <c r="E727" i="4"/>
  <c r="J750" i="6" s="1"/>
  <c r="H726" i="4"/>
  <c r="F726" i="4"/>
  <c r="E726" i="4"/>
  <c r="J749" i="6" s="1"/>
  <c r="H725" i="4"/>
  <c r="F725" i="4"/>
  <c r="E725" i="4"/>
  <c r="J748" i="6" s="1"/>
  <c r="H724" i="4"/>
  <c r="F724" i="4"/>
  <c r="E724" i="4"/>
  <c r="J747" i="6" s="1"/>
  <c r="H723" i="4"/>
  <c r="F723" i="4"/>
  <c r="E723" i="4"/>
  <c r="J746" i="6" s="1"/>
  <c r="H722" i="4"/>
  <c r="F722" i="4"/>
  <c r="E722" i="4"/>
  <c r="J745" i="6" s="1"/>
  <c r="H721" i="4"/>
  <c r="F721" i="4"/>
  <c r="E721" i="4"/>
  <c r="J744" i="6" s="1"/>
  <c r="H720" i="4"/>
  <c r="F720" i="4"/>
  <c r="E720" i="4"/>
  <c r="J743" i="6" s="1"/>
  <c r="H719" i="4"/>
  <c r="F719" i="4"/>
  <c r="E719" i="4"/>
  <c r="J742" i="6" s="1"/>
  <c r="H718" i="4"/>
  <c r="F718" i="4"/>
  <c r="E718" i="4"/>
  <c r="J741" i="6" s="1"/>
  <c r="H717" i="4"/>
  <c r="F717" i="4"/>
  <c r="E717" i="4"/>
  <c r="J740" i="6" s="1"/>
  <c r="H716" i="4"/>
  <c r="F716" i="4"/>
  <c r="E716" i="4"/>
  <c r="J739" i="6" s="1"/>
  <c r="H715" i="4"/>
  <c r="F715" i="4"/>
  <c r="E715" i="4"/>
  <c r="J738" i="6" s="1"/>
  <c r="H714" i="4"/>
  <c r="F714" i="4"/>
  <c r="E714" i="4"/>
  <c r="J737" i="6" s="1"/>
  <c r="H713" i="4"/>
  <c r="F713" i="4"/>
  <c r="E713" i="4"/>
  <c r="J736" i="6" s="1"/>
  <c r="H712" i="4"/>
  <c r="F712" i="4"/>
  <c r="E712" i="4"/>
  <c r="J735" i="6" s="1"/>
  <c r="H711" i="4"/>
  <c r="F711" i="4"/>
  <c r="E711" i="4"/>
  <c r="J734" i="6" s="1"/>
  <c r="H710" i="4"/>
  <c r="F710" i="4"/>
  <c r="E710" i="4"/>
  <c r="J733" i="6" s="1"/>
  <c r="H709" i="4"/>
  <c r="F709" i="4"/>
  <c r="E709" i="4"/>
  <c r="J732" i="6" s="1"/>
  <c r="H708" i="4"/>
  <c r="F708" i="4"/>
  <c r="E708" i="4"/>
  <c r="J731" i="6" s="1"/>
  <c r="H707" i="4"/>
  <c r="F707" i="4"/>
  <c r="E707" i="4"/>
  <c r="J730" i="6" s="1"/>
  <c r="H706" i="4"/>
  <c r="F706" i="4"/>
  <c r="E706" i="4"/>
  <c r="J729" i="6" s="1"/>
  <c r="H705" i="4"/>
  <c r="F705" i="4"/>
  <c r="E705" i="4"/>
  <c r="J728" i="6" s="1"/>
  <c r="H704" i="4"/>
  <c r="F704" i="4"/>
  <c r="E704" i="4"/>
  <c r="J727" i="6" s="1"/>
  <c r="H703" i="4"/>
  <c r="F703" i="4"/>
  <c r="E703" i="4"/>
  <c r="J726" i="6" s="1"/>
  <c r="H702" i="4"/>
  <c r="F702" i="4"/>
  <c r="E702" i="4"/>
  <c r="J725" i="6" s="1"/>
  <c r="H701" i="4"/>
  <c r="F701" i="4"/>
  <c r="E701" i="4"/>
  <c r="J724" i="6" s="1"/>
  <c r="H700" i="4"/>
  <c r="F700" i="4"/>
  <c r="E700" i="4"/>
  <c r="J723" i="6" s="1"/>
  <c r="H699" i="4"/>
  <c r="F699" i="4"/>
  <c r="E699" i="4"/>
  <c r="H698" i="4"/>
  <c r="F698" i="4"/>
  <c r="E698" i="4"/>
  <c r="H697" i="4"/>
  <c r="F697" i="4"/>
  <c r="E697" i="4"/>
  <c r="H696" i="4"/>
  <c r="F696" i="4"/>
  <c r="E696" i="4"/>
  <c r="H695" i="4"/>
  <c r="F695" i="4"/>
  <c r="E695" i="4"/>
  <c r="H694" i="4"/>
  <c r="F694" i="4"/>
  <c r="E694" i="4"/>
  <c r="H693" i="4"/>
  <c r="F693" i="4"/>
  <c r="E693" i="4"/>
  <c r="H692" i="4"/>
  <c r="F692" i="4"/>
  <c r="E692" i="4"/>
  <c r="H691" i="4"/>
  <c r="F691" i="4"/>
  <c r="E691" i="4"/>
  <c r="H690" i="4"/>
  <c r="F690" i="4"/>
  <c r="E690" i="4"/>
  <c r="H689" i="4"/>
  <c r="F689" i="4"/>
  <c r="E689" i="4"/>
  <c r="H688" i="4"/>
  <c r="F688" i="4"/>
  <c r="E688" i="4"/>
  <c r="H687" i="4"/>
  <c r="F687" i="4"/>
  <c r="E687" i="4"/>
  <c r="H686" i="4"/>
  <c r="F686" i="4"/>
  <c r="E686" i="4"/>
  <c r="H685" i="4"/>
  <c r="F685" i="4"/>
  <c r="E685" i="4"/>
  <c r="H684" i="4"/>
  <c r="F684" i="4"/>
  <c r="E684" i="4"/>
  <c r="H683" i="4"/>
  <c r="F683" i="4"/>
  <c r="E683" i="4"/>
  <c r="H682" i="4"/>
  <c r="F682" i="4"/>
  <c r="E682" i="4"/>
  <c r="H681" i="4"/>
  <c r="F681" i="4"/>
  <c r="E681" i="4"/>
  <c r="H680" i="4"/>
  <c r="F680" i="4"/>
  <c r="E680" i="4"/>
  <c r="H679" i="4"/>
  <c r="F679" i="4"/>
  <c r="E679" i="4"/>
  <c r="H678" i="4"/>
  <c r="F678" i="4"/>
  <c r="E678" i="4"/>
  <c r="H677" i="4"/>
  <c r="F677" i="4"/>
  <c r="E677" i="4"/>
  <c r="H676" i="4"/>
  <c r="F676" i="4"/>
  <c r="E676" i="4"/>
  <c r="H675" i="4"/>
  <c r="F675" i="4"/>
  <c r="E675" i="4"/>
  <c r="H674" i="4"/>
  <c r="F674" i="4"/>
  <c r="E674" i="4"/>
  <c r="H673" i="4"/>
  <c r="F673" i="4"/>
  <c r="E673" i="4"/>
  <c r="H672" i="4"/>
  <c r="F672" i="4"/>
  <c r="E672" i="4"/>
  <c r="H671" i="4"/>
  <c r="F671" i="4"/>
  <c r="E671" i="4"/>
  <c r="H670" i="4"/>
  <c r="F670" i="4"/>
  <c r="E670" i="4"/>
  <c r="H669" i="4"/>
  <c r="F669" i="4"/>
  <c r="E669" i="4"/>
  <c r="H668" i="4"/>
  <c r="F668" i="4"/>
  <c r="E668" i="4"/>
  <c r="H667" i="4"/>
  <c r="F667" i="4"/>
  <c r="E667" i="4"/>
  <c r="H666" i="4"/>
  <c r="F666" i="4"/>
  <c r="E666" i="4"/>
  <c r="H665" i="4"/>
  <c r="F665" i="4"/>
  <c r="E665" i="4"/>
  <c r="H664" i="4"/>
  <c r="F664" i="4"/>
  <c r="E664" i="4"/>
  <c r="H663" i="4"/>
  <c r="F663" i="4"/>
  <c r="E663" i="4"/>
  <c r="H662" i="4"/>
  <c r="F662" i="4"/>
  <c r="E662" i="4"/>
  <c r="H661" i="4"/>
  <c r="F661" i="4"/>
  <c r="E661" i="4"/>
  <c r="H660" i="4"/>
  <c r="F660" i="4"/>
  <c r="E660" i="4"/>
  <c r="H659" i="4"/>
  <c r="F659" i="4"/>
  <c r="E659" i="4"/>
  <c r="H658" i="4"/>
  <c r="F658" i="4"/>
  <c r="E658" i="4"/>
  <c r="H657" i="4"/>
  <c r="F657" i="4"/>
  <c r="E657" i="4"/>
  <c r="H656" i="4"/>
  <c r="F656" i="4"/>
  <c r="E656" i="4"/>
  <c r="H655" i="4"/>
  <c r="F655" i="4"/>
  <c r="E655" i="4"/>
  <c r="H654" i="4"/>
  <c r="F654" i="4"/>
  <c r="E654" i="4"/>
  <c r="H653" i="4"/>
  <c r="F653" i="4"/>
  <c r="E653" i="4"/>
  <c r="H652" i="4"/>
  <c r="F652" i="4"/>
  <c r="E652" i="4"/>
  <c r="H651" i="4"/>
  <c r="F651" i="4"/>
  <c r="E651" i="4"/>
  <c r="H650" i="4"/>
  <c r="F650" i="4"/>
  <c r="E650" i="4"/>
  <c r="H649" i="4"/>
  <c r="F649" i="4"/>
  <c r="E649" i="4"/>
  <c r="H648" i="4"/>
  <c r="F648" i="4"/>
  <c r="E648" i="4"/>
  <c r="H647" i="4"/>
  <c r="F647" i="4"/>
  <c r="E647" i="4"/>
  <c r="H646" i="4"/>
  <c r="F646" i="4"/>
  <c r="E646" i="4"/>
  <c r="H645" i="4"/>
  <c r="F645" i="4"/>
  <c r="E645" i="4"/>
  <c r="H644" i="4"/>
  <c r="F644" i="4"/>
  <c r="E644" i="4"/>
  <c r="H643" i="4"/>
  <c r="F643" i="4"/>
  <c r="E643" i="4"/>
  <c r="H642" i="4"/>
  <c r="F642" i="4"/>
  <c r="E642" i="4"/>
  <c r="H641" i="4"/>
  <c r="F641" i="4"/>
  <c r="E641" i="4"/>
  <c r="H640" i="4"/>
  <c r="F640" i="4"/>
  <c r="E640" i="4"/>
  <c r="H639" i="4"/>
  <c r="F639" i="4"/>
  <c r="E639" i="4"/>
  <c r="H638" i="4"/>
  <c r="F638" i="4"/>
  <c r="E638" i="4"/>
  <c r="H637" i="4"/>
  <c r="F637" i="4"/>
  <c r="E637" i="4"/>
  <c r="H636" i="4"/>
  <c r="F636" i="4"/>
  <c r="E636" i="4"/>
  <c r="H635" i="4"/>
  <c r="F635" i="4"/>
  <c r="E635" i="4"/>
  <c r="H634" i="4"/>
  <c r="F634" i="4"/>
  <c r="E634" i="4"/>
  <c r="H633" i="4"/>
  <c r="F633" i="4"/>
  <c r="E633" i="4"/>
  <c r="H632" i="4"/>
  <c r="F632" i="4"/>
  <c r="E632" i="4"/>
  <c r="H631" i="4"/>
  <c r="F631" i="4"/>
  <c r="E631" i="4"/>
  <c r="H630" i="4"/>
  <c r="F630" i="4"/>
  <c r="E630" i="4"/>
  <c r="H629" i="4"/>
  <c r="F629" i="4"/>
  <c r="E629" i="4"/>
  <c r="H628" i="4"/>
  <c r="F628" i="4"/>
  <c r="E628" i="4"/>
  <c r="H627" i="4"/>
  <c r="F627" i="4"/>
  <c r="E627" i="4"/>
  <c r="H626" i="4"/>
  <c r="F626" i="4"/>
  <c r="E626" i="4"/>
  <c r="H625" i="4"/>
  <c r="F625" i="4"/>
  <c r="E625" i="4"/>
  <c r="H624" i="4"/>
  <c r="F624" i="4"/>
  <c r="E624" i="4"/>
  <c r="H623" i="4"/>
  <c r="F623" i="4"/>
  <c r="E623" i="4"/>
  <c r="H622" i="4"/>
  <c r="F622" i="4"/>
  <c r="E622" i="4"/>
  <c r="H621" i="4"/>
  <c r="F621" i="4"/>
  <c r="E621" i="4"/>
  <c r="H620" i="4"/>
  <c r="F620" i="4"/>
  <c r="E620" i="4"/>
  <c r="H619" i="4"/>
  <c r="F619" i="4"/>
  <c r="E619" i="4"/>
  <c r="H618" i="4"/>
  <c r="F618" i="4"/>
  <c r="E618" i="4"/>
  <c r="H617" i="4"/>
  <c r="F617" i="4"/>
  <c r="E617" i="4"/>
  <c r="H616" i="4"/>
  <c r="F616" i="4"/>
  <c r="E616" i="4"/>
  <c r="H615" i="4"/>
  <c r="F615" i="4"/>
  <c r="E615" i="4"/>
  <c r="H614" i="4"/>
  <c r="F614" i="4"/>
  <c r="E614" i="4"/>
  <c r="H613" i="4"/>
  <c r="F613" i="4"/>
  <c r="E613" i="4"/>
  <c r="H612" i="4"/>
  <c r="F612" i="4"/>
  <c r="E612" i="4"/>
  <c r="H611" i="4"/>
  <c r="F611" i="4"/>
  <c r="E611" i="4"/>
  <c r="H610" i="4"/>
  <c r="F610" i="4"/>
  <c r="E610" i="4"/>
  <c r="H609" i="4"/>
  <c r="F609" i="4"/>
  <c r="E609" i="4"/>
  <c r="H608" i="4"/>
  <c r="F608" i="4"/>
  <c r="E608" i="4"/>
  <c r="H607" i="4"/>
  <c r="F607" i="4"/>
  <c r="E607" i="4"/>
  <c r="H606" i="4"/>
  <c r="F606" i="4"/>
  <c r="E606" i="4"/>
  <c r="H605" i="4"/>
  <c r="F605" i="4"/>
  <c r="E605" i="4"/>
  <c r="H604" i="4"/>
  <c r="F604" i="4"/>
  <c r="E604" i="4"/>
  <c r="H603" i="4"/>
  <c r="F603" i="4"/>
  <c r="E603" i="4"/>
  <c r="H602" i="4"/>
  <c r="F602" i="4"/>
  <c r="E602" i="4"/>
  <c r="H601" i="4"/>
  <c r="F601" i="4"/>
  <c r="E601" i="4"/>
  <c r="H600" i="4"/>
  <c r="F600" i="4"/>
  <c r="E600" i="4"/>
  <c r="H599" i="4"/>
  <c r="F599" i="4"/>
  <c r="E599" i="4"/>
  <c r="J622" i="6" s="1"/>
  <c r="H598" i="4"/>
  <c r="F598" i="4"/>
  <c r="E598" i="4"/>
  <c r="J621" i="6" s="1"/>
  <c r="H597" i="4"/>
  <c r="F597" i="4"/>
  <c r="E597" i="4"/>
  <c r="J620" i="6" s="1"/>
  <c r="H596" i="4"/>
  <c r="F596" i="4"/>
  <c r="E596" i="4"/>
  <c r="J619" i="6" s="1"/>
  <c r="H595" i="4"/>
  <c r="F595" i="4"/>
  <c r="E595" i="4"/>
  <c r="J618" i="6" s="1"/>
  <c r="H594" i="4"/>
  <c r="F594" i="4"/>
  <c r="E594" i="4"/>
  <c r="J617" i="6" s="1"/>
  <c r="H593" i="4"/>
  <c r="F593" i="4"/>
  <c r="E593" i="4"/>
  <c r="J616" i="6" s="1"/>
  <c r="H592" i="4"/>
  <c r="F592" i="4"/>
  <c r="E592" i="4"/>
  <c r="J615" i="6" s="1"/>
  <c r="H591" i="4"/>
  <c r="F591" i="4"/>
  <c r="E591" i="4"/>
  <c r="J614" i="6" s="1"/>
  <c r="H590" i="4"/>
  <c r="F590" i="4"/>
  <c r="E590" i="4"/>
  <c r="J613" i="6" s="1"/>
  <c r="H589" i="4"/>
  <c r="F589" i="4"/>
  <c r="E589" i="4"/>
  <c r="J612" i="6" s="1"/>
  <c r="H588" i="4"/>
  <c r="F588" i="4"/>
  <c r="E588" i="4"/>
  <c r="J611" i="6" s="1"/>
  <c r="H587" i="4"/>
  <c r="F587" i="4"/>
  <c r="E587" i="4"/>
  <c r="J610" i="6" s="1"/>
  <c r="H586" i="4"/>
  <c r="F586" i="4"/>
  <c r="E586" i="4"/>
  <c r="J609" i="6" s="1"/>
  <c r="H585" i="4"/>
  <c r="F585" i="4"/>
  <c r="E585" i="4"/>
  <c r="J608" i="6" s="1"/>
  <c r="H584" i="4"/>
  <c r="F584" i="4"/>
  <c r="E584" i="4"/>
  <c r="J607" i="6" s="1"/>
  <c r="H583" i="4"/>
  <c r="F583" i="4"/>
  <c r="E583" i="4"/>
  <c r="J606" i="6" s="1"/>
  <c r="H582" i="4"/>
  <c r="F582" i="4"/>
  <c r="E582" i="4"/>
  <c r="J605" i="6" s="1"/>
  <c r="H581" i="4"/>
  <c r="F581" i="4"/>
  <c r="E581" i="4"/>
  <c r="J604" i="6" s="1"/>
  <c r="H580" i="4"/>
  <c r="F580" i="4"/>
  <c r="E580" i="4"/>
  <c r="J603" i="6" s="1"/>
  <c r="H579" i="4"/>
  <c r="F579" i="4"/>
  <c r="E579" i="4"/>
  <c r="J602" i="6" s="1"/>
  <c r="H578" i="4"/>
  <c r="F578" i="4"/>
  <c r="E578" i="4"/>
  <c r="J601" i="6" s="1"/>
  <c r="H577" i="4"/>
  <c r="F577" i="4"/>
  <c r="E577" i="4"/>
  <c r="J600" i="6" s="1"/>
  <c r="H576" i="4"/>
  <c r="F576" i="4"/>
  <c r="E576" i="4"/>
  <c r="J599" i="6" s="1"/>
  <c r="H575" i="4"/>
  <c r="F575" i="4"/>
  <c r="E575" i="4"/>
  <c r="J598" i="6" s="1"/>
  <c r="H574" i="4"/>
  <c r="F574" i="4"/>
  <c r="E574" i="4"/>
  <c r="J597" i="6" s="1"/>
  <c r="H573" i="4"/>
  <c r="F573" i="4"/>
  <c r="E573" i="4"/>
  <c r="J596" i="6" s="1"/>
  <c r="H572" i="4"/>
  <c r="F572" i="4"/>
  <c r="E572" i="4"/>
  <c r="J595" i="6" s="1"/>
  <c r="H571" i="4"/>
  <c r="F571" i="4"/>
  <c r="E571" i="4"/>
  <c r="J594" i="6" s="1"/>
  <c r="H570" i="4"/>
  <c r="F570" i="4"/>
  <c r="E570" i="4"/>
  <c r="J593" i="6" s="1"/>
  <c r="H569" i="4"/>
  <c r="F569" i="4"/>
  <c r="E569" i="4"/>
  <c r="J592" i="6" s="1"/>
  <c r="H568" i="4"/>
  <c r="F568" i="4"/>
  <c r="E568" i="4"/>
  <c r="J591" i="6" s="1"/>
  <c r="H567" i="4"/>
  <c r="F567" i="4"/>
  <c r="E567" i="4"/>
  <c r="J590" i="6" s="1"/>
  <c r="H566" i="4"/>
  <c r="F566" i="4"/>
  <c r="E566" i="4"/>
  <c r="J589" i="6" s="1"/>
  <c r="H565" i="4"/>
  <c r="F565" i="4"/>
  <c r="E565" i="4"/>
  <c r="J588" i="6" s="1"/>
  <c r="H564" i="4"/>
  <c r="F564" i="4"/>
  <c r="E564" i="4"/>
  <c r="J587" i="6" s="1"/>
  <c r="H563" i="4"/>
  <c r="F563" i="4"/>
  <c r="E563" i="4"/>
  <c r="J586" i="6" s="1"/>
  <c r="H562" i="4"/>
  <c r="F562" i="4"/>
  <c r="E562" i="4"/>
  <c r="J585" i="6" s="1"/>
  <c r="H561" i="4"/>
  <c r="F561" i="4"/>
  <c r="E561" i="4"/>
  <c r="J584" i="6" s="1"/>
  <c r="H560" i="4"/>
  <c r="F560" i="4"/>
  <c r="E560" i="4"/>
  <c r="J583" i="6" s="1"/>
  <c r="H559" i="4"/>
  <c r="F559" i="4"/>
  <c r="E559" i="4"/>
  <c r="J582" i="6" s="1"/>
  <c r="H558" i="4"/>
  <c r="F558" i="4"/>
  <c r="E558" i="4"/>
  <c r="J581" i="6" s="1"/>
  <c r="H557" i="4"/>
  <c r="F557" i="4"/>
  <c r="E557" i="4"/>
  <c r="J580" i="6" s="1"/>
  <c r="H556" i="4"/>
  <c r="F556" i="4"/>
  <c r="E556" i="4"/>
  <c r="J579" i="6" s="1"/>
  <c r="H555" i="4"/>
  <c r="F555" i="4"/>
  <c r="E555" i="4"/>
  <c r="J578" i="6" s="1"/>
  <c r="H554" i="4"/>
  <c r="F554" i="4"/>
  <c r="E554" i="4"/>
  <c r="J577" i="6" s="1"/>
  <c r="H553" i="4"/>
  <c r="F553" i="4"/>
  <c r="E553" i="4"/>
  <c r="J576" i="6" s="1"/>
  <c r="H552" i="4"/>
  <c r="F552" i="4"/>
  <c r="E552" i="4"/>
  <c r="J575" i="6" s="1"/>
  <c r="H551" i="4"/>
  <c r="F551" i="4"/>
  <c r="E551" i="4"/>
  <c r="J574" i="6" s="1"/>
  <c r="H550" i="4"/>
  <c r="F550" i="4"/>
  <c r="E550" i="4"/>
  <c r="J573" i="6" s="1"/>
  <c r="H549" i="4"/>
  <c r="F549" i="4"/>
  <c r="E549" i="4"/>
  <c r="J572" i="6" s="1"/>
  <c r="H548" i="4"/>
  <c r="F548" i="4"/>
  <c r="E548" i="4"/>
  <c r="J571" i="6" s="1"/>
  <c r="H547" i="4"/>
  <c r="F547" i="4"/>
  <c r="E547" i="4"/>
  <c r="J570" i="6" s="1"/>
  <c r="H546" i="4"/>
  <c r="F546" i="4"/>
  <c r="E546" i="4"/>
  <c r="J569" i="6" s="1"/>
  <c r="H545" i="4"/>
  <c r="F545" i="4"/>
  <c r="E545" i="4"/>
  <c r="J568" i="6" s="1"/>
  <c r="H544" i="4"/>
  <c r="F544" i="4"/>
  <c r="E544" i="4"/>
  <c r="J567" i="6" s="1"/>
  <c r="H543" i="4"/>
  <c r="F543" i="4"/>
  <c r="E543" i="4"/>
  <c r="J566" i="6" s="1"/>
  <c r="H542" i="4"/>
  <c r="F542" i="4"/>
  <c r="E542" i="4"/>
  <c r="J565" i="6" s="1"/>
  <c r="H541" i="4"/>
  <c r="F541" i="4"/>
  <c r="E541" i="4"/>
  <c r="J564" i="6" s="1"/>
  <c r="H540" i="4"/>
  <c r="F540" i="4"/>
  <c r="E540" i="4"/>
  <c r="J563" i="6" s="1"/>
  <c r="H539" i="4"/>
  <c r="F539" i="4"/>
  <c r="E539" i="4"/>
  <c r="J562" i="6" s="1"/>
  <c r="H538" i="4"/>
  <c r="F538" i="4"/>
  <c r="E538" i="4"/>
  <c r="J561" i="6" s="1"/>
  <c r="H537" i="4"/>
  <c r="F537" i="4"/>
  <c r="E537" i="4"/>
  <c r="J560" i="6" s="1"/>
  <c r="H536" i="4"/>
  <c r="F536" i="4"/>
  <c r="E536" i="4"/>
  <c r="J559" i="6" s="1"/>
  <c r="H535" i="4"/>
  <c r="F535" i="4"/>
  <c r="E535" i="4"/>
  <c r="J558" i="6" s="1"/>
  <c r="H534" i="4"/>
  <c r="F534" i="4"/>
  <c r="E534" i="4"/>
  <c r="J557" i="6" s="1"/>
  <c r="H533" i="4"/>
  <c r="F533" i="4"/>
  <c r="E533" i="4"/>
  <c r="J556" i="6" s="1"/>
  <c r="H532" i="4"/>
  <c r="F532" i="4"/>
  <c r="E532" i="4"/>
  <c r="J555" i="6" s="1"/>
  <c r="H531" i="4"/>
  <c r="F531" i="4"/>
  <c r="E531" i="4"/>
  <c r="J554" i="6" s="1"/>
  <c r="H530" i="4"/>
  <c r="F530" i="4"/>
  <c r="E530" i="4"/>
  <c r="J553" i="6" s="1"/>
  <c r="H529" i="4"/>
  <c r="F529" i="4"/>
  <c r="E529" i="4"/>
  <c r="J552" i="6" s="1"/>
  <c r="H528" i="4"/>
  <c r="F528" i="4"/>
  <c r="E528" i="4"/>
  <c r="J551" i="6" s="1"/>
  <c r="H527" i="4"/>
  <c r="F527" i="4"/>
  <c r="E527" i="4"/>
  <c r="J550" i="6" s="1"/>
  <c r="H526" i="4"/>
  <c r="F526" i="4"/>
  <c r="E526" i="4"/>
  <c r="J549" i="6" s="1"/>
  <c r="H525" i="4"/>
  <c r="F525" i="4"/>
  <c r="E525" i="4"/>
  <c r="J548" i="6" s="1"/>
  <c r="H524" i="4"/>
  <c r="F524" i="4"/>
  <c r="E524" i="4"/>
  <c r="J547" i="6" s="1"/>
  <c r="H523" i="4"/>
  <c r="F523" i="4"/>
  <c r="E523" i="4"/>
  <c r="J546" i="6" s="1"/>
  <c r="H522" i="4"/>
  <c r="F522" i="4"/>
  <c r="E522" i="4"/>
  <c r="J545" i="6" s="1"/>
  <c r="H521" i="4"/>
  <c r="F521" i="4"/>
  <c r="E521" i="4"/>
  <c r="J544" i="6" s="1"/>
  <c r="H520" i="4"/>
  <c r="F520" i="4"/>
  <c r="E520" i="4"/>
  <c r="J543" i="6" s="1"/>
  <c r="H519" i="4"/>
  <c r="F519" i="4"/>
  <c r="E519" i="4"/>
  <c r="J542" i="6" s="1"/>
  <c r="H518" i="4"/>
  <c r="F518" i="4"/>
  <c r="E518" i="4"/>
  <c r="J541" i="6" s="1"/>
  <c r="H517" i="4"/>
  <c r="F517" i="4"/>
  <c r="E517" i="4"/>
  <c r="J540" i="6" s="1"/>
  <c r="H516" i="4"/>
  <c r="F516" i="4"/>
  <c r="E516" i="4"/>
  <c r="J539" i="6" s="1"/>
  <c r="H515" i="4"/>
  <c r="F515" i="4"/>
  <c r="E515" i="4"/>
  <c r="J538" i="6" s="1"/>
  <c r="H514" i="4"/>
  <c r="F514" i="4"/>
  <c r="E514" i="4"/>
  <c r="J537" i="6" s="1"/>
  <c r="H513" i="4"/>
  <c r="F513" i="4"/>
  <c r="E513" i="4"/>
  <c r="J536" i="6" s="1"/>
  <c r="H512" i="4"/>
  <c r="F512" i="4"/>
  <c r="E512" i="4"/>
  <c r="J535" i="6" s="1"/>
  <c r="H511" i="4"/>
  <c r="F511" i="4"/>
  <c r="E511" i="4"/>
  <c r="J534" i="6" s="1"/>
  <c r="H510" i="4"/>
  <c r="F510" i="4"/>
  <c r="E510" i="4"/>
  <c r="J533" i="6" s="1"/>
  <c r="H509" i="4"/>
  <c r="F509" i="4"/>
  <c r="E509" i="4"/>
  <c r="J532" i="6" s="1"/>
  <c r="H508" i="4"/>
  <c r="F508" i="4"/>
  <c r="E508" i="4"/>
  <c r="J531" i="6" s="1"/>
  <c r="H507" i="4"/>
  <c r="F507" i="4"/>
  <c r="E507" i="4"/>
  <c r="J530" i="6" s="1"/>
  <c r="H506" i="4"/>
  <c r="F506" i="4"/>
  <c r="E506" i="4"/>
  <c r="J529" i="6" s="1"/>
  <c r="H505" i="4"/>
  <c r="F505" i="4"/>
  <c r="E505" i="4"/>
  <c r="J528" i="6" s="1"/>
  <c r="H504" i="4"/>
  <c r="F504" i="4"/>
  <c r="E504" i="4"/>
  <c r="J527" i="6" s="1"/>
  <c r="H503" i="4"/>
  <c r="F503" i="4"/>
  <c r="E503" i="4"/>
  <c r="J526" i="6" s="1"/>
  <c r="H502" i="4"/>
  <c r="F502" i="4"/>
  <c r="E502" i="4"/>
  <c r="J525" i="6" s="1"/>
  <c r="H501" i="4"/>
  <c r="F501" i="4"/>
  <c r="E501" i="4"/>
  <c r="J524" i="6" s="1"/>
  <c r="H500" i="4"/>
  <c r="F500" i="4"/>
  <c r="E500" i="4"/>
  <c r="J523" i="6" s="1"/>
  <c r="H499" i="4"/>
  <c r="F499" i="4"/>
  <c r="E499" i="4"/>
  <c r="H498" i="4"/>
  <c r="F498" i="4"/>
  <c r="E498" i="4"/>
  <c r="H497" i="4"/>
  <c r="F497" i="4"/>
  <c r="E497" i="4"/>
  <c r="H496" i="4"/>
  <c r="F496" i="4"/>
  <c r="E496" i="4"/>
  <c r="H495" i="4"/>
  <c r="F495" i="4"/>
  <c r="E495" i="4"/>
  <c r="H494" i="4"/>
  <c r="F494" i="4"/>
  <c r="E494" i="4"/>
  <c r="H493" i="4"/>
  <c r="F493" i="4"/>
  <c r="E493" i="4"/>
  <c r="H492" i="4"/>
  <c r="F492" i="4"/>
  <c r="E492" i="4"/>
  <c r="H491" i="4"/>
  <c r="F491" i="4"/>
  <c r="E491" i="4"/>
  <c r="H490" i="4"/>
  <c r="F490" i="4"/>
  <c r="E490" i="4"/>
  <c r="H489" i="4"/>
  <c r="F489" i="4"/>
  <c r="E489" i="4"/>
  <c r="H488" i="4"/>
  <c r="F488" i="4"/>
  <c r="E488" i="4"/>
  <c r="H487" i="4"/>
  <c r="F487" i="4"/>
  <c r="E487" i="4"/>
  <c r="H486" i="4"/>
  <c r="F486" i="4"/>
  <c r="E486" i="4"/>
  <c r="H485" i="4"/>
  <c r="F485" i="4"/>
  <c r="E485" i="4"/>
  <c r="H484" i="4"/>
  <c r="F484" i="4"/>
  <c r="E484" i="4"/>
  <c r="H483" i="4"/>
  <c r="F483" i="4"/>
  <c r="E483" i="4"/>
  <c r="H482" i="4"/>
  <c r="F482" i="4"/>
  <c r="E482" i="4"/>
  <c r="H481" i="4"/>
  <c r="F481" i="4"/>
  <c r="E481" i="4"/>
  <c r="H480" i="4"/>
  <c r="F480" i="4"/>
  <c r="E480" i="4"/>
  <c r="H479" i="4"/>
  <c r="F479" i="4"/>
  <c r="E479" i="4"/>
  <c r="H478" i="4"/>
  <c r="F478" i="4"/>
  <c r="E478" i="4"/>
  <c r="H477" i="4"/>
  <c r="F477" i="4"/>
  <c r="E477" i="4"/>
  <c r="H476" i="4"/>
  <c r="F476" i="4"/>
  <c r="E476" i="4"/>
  <c r="H475" i="4"/>
  <c r="F475" i="4"/>
  <c r="E475" i="4"/>
  <c r="H474" i="4"/>
  <c r="F474" i="4"/>
  <c r="E474" i="4"/>
  <c r="H473" i="4"/>
  <c r="F473" i="4"/>
  <c r="E473" i="4"/>
  <c r="H472" i="4"/>
  <c r="F472" i="4"/>
  <c r="E472" i="4"/>
  <c r="H471" i="4"/>
  <c r="F471" i="4"/>
  <c r="E471" i="4"/>
  <c r="H470" i="4"/>
  <c r="F470" i="4"/>
  <c r="E470" i="4"/>
  <c r="H469" i="4"/>
  <c r="F469" i="4"/>
  <c r="E469" i="4"/>
  <c r="H468" i="4"/>
  <c r="F468" i="4"/>
  <c r="E468" i="4"/>
  <c r="H467" i="4"/>
  <c r="F467" i="4"/>
  <c r="E467" i="4"/>
  <c r="H466" i="4"/>
  <c r="F466" i="4"/>
  <c r="E466" i="4"/>
  <c r="H465" i="4"/>
  <c r="F465" i="4"/>
  <c r="E465" i="4"/>
  <c r="H464" i="4"/>
  <c r="F464" i="4"/>
  <c r="E464" i="4"/>
  <c r="H463" i="4"/>
  <c r="F463" i="4"/>
  <c r="E463" i="4"/>
  <c r="H462" i="4"/>
  <c r="F462" i="4"/>
  <c r="E462" i="4"/>
  <c r="H461" i="4"/>
  <c r="F461" i="4"/>
  <c r="E461" i="4"/>
  <c r="H460" i="4"/>
  <c r="F460" i="4"/>
  <c r="E460" i="4"/>
  <c r="H459" i="4"/>
  <c r="F459" i="4"/>
  <c r="E459" i="4"/>
  <c r="H458" i="4"/>
  <c r="F458" i="4"/>
  <c r="E458" i="4"/>
  <c r="H457" i="4"/>
  <c r="F457" i="4"/>
  <c r="E457" i="4"/>
  <c r="H456" i="4"/>
  <c r="F456" i="4"/>
  <c r="E456" i="4"/>
  <c r="H455" i="4"/>
  <c r="F455" i="4"/>
  <c r="E455" i="4"/>
  <c r="H454" i="4"/>
  <c r="F454" i="4"/>
  <c r="E454" i="4"/>
  <c r="H453" i="4"/>
  <c r="F453" i="4"/>
  <c r="E453" i="4"/>
  <c r="H452" i="4"/>
  <c r="F452" i="4"/>
  <c r="E452" i="4"/>
  <c r="H451" i="4"/>
  <c r="F451" i="4"/>
  <c r="E451" i="4"/>
  <c r="H450" i="4"/>
  <c r="F450" i="4"/>
  <c r="E450" i="4"/>
  <c r="H449" i="4"/>
  <c r="F449" i="4"/>
  <c r="E449" i="4"/>
  <c r="H448" i="4"/>
  <c r="F448" i="4"/>
  <c r="E448" i="4"/>
  <c r="H447" i="4"/>
  <c r="F447" i="4"/>
  <c r="E447" i="4"/>
  <c r="H446" i="4"/>
  <c r="F446" i="4"/>
  <c r="E446" i="4"/>
  <c r="H445" i="4"/>
  <c r="F445" i="4"/>
  <c r="E445" i="4"/>
  <c r="H444" i="4"/>
  <c r="F444" i="4"/>
  <c r="E444" i="4"/>
  <c r="H443" i="4"/>
  <c r="F443" i="4"/>
  <c r="E443" i="4"/>
  <c r="H442" i="4"/>
  <c r="F442" i="4"/>
  <c r="E442" i="4"/>
  <c r="H441" i="4"/>
  <c r="F441" i="4"/>
  <c r="E441" i="4"/>
  <c r="H440" i="4"/>
  <c r="F440" i="4"/>
  <c r="E440" i="4"/>
  <c r="H439" i="4"/>
  <c r="F439" i="4"/>
  <c r="E439" i="4"/>
  <c r="H438" i="4"/>
  <c r="F438" i="4"/>
  <c r="E438" i="4"/>
  <c r="H437" i="4"/>
  <c r="F437" i="4"/>
  <c r="E437" i="4"/>
  <c r="H436" i="4"/>
  <c r="F436" i="4"/>
  <c r="E436" i="4"/>
  <c r="H435" i="4"/>
  <c r="F435" i="4"/>
  <c r="E435" i="4"/>
  <c r="H434" i="4"/>
  <c r="F434" i="4"/>
  <c r="E434" i="4"/>
  <c r="H433" i="4"/>
  <c r="F433" i="4"/>
  <c r="E433" i="4"/>
  <c r="H432" i="4"/>
  <c r="F432" i="4"/>
  <c r="E432" i="4"/>
  <c r="H431" i="4"/>
  <c r="F431" i="4"/>
  <c r="E431" i="4"/>
  <c r="H430" i="4"/>
  <c r="F430" i="4"/>
  <c r="E430" i="4"/>
  <c r="H429" i="4"/>
  <c r="F429" i="4"/>
  <c r="E429" i="4"/>
  <c r="H428" i="4"/>
  <c r="F428" i="4"/>
  <c r="E428" i="4"/>
  <c r="H427" i="4"/>
  <c r="F427" i="4"/>
  <c r="E427" i="4"/>
  <c r="H426" i="4"/>
  <c r="F426" i="4"/>
  <c r="E426" i="4"/>
  <c r="H425" i="4"/>
  <c r="F425" i="4"/>
  <c r="E425" i="4"/>
  <c r="H424" i="4"/>
  <c r="F424" i="4"/>
  <c r="E424" i="4"/>
  <c r="H423" i="4"/>
  <c r="F423" i="4"/>
  <c r="E423" i="4"/>
  <c r="H422" i="4"/>
  <c r="F422" i="4"/>
  <c r="E422" i="4"/>
  <c r="H421" i="4"/>
  <c r="F421" i="4"/>
  <c r="E421" i="4"/>
  <c r="H420" i="4"/>
  <c r="F420" i="4"/>
  <c r="E420" i="4"/>
  <c r="H419" i="4"/>
  <c r="F419" i="4"/>
  <c r="E419" i="4"/>
  <c r="H418" i="4"/>
  <c r="F418" i="4"/>
  <c r="E418" i="4"/>
  <c r="H417" i="4"/>
  <c r="F417" i="4"/>
  <c r="E417" i="4"/>
  <c r="H416" i="4"/>
  <c r="F416" i="4"/>
  <c r="E416" i="4"/>
  <c r="H415" i="4"/>
  <c r="F415" i="4"/>
  <c r="E415" i="4"/>
  <c r="H414" i="4"/>
  <c r="F414" i="4"/>
  <c r="E414" i="4"/>
  <c r="H413" i="4"/>
  <c r="F413" i="4"/>
  <c r="E413" i="4"/>
  <c r="H412" i="4"/>
  <c r="F412" i="4"/>
  <c r="E412" i="4"/>
  <c r="H411" i="4"/>
  <c r="F411" i="4"/>
  <c r="E411" i="4"/>
  <c r="H410" i="4"/>
  <c r="F410" i="4"/>
  <c r="E410" i="4"/>
  <c r="H409" i="4"/>
  <c r="F409" i="4"/>
  <c r="E409" i="4"/>
  <c r="H408" i="4"/>
  <c r="F408" i="4"/>
  <c r="E408" i="4"/>
  <c r="H407" i="4"/>
  <c r="F407" i="4"/>
  <c r="E407" i="4"/>
  <c r="H406" i="4"/>
  <c r="F406" i="4"/>
  <c r="E406" i="4"/>
  <c r="H405" i="4"/>
  <c r="F405" i="4"/>
  <c r="E405" i="4"/>
  <c r="H404" i="4"/>
  <c r="F404" i="4"/>
  <c r="E404" i="4"/>
  <c r="H403" i="4"/>
  <c r="F403" i="4"/>
  <c r="E403" i="4"/>
  <c r="H402" i="4"/>
  <c r="F402" i="4"/>
  <c r="E402" i="4"/>
  <c r="H401" i="4"/>
  <c r="F401" i="4"/>
  <c r="E401" i="4"/>
  <c r="H400" i="4"/>
  <c r="F400" i="4"/>
  <c r="E400" i="4"/>
  <c r="H399" i="4"/>
  <c r="F399" i="4"/>
  <c r="E399" i="4"/>
  <c r="J422" i="6" s="1"/>
  <c r="H398" i="4"/>
  <c r="F398" i="4"/>
  <c r="E398" i="4"/>
  <c r="J421" i="6" s="1"/>
  <c r="H397" i="4"/>
  <c r="F397" i="4"/>
  <c r="E397" i="4"/>
  <c r="J420" i="6" s="1"/>
  <c r="H396" i="4"/>
  <c r="F396" i="4"/>
  <c r="E396" i="4"/>
  <c r="J419" i="6" s="1"/>
  <c r="H395" i="4"/>
  <c r="F395" i="4"/>
  <c r="E395" i="4"/>
  <c r="J418" i="6" s="1"/>
  <c r="H394" i="4"/>
  <c r="F394" i="4"/>
  <c r="E394" i="4"/>
  <c r="J417" i="6" s="1"/>
  <c r="H393" i="4"/>
  <c r="F393" i="4"/>
  <c r="E393" i="4"/>
  <c r="J416" i="6" s="1"/>
  <c r="H392" i="4"/>
  <c r="F392" i="4"/>
  <c r="E392" i="4"/>
  <c r="J415" i="6" s="1"/>
  <c r="H391" i="4"/>
  <c r="F391" i="4"/>
  <c r="E391" i="4"/>
  <c r="J414" i="6" s="1"/>
  <c r="H390" i="4"/>
  <c r="F390" i="4"/>
  <c r="E390" i="4"/>
  <c r="J413" i="6" s="1"/>
  <c r="H389" i="4"/>
  <c r="F389" i="4"/>
  <c r="E389" i="4"/>
  <c r="J412" i="6" s="1"/>
  <c r="H388" i="4"/>
  <c r="F388" i="4"/>
  <c r="E388" i="4"/>
  <c r="J411" i="6" s="1"/>
  <c r="H387" i="4"/>
  <c r="F387" i="4"/>
  <c r="E387" i="4"/>
  <c r="J410" i="6" s="1"/>
  <c r="H386" i="4"/>
  <c r="F386" i="4"/>
  <c r="E386" i="4"/>
  <c r="J409" i="6" s="1"/>
  <c r="H385" i="4"/>
  <c r="F385" i="4"/>
  <c r="E385" i="4"/>
  <c r="J408" i="6" s="1"/>
  <c r="H384" i="4"/>
  <c r="F384" i="4"/>
  <c r="E384" i="4"/>
  <c r="J407" i="6" s="1"/>
  <c r="H383" i="4"/>
  <c r="F383" i="4"/>
  <c r="E383" i="4"/>
  <c r="J406" i="6" s="1"/>
  <c r="H382" i="4"/>
  <c r="F382" i="4"/>
  <c r="E382" i="4"/>
  <c r="J405" i="6" s="1"/>
  <c r="H381" i="4"/>
  <c r="F381" i="4"/>
  <c r="E381" i="4"/>
  <c r="J404" i="6" s="1"/>
  <c r="H380" i="4"/>
  <c r="F380" i="4"/>
  <c r="E380" i="4"/>
  <c r="J403" i="6" s="1"/>
  <c r="H379" i="4"/>
  <c r="F379" i="4"/>
  <c r="E379" i="4"/>
  <c r="J402" i="6" s="1"/>
  <c r="H378" i="4"/>
  <c r="F378" i="4"/>
  <c r="E378" i="4"/>
  <c r="J401" i="6" s="1"/>
  <c r="H377" i="4"/>
  <c r="F377" i="4"/>
  <c r="E377" i="4"/>
  <c r="J400" i="6" s="1"/>
  <c r="H376" i="4"/>
  <c r="F376" i="4"/>
  <c r="E376" i="4"/>
  <c r="J399" i="6" s="1"/>
  <c r="H375" i="4"/>
  <c r="F375" i="4"/>
  <c r="E375" i="4"/>
  <c r="J398" i="6" s="1"/>
  <c r="H374" i="4"/>
  <c r="F374" i="4"/>
  <c r="E374" i="4"/>
  <c r="J397" i="6" s="1"/>
  <c r="H373" i="4"/>
  <c r="F373" i="4"/>
  <c r="E373" i="4"/>
  <c r="J396" i="6" s="1"/>
  <c r="H372" i="4"/>
  <c r="F372" i="4"/>
  <c r="E372" i="4"/>
  <c r="J395" i="6" s="1"/>
  <c r="H371" i="4"/>
  <c r="F371" i="4"/>
  <c r="E371" i="4"/>
  <c r="J394" i="6" s="1"/>
  <c r="H370" i="4"/>
  <c r="F370" i="4"/>
  <c r="E370" i="4"/>
  <c r="J393" i="6" s="1"/>
  <c r="H369" i="4"/>
  <c r="F369" i="4"/>
  <c r="E369" i="4"/>
  <c r="J392" i="6" s="1"/>
  <c r="H368" i="4"/>
  <c r="F368" i="4"/>
  <c r="E368" i="4"/>
  <c r="J391" i="6" s="1"/>
  <c r="H367" i="4"/>
  <c r="F367" i="4"/>
  <c r="E367" i="4"/>
  <c r="J390" i="6" s="1"/>
  <c r="H366" i="4"/>
  <c r="F366" i="4"/>
  <c r="E366" i="4"/>
  <c r="J389" i="6" s="1"/>
  <c r="H365" i="4"/>
  <c r="F365" i="4"/>
  <c r="E365" i="4"/>
  <c r="J388" i="6" s="1"/>
  <c r="H364" i="4"/>
  <c r="F364" i="4"/>
  <c r="E364" i="4"/>
  <c r="J387" i="6" s="1"/>
  <c r="H363" i="4"/>
  <c r="F363" i="4"/>
  <c r="E363" i="4"/>
  <c r="J386" i="6" s="1"/>
  <c r="H362" i="4"/>
  <c r="F362" i="4"/>
  <c r="E362" i="4"/>
  <c r="J385" i="6" s="1"/>
  <c r="H361" i="4"/>
  <c r="F361" i="4"/>
  <c r="E361" i="4"/>
  <c r="J384" i="6" s="1"/>
  <c r="H360" i="4"/>
  <c r="F360" i="4"/>
  <c r="E360" i="4"/>
  <c r="J383" i="6" s="1"/>
  <c r="H359" i="4"/>
  <c r="F359" i="4"/>
  <c r="E359" i="4"/>
  <c r="J382" i="6" s="1"/>
  <c r="H358" i="4"/>
  <c r="F358" i="4"/>
  <c r="E358" i="4"/>
  <c r="J381" i="6" s="1"/>
  <c r="H357" i="4"/>
  <c r="F357" i="4"/>
  <c r="E357" i="4"/>
  <c r="J380" i="6" s="1"/>
  <c r="H356" i="4"/>
  <c r="F356" i="4"/>
  <c r="E356" i="4"/>
  <c r="J379" i="6" s="1"/>
  <c r="H355" i="4"/>
  <c r="F355" i="4"/>
  <c r="E355" i="4"/>
  <c r="J378" i="6" s="1"/>
  <c r="H354" i="4"/>
  <c r="F354" i="4"/>
  <c r="E354" i="4"/>
  <c r="J377" i="6" s="1"/>
  <c r="H353" i="4"/>
  <c r="F353" i="4"/>
  <c r="E353" i="4"/>
  <c r="J376" i="6" s="1"/>
  <c r="H352" i="4"/>
  <c r="F352" i="4"/>
  <c r="E352" i="4"/>
  <c r="J375" i="6" s="1"/>
  <c r="H351" i="4"/>
  <c r="F351" i="4"/>
  <c r="E351" i="4"/>
  <c r="J374" i="6" s="1"/>
  <c r="H350" i="4"/>
  <c r="F350" i="4"/>
  <c r="E350" i="4"/>
  <c r="J373" i="6" s="1"/>
  <c r="H349" i="4"/>
  <c r="F349" i="4"/>
  <c r="E349" i="4"/>
  <c r="J372" i="6" s="1"/>
  <c r="H348" i="4"/>
  <c r="F348" i="4"/>
  <c r="E348" i="4"/>
  <c r="J371" i="6" s="1"/>
  <c r="H347" i="4"/>
  <c r="F347" i="4"/>
  <c r="E347" i="4"/>
  <c r="J370" i="6" s="1"/>
  <c r="H346" i="4"/>
  <c r="F346" i="4"/>
  <c r="E346" i="4"/>
  <c r="J369" i="6" s="1"/>
  <c r="H345" i="4"/>
  <c r="F345" i="4"/>
  <c r="E345" i="4"/>
  <c r="J368" i="6" s="1"/>
  <c r="H344" i="4"/>
  <c r="F344" i="4"/>
  <c r="E344" i="4"/>
  <c r="J367" i="6" s="1"/>
  <c r="H343" i="4"/>
  <c r="F343" i="4"/>
  <c r="E343" i="4"/>
  <c r="J366" i="6" s="1"/>
  <c r="H342" i="4"/>
  <c r="F342" i="4"/>
  <c r="E342" i="4"/>
  <c r="J365" i="6" s="1"/>
  <c r="H341" i="4"/>
  <c r="F341" i="4"/>
  <c r="E341" i="4"/>
  <c r="J364" i="6" s="1"/>
  <c r="H340" i="4"/>
  <c r="F340" i="4"/>
  <c r="E340" i="4"/>
  <c r="J363" i="6" s="1"/>
  <c r="H339" i="4"/>
  <c r="F339" i="4"/>
  <c r="E339" i="4"/>
  <c r="J362" i="6" s="1"/>
  <c r="H338" i="4"/>
  <c r="F338" i="4"/>
  <c r="E338" i="4"/>
  <c r="J361" i="6" s="1"/>
  <c r="H337" i="4"/>
  <c r="F337" i="4"/>
  <c r="E337" i="4"/>
  <c r="J360" i="6" s="1"/>
  <c r="H336" i="4"/>
  <c r="F336" i="4"/>
  <c r="E336" i="4"/>
  <c r="J359" i="6" s="1"/>
  <c r="H335" i="4"/>
  <c r="F335" i="4"/>
  <c r="E335" i="4"/>
  <c r="J358" i="6" s="1"/>
  <c r="H334" i="4"/>
  <c r="F334" i="4"/>
  <c r="E334" i="4"/>
  <c r="J357" i="6" s="1"/>
  <c r="H333" i="4"/>
  <c r="F333" i="4"/>
  <c r="E333" i="4"/>
  <c r="J356" i="6" s="1"/>
  <c r="H332" i="4"/>
  <c r="F332" i="4"/>
  <c r="E332" i="4"/>
  <c r="J355" i="6" s="1"/>
  <c r="H331" i="4"/>
  <c r="F331" i="4"/>
  <c r="E331" i="4"/>
  <c r="J354" i="6" s="1"/>
  <c r="H330" i="4"/>
  <c r="F330" i="4"/>
  <c r="E330" i="4"/>
  <c r="J353" i="6" s="1"/>
  <c r="H329" i="4"/>
  <c r="F329" i="4"/>
  <c r="E329" i="4"/>
  <c r="J352" i="6" s="1"/>
  <c r="H328" i="4"/>
  <c r="F328" i="4"/>
  <c r="E328" i="4"/>
  <c r="J351" i="6" s="1"/>
  <c r="H327" i="4"/>
  <c r="F327" i="4"/>
  <c r="E327" i="4"/>
  <c r="J350" i="6" s="1"/>
  <c r="H326" i="4"/>
  <c r="F326" i="4"/>
  <c r="E326" i="4"/>
  <c r="J349" i="6" s="1"/>
  <c r="H325" i="4"/>
  <c r="F325" i="4"/>
  <c r="E325" i="4"/>
  <c r="J348" i="6" s="1"/>
  <c r="H324" i="4"/>
  <c r="F324" i="4"/>
  <c r="E324" i="4"/>
  <c r="J347" i="6" s="1"/>
  <c r="H323" i="4"/>
  <c r="F323" i="4"/>
  <c r="E323" i="4"/>
  <c r="J346" i="6" s="1"/>
  <c r="H322" i="4"/>
  <c r="F322" i="4"/>
  <c r="E322" i="4"/>
  <c r="J345" i="6" s="1"/>
  <c r="H321" i="4"/>
  <c r="F321" i="4"/>
  <c r="E321" i="4"/>
  <c r="J344" i="6" s="1"/>
  <c r="H320" i="4"/>
  <c r="F320" i="4"/>
  <c r="E320" i="4"/>
  <c r="J343" i="6" s="1"/>
  <c r="H319" i="4"/>
  <c r="F319" i="4"/>
  <c r="E319" i="4"/>
  <c r="J342" i="6" s="1"/>
  <c r="H318" i="4"/>
  <c r="F318" i="4"/>
  <c r="E318" i="4"/>
  <c r="J341" i="6" s="1"/>
  <c r="H317" i="4"/>
  <c r="F317" i="4"/>
  <c r="E317" i="4"/>
  <c r="J340" i="6" s="1"/>
  <c r="H316" i="4"/>
  <c r="F316" i="4"/>
  <c r="E316" i="4"/>
  <c r="J339" i="6" s="1"/>
  <c r="H315" i="4"/>
  <c r="F315" i="4"/>
  <c r="E315" i="4"/>
  <c r="J338" i="6" s="1"/>
  <c r="H314" i="4"/>
  <c r="F314" i="4"/>
  <c r="E314" i="4"/>
  <c r="J337" i="6" s="1"/>
  <c r="H313" i="4"/>
  <c r="F313" i="4"/>
  <c r="E313" i="4"/>
  <c r="J336" i="6" s="1"/>
  <c r="H312" i="4"/>
  <c r="F312" i="4"/>
  <c r="E312" i="4"/>
  <c r="J335" i="6" s="1"/>
  <c r="H311" i="4"/>
  <c r="F311" i="4"/>
  <c r="E311" i="4"/>
  <c r="J334" i="6" s="1"/>
  <c r="H310" i="4"/>
  <c r="F310" i="4"/>
  <c r="E310" i="4"/>
  <c r="J333" i="6" s="1"/>
  <c r="H309" i="4"/>
  <c r="F309" i="4"/>
  <c r="E309" i="4"/>
  <c r="J332" i="6" s="1"/>
  <c r="H308" i="4"/>
  <c r="F308" i="4"/>
  <c r="E308" i="4"/>
  <c r="J331" i="6" s="1"/>
  <c r="H307" i="4"/>
  <c r="F307" i="4"/>
  <c r="E307" i="4"/>
  <c r="J330" i="6" s="1"/>
  <c r="H306" i="4"/>
  <c r="F306" i="4"/>
  <c r="E306" i="4"/>
  <c r="J329" i="6" s="1"/>
  <c r="H305" i="4"/>
  <c r="F305" i="4"/>
  <c r="E305" i="4"/>
  <c r="J328" i="6" s="1"/>
  <c r="H304" i="4"/>
  <c r="F304" i="4"/>
  <c r="E304" i="4"/>
  <c r="J327" i="6" s="1"/>
  <c r="H303" i="4"/>
  <c r="F303" i="4"/>
  <c r="E303" i="4"/>
  <c r="J326" i="6" s="1"/>
  <c r="H302" i="4"/>
  <c r="F302" i="4"/>
  <c r="E302" i="4"/>
  <c r="J325" i="6" s="1"/>
  <c r="H301" i="4"/>
  <c r="F301" i="4"/>
  <c r="E301" i="4"/>
  <c r="J324" i="6" s="1"/>
  <c r="H300" i="4"/>
  <c r="F300" i="4"/>
  <c r="E300" i="4"/>
  <c r="J323" i="6" s="1"/>
  <c r="H299" i="4"/>
  <c r="F299" i="4"/>
  <c r="E299" i="4"/>
  <c r="H298" i="4"/>
  <c r="F298" i="4"/>
  <c r="E298" i="4"/>
  <c r="H297" i="4"/>
  <c r="F297" i="4"/>
  <c r="E297" i="4"/>
  <c r="H296" i="4"/>
  <c r="F296" i="4"/>
  <c r="E296" i="4"/>
  <c r="H295" i="4"/>
  <c r="F295" i="4"/>
  <c r="E295" i="4"/>
  <c r="H294" i="4"/>
  <c r="F294" i="4"/>
  <c r="E294" i="4"/>
  <c r="H293" i="4"/>
  <c r="F293" i="4"/>
  <c r="E293" i="4"/>
  <c r="H292" i="4"/>
  <c r="F292" i="4"/>
  <c r="E292" i="4"/>
  <c r="H291" i="4"/>
  <c r="F291" i="4"/>
  <c r="E291" i="4"/>
  <c r="H290" i="4"/>
  <c r="F290" i="4"/>
  <c r="E290" i="4"/>
  <c r="H289" i="4"/>
  <c r="F289" i="4"/>
  <c r="E289" i="4"/>
  <c r="H288" i="4"/>
  <c r="F288" i="4"/>
  <c r="E288" i="4"/>
  <c r="H287" i="4"/>
  <c r="F287" i="4"/>
  <c r="E287" i="4"/>
  <c r="H286" i="4"/>
  <c r="F286" i="4"/>
  <c r="E286" i="4"/>
  <c r="H285" i="4"/>
  <c r="F285" i="4"/>
  <c r="E285" i="4"/>
  <c r="H284" i="4"/>
  <c r="F284" i="4"/>
  <c r="E284" i="4"/>
  <c r="H283" i="4"/>
  <c r="F283" i="4"/>
  <c r="E283" i="4"/>
  <c r="H282" i="4"/>
  <c r="F282" i="4"/>
  <c r="E282" i="4"/>
  <c r="H281" i="4"/>
  <c r="F281" i="4"/>
  <c r="E281" i="4"/>
  <c r="H280" i="4"/>
  <c r="F280" i="4"/>
  <c r="E280" i="4"/>
  <c r="H279" i="4"/>
  <c r="F279" i="4"/>
  <c r="E279" i="4"/>
  <c r="H278" i="4"/>
  <c r="F278" i="4"/>
  <c r="E278" i="4"/>
  <c r="H277" i="4"/>
  <c r="F277" i="4"/>
  <c r="E277" i="4"/>
  <c r="H276" i="4"/>
  <c r="F276" i="4"/>
  <c r="E276" i="4"/>
  <c r="H275" i="4"/>
  <c r="F275" i="4"/>
  <c r="E275" i="4"/>
  <c r="H274" i="4"/>
  <c r="F274" i="4"/>
  <c r="E274" i="4"/>
  <c r="H273" i="4"/>
  <c r="F273" i="4"/>
  <c r="E273" i="4"/>
  <c r="H272" i="4"/>
  <c r="F272" i="4"/>
  <c r="E272" i="4"/>
  <c r="H271" i="4"/>
  <c r="F271" i="4"/>
  <c r="E271" i="4"/>
  <c r="H270" i="4"/>
  <c r="F270" i="4"/>
  <c r="E270" i="4"/>
  <c r="H269" i="4"/>
  <c r="F269" i="4"/>
  <c r="E269" i="4"/>
  <c r="H268" i="4"/>
  <c r="F268" i="4"/>
  <c r="E268" i="4"/>
  <c r="H267" i="4"/>
  <c r="F267" i="4"/>
  <c r="E267" i="4"/>
  <c r="H266" i="4"/>
  <c r="F266" i="4"/>
  <c r="E266" i="4"/>
  <c r="H265" i="4"/>
  <c r="F265" i="4"/>
  <c r="E265" i="4"/>
  <c r="H264" i="4"/>
  <c r="F264" i="4"/>
  <c r="E264" i="4"/>
  <c r="H263" i="4"/>
  <c r="F263" i="4"/>
  <c r="E263" i="4"/>
  <c r="H262" i="4"/>
  <c r="F262" i="4"/>
  <c r="E262" i="4"/>
  <c r="H261" i="4"/>
  <c r="F261" i="4"/>
  <c r="E261" i="4"/>
  <c r="H260" i="4"/>
  <c r="F260" i="4"/>
  <c r="E260" i="4"/>
  <c r="H259" i="4"/>
  <c r="F259" i="4"/>
  <c r="E259" i="4"/>
  <c r="H258" i="4"/>
  <c r="F258" i="4"/>
  <c r="E258" i="4"/>
  <c r="H257" i="4"/>
  <c r="F257" i="4"/>
  <c r="E257" i="4"/>
  <c r="H256" i="4"/>
  <c r="F256" i="4"/>
  <c r="E256" i="4"/>
  <c r="H255" i="4"/>
  <c r="F255" i="4"/>
  <c r="E255" i="4"/>
  <c r="H254" i="4"/>
  <c r="F254" i="4"/>
  <c r="E254" i="4"/>
  <c r="H253" i="4"/>
  <c r="F253" i="4"/>
  <c r="E253" i="4"/>
  <c r="H252" i="4"/>
  <c r="F252" i="4"/>
  <c r="E252" i="4"/>
  <c r="H251" i="4"/>
  <c r="F251" i="4"/>
  <c r="E251" i="4"/>
  <c r="H250" i="4"/>
  <c r="F250" i="4"/>
  <c r="E250" i="4"/>
  <c r="H249" i="4"/>
  <c r="F249" i="4"/>
  <c r="E249" i="4"/>
  <c r="H248" i="4"/>
  <c r="F248" i="4"/>
  <c r="E248" i="4"/>
  <c r="H247" i="4"/>
  <c r="F247" i="4"/>
  <c r="E247" i="4"/>
  <c r="H246" i="4"/>
  <c r="F246" i="4"/>
  <c r="E246" i="4"/>
  <c r="H245" i="4"/>
  <c r="F245" i="4"/>
  <c r="E245" i="4"/>
  <c r="H244" i="4"/>
  <c r="F244" i="4"/>
  <c r="E244" i="4"/>
  <c r="H243" i="4"/>
  <c r="F243" i="4"/>
  <c r="E243" i="4"/>
  <c r="H242" i="4"/>
  <c r="F242" i="4"/>
  <c r="E242" i="4"/>
  <c r="H241" i="4"/>
  <c r="F241" i="4"/>
  <c r="E241" i="4"/>
  <c r="H240" i="4"/>
  <c r="F240" i="4"/>
  <c r="E240" i="4"/>
  <c r="H239" i="4"/>
  <c r="F239" i="4"/>
  <c r="E239" i="4"/>
  <c r="H238" i="4"/>
  <c r="F238" i="4"/>
  <c r="E238" i="4"/>
  <c r="H237" i="4"/>
  <c r="F237" i="4"/>
  <c r="E237" i="4"/>
  <c r="H236" i="4"/>
  <c r="F236" i="4"/>
  <c r="E236" i="4"/>
  <c r="H235" i="4"/>
  <c r="F235" i="4"/>
  <c r="E235" i="4"/>
  <c r="H234" i="4"/>
  <c r="F234" i="4"/>
  <c r="E234" i="4"/>
  <c r="H233" i="4"/>
  <c r="F233" i="4"/>
  <c r="E233" i="4"/>
  <c r="H232" i="4"/>
  <c r="F232" i="4"/>
  <c r="E232" i="4"/>
  <c r="H231" i="4"/>
  <c r="F231" i="4"/>
  <c r="E231" i="4"/>
  <c r="H230" i="4"/>
  <c r="F230" i="4"/>
  <c r="E230" i="4"/>
  <c r="H229" i="4"/>
  <c r="F229" i="4"/>
  <c r="E229" i="4"/>
  <c r="H228" i="4"/>
  <c r="F228" i="4"/>
  <c r="E228" i="4"/>
  <c r="H227" i="4"/>
  <c r="F227" i="4"/>
  <c r="E227" i="4"/>
  <c r="H226" i="4"/>
  <c r="F226" i="4"/>
  <c r="E226" i="4"/>
  <c r="H225" i="4"/>
  <c r="F225" i="4"/>
  <c r="E225" i="4"/>
  <c r="H224" i="4"/>
  <c r="F224" i="4"/>
  <c r="E224" i="4"/>
  <c r="H223" i="4"/>
  <c r="F223" i="4"/>
  <c r="E223" i="4"/>
  <c r="H222" i="4"/>
  <c r="F222" i="4"/>
  <c r="E222" i="4"/>
  <c r="H221" i="4"/>
  <c r="F221" i="4"/>
  <c r="E221" i="4"/>
  <c r="H220" i="4"/>
  <c r="F220" i="4"/>
  <c r="E220" i="4"/>
  <c r="H219" i="4"/>
  <c r="F219" i="4"/>
  <c r="E219" i="4"/>
  <c r="H218" i="4"/>
  <c r="F218" i="4"/>
  <c r="E218" i="4"/>
  <c r="H217" i="4"/>
  <c r="F217" i="4"/>
  <c r="E217" i="4"/>
  <c r="H216" i="4"/>
  <c r="F216" i="4"/>
  <c r="E216" i="4"/>
  <c r="H215" i="4"/>
  <c r="F215" i="4"/>
  <c r="E215" i="4"/>
  <c r="H214" i="4"/>
  <c r="F214" i="4"/>
  <c r="E214" i="4"/>
  <c r="H213" i="4"/>
  <c r="F213" i="4"/>
  <c r="E213" i="4"/>
  <c r="H212" i="4"/>
  <c r="F212" i="4"/>
  <c r="E212" i="4"/>
  <c r="H211" i="4"/>
  <c r="F211" i="4"/>
  <c r="E211" i="4"/>
  <c r="H210" i="4"/>
  <c r="F210" i="4"/>
  <c r="E210" i="4"/>
  <c r="H209" i="4"/>
  <c r="F209" i="4"/>
  <c r="E209" i="4"/>
  <c r="H208" i="4"/>
  <c r="F208" i="4"/>
  <c r="E208" i="4"/>
  <c r="H207" i="4"/>
  <c r="F207" i="4"/>
  <c r="E207" i="4"/>
  <c r="H206" i="4"/>
  <c r="F206" i="4"/>
  <c r="E206" i="4"/>
  <c r="H205" i="4"/>
  <c r="F205" i="4"/>
  <c r="E205" i="4"/>
  <c r="H204" i="4"/>
  <c r="F204" i="4"/>
  <c r="E204" i="4"/>
  <c r="H203" i="4"/>
  <c r="F203" i="4"/>
  <c r="E203" i="4"/>
  <c r="H202" i="4"/>
  <c r="F202" i="4"/>
  <c r="E202" i="4"/>
  <c r="H201" i="4"/>
  <c r="F201" i="4"/>
  <c r="E201" i="4"/>
  <c r="H200" i="4"/>
  <c r="F200" i="4"/>
  <c r="E200" i="4"/>
  <c r="H199" i="4"/>
  <c r="F199" i="4"/>
  <c r="E199" i="4"/>
  <c r="H198" i="4"/>
  <c r="F198" i="4"/>
  <c r="E198" i="4"/>
  <c r="H197" i="4"/>
  <c r="F197" i="4"/>
  <c r="E197" i="4"/>
  <c r="H196" i="4"/>
  <c r="F196" i="4"/>
  <c r="E196" i="4"/>
  <c r="H195" i="4"/>
  <c r="F195" i="4"/>
  <c r="E195" i="4"/>
  <c r="H194" i="4"/>
  <c r="F194" i="4"/>
  <c r="E194" i="4"/>
  <c r="H193" i="4"/>
  <c r="F193" i="4"/>
  <c r="E193" i="4"/>
  <c r="H192" i="4"/>
  <c r="F192" i="4"/>
  <c r="E192" i="4"/>
  <c r="H191" i="4"/>
  <c r="F191" i="4"/>
  <c r="E191" i="4"/>
  <c r="H190" i="4"/>
  <c r="F190" i="4"/>
  <c r="E190" i="4"/>
  <c r="H189" i="4"/>
  <c r="F189" i="4"/>
  <c r="E189" i="4"/>
  <c r="H188" i="4"/>
  <c r="F188" i="4"/>
  <c r="E188" i="4"/>
  <c r="H187" i="4"/>
  <c r="F187" i="4"/>
  <c r="E187" i="4"/>
  <c r="H186" i="4"/>
  <c r="F186" i="4"/>
  <c r="E186" i="4"/>
  <c r="H185" i="4"/>
  <c r="F185" i="4"/>
  <c r="E185" i="4"/>
  <c r="H184" i="4"/>
  <c r="F184" i="4"/>
  <c r="E184" i="4"/>
  <c r="H183" i="4"/>
  <c r="F183" i="4"/>
  <c r="E183" i="4"/>
  <c r="H182" i="4"/>
  <c r="F182" i="4"/>
  <c r="E182" i="4"/>
  <c r="H181" i="4"/>
  <c r="F181" i="4"/>
  <c r="E181" i="4"/>
  <c r="H180" i="4"/>
  <c r="F180" i="4"/>
  <c r="E180" i="4"/>
  <c r="H179" i="4"/>
  <c r="F179" i="4"/>
  <c r="E179" i="4"/>
  <c r="H178" i="4"/>
  <c r="F178" i="4"/>
  <c r="E178" i="4"/>
  <c r="H177" i="4"/>
  <c r="F177" i="4"/>
  <c r="E177" i="4"/>
  <c r="H176" i="4"/>
  <c r="F176" i="4"/>
  <c r="E176" i="4"/>
  <c r="H175" i="4"/>
  <c r="F175" i="4"/>
  <c r="E175" i="4"/>
  <c r="H174" i="4"/>
  <c r="F174" i="4"/>
  <c r="E174" i="4"/>
  <c r="H173" i="4"/>
  <c r="F173" i="4"/>
  <c r="E173" i="4"/>
  <c r="H172" i="4"/>
  <c r="F172" i="4"/>
  <c r="E172" i="4"/>
  <c r="H171" i="4"/>
  <c r="F171" i="4"/>
  <c r="E171" i="4"/>
  <c r="H170" i="4"/>
  <c r="F170" i="4"/>
  <c r="E170" i="4"/>
  <c r="H169" i="4"/>
  <c r="F169" i="4"/>
  <c r="E169" i="4"/>
  <c r="H168" i="4"/>
  <c r="F168" i="4"/>
  <c r="E168" i="4"/>
  <c r="H167" i="4"/>
  <c r="F167" i="4"/>
  <c r="E167" i="4"/>
  <c r="H166" i="4"/>
  <c r="F166" i="4"/>
  <c r="E166" i="4"/>
  <c r="H165" i="4"/>
  <c r="F165" i="4"/>
  <c r="E165" i="4"/>
  <c r="H164" i="4"/>
  <c r="F164" i="4"/>
  <c r="E164" i="4"/>
  <c r="H163" i="4"/>
  <c r="F163" i="4"/>
  <c r="E163" i="4"/>
  <c r="H162" i="4"/>
  <c r="F162" i="4"/>
  <c r="E162" i="4"/>
  <c r="H161" i="4"/>
  <c r="F161" i="4"/>
  <c r="E161" i="4"/>
  <c r="H160" i="4"/>
  <c r="F160" i="4"/>
  <c r="E160" i="4"/>
  <c r="H159" i="4"/>
  <c r="F159" i="4"/>
  <c r="E159" i="4"/>
  <c r="H158" i="4"/>
  <c r="F158" i="4"/>
  <c r="E158" i="4"/>
  <c r="H157" i="4"/>
  <c r="F157" i="4"/>
  <c r="E157" i="4"/>
  <c r="H156" i="4"/>
  <c r="F156" i="4"/>
  <c r="E156" i="4"/>
  <c r="H155" i="4"/>
  <c r="F155" i="4"/>
  <c r="E155" i="4"/>
  <c r="H154" i="4"/>
  <c r="F154" i="4"/>
  <c r="E154" i="4"/>
  <c r="H153" i="4"/>
  <c r="F153" i="4"/>
  <c r="E153" i="4"/>
  <c r="H152" i="4"/>
  <c r="F152" i="4"/>
  <c r="E152" i="4"/>
  <c r="H151" i="4"/>
  <c r="F151" i="4"/>
  <c r="E151" i="4"/>
  <c r="H150" i="4"/>
  <c r="F150" i="4"/>
  <c r="E150" i="4"/>
  <c r="H149" i="4"/>
  <c r="F149" i="4"/>
  <c r="E149" i="4"/>
  <c r="H148" i="4"/>
  <c r="F148" i="4"/>
  <c r="E148" i="4"/>
  <c r="H147" i="4"/>
  <c r="F147" i="4"/>
  <c r="E147" i="4"/>
  <c r="H146" i="4"/>
  <c r="F146" i="4"/>
  <c r="E146" i="4"/>
  <c r="H145" i="4"/>
  <c r="F145" i="4"/>
  <c r="E145" i="4"/>
  <c r="H144" i="4"/>
  <c r="F144" i="4"/>
  <c r="E144" i="4"/>
  <c r="H143" i="4"/>
  <c r="F143" i="4"/>
  <c r="E143" i="4"/>
  <c r="H142" i="4"/>
  <c r="F142" i="4"/>
  <c r="E142" i="4"/>
  <c r="H141" i="4"/>
  <c r="F141" i="4"/>
  <c r="E141" i="4"/>
  <c r="H140" i="4"/>
  <c r="F140" i="4"/>
  <c r="E140" i="4"/>
  <c r="H139" i="4"/>
  <c r="F139" i="4"/>
  <c r="E139" i="4"/>
  <c r="H138" i="4"/>
  <c r="F138" i="4"/>
  <c r="E138" i="4"/>
  <c r="H137" i="4"/>
  <c r="F137" i="4"/>
  <c r="E137" i="4"/>
  <c r="H136" i="4"/>
  <c r="F136" i="4"/>
  <c r="E136" i="4"/>
  <c r="H135" i="4"/>
  <c r="F135" i="4"/>
  <c r="E135" i="4"/>
  <c r="H134" i="4"/>
  <c r="F134" i="4"/>
  <c r="E134" i="4"/>
  <c r="H133" i="4"/>
  <c r="F133" i="4"/>
  <c r="E133" i="4"/>
  <c r="H132" i="4"/>
  <c r="F132" i="4"/>
  <c r="E132" i="4"/>
  <c r="H131" i="4"/>
  <c r="F131" i="4"/>
  <c r="E131" i="4"/>
  <c r="H130" i="4"/>
  <c r="F130" i="4"/>
  <c r="E130" i="4"/>
  <c r="H129" i="4"/>
  <c r="F129" i="4"/>
  <c r="E129" i="4"/>
  <c r="H128" i="4"/>
  <c r="F128" i="4"/>
  <c r="E128" i="4"/>
  <c r="H127" i="4"/>
  <c r="F127" i="4"/>
  <c r="E127" i="4"/>
  <c r="H126" i="4"/>
  <c r="F126" i="4"/>
  <c r="E126" i="4"/>
  <c r="H125" i="4"/>
  <c r="F125" i="4"/>
  <c r="E125" i="4"/>
  <c r="H124" i="4"/>
  <c r="F124" i="4"/>
  <c r="E124" i="4"/>
  <c r="H123" i="4"/>
  <c r="F123" i="4"/>
  <c r="E123" i="4"/>
  <c r="H122" i="4"/>
  <c r="F122" i="4"/>
  <c r="E122" i="4"/>
  <c r="H121" i="4"/>
  <c r="F121" i="4"/>
  <c r="E121" i="4"/>
  <c r="H120" i="4"/>
  <c r="F120" i="4"/>
  <c r="E120" i="4"/>
  <c r="H119" i="4"/>
  <c r="F119" i="4"/>
  <c r="E119" i="4"/>
  <c r="H118" i="4"/>
  <c r="F118" i="4"/>
  <c r="E118" i="4"/>
  <c r="H117" i="4"/>
  <c r="F117" i="4"/>
  <c r="E117" i="4"/>
  <c r="H116" i="4"/>
  <c r="F116" i="4"/>
  <c r="E116" i="4"/>
  <c r="H115" i="4"/>
  <c r="F115" i="4"/>
  <c r="E115" i="4"/>
  <c r="H114" i="4"/>
  <c r="F114" i="4"/>
  <c r="E114" i="4"/>
  <c r="H113" i="4"/>
  <c r="F113" i="4"/>
  <c r="E113" i="4"/>
  <c r="H112" i="4"/>
  <c r="F112" i="4"/>
  <c r="E112" i="4"/>
  <c r="H111" i="4"/>
  <c r="F111" i="4"/>
  <c r="E111" i="4"/>
  <c r="H110" i="4"/>
  <c r="F110" i="4"/>
  <c r="E110" i="4"/>
  <c r="H109" i="4"/>
  <c r="F109" i="4"/>
  <c r="E109" i="4"/>
  <c r="H108" i="4"/>
  <c r="F108" i="4"/>
  <c r="E108" i="4"/>
  <c r="H107" i="4"/>
  <c r="F107" i="4"/>
  <c r="E107" i="4"/>
  <c r="H106" i="4"/>
  <c r="F106" i="4"/>
  <c r="E106" i="4"/>
  <c r="H105" i="4"/>
  <c r="F105" i="4"/>
  <c r="E105" i="4"/>
  <c r="H104" i="4"/>
  <c r="F104" i="4"/>
  <c r="E104" i="4"/>
  <c r="H103" i="4"/>
  <c r="F103" i="4"/>
  <c r="E103" i="4"/>
  <c r="H102" i="4"/>
  <c r="F102" i="4"/>
  <c r="E102" i="4"/>
  <c r="H101" i="4"/>
  <c r="F101" i="4"/>
  <c r="E101" i="4"/>
  <c r="H100" i="4"/>
  <c r="F100" i="4"/>
  <c r="E100" i="4"/>
  <c r="H99" i="4"/>
  <c r="F99" i="4"/>
  <c r="E99" i="4"/>
  <c r="J122" i="6" s="1"/>
  <c r="H98" i="4"/>
  <c r="F98" i="4"/>
  <c r="E98" i="4"/>
  <c r="J121" i="6" s="1"/>
  <c r="H97" i="4"/>
  <c r="F97" i="4"/>
  <c r="E97" i="4"/>
  <c r="J120" i="6" s="1"/>
  <c r="H96" i="4"/>
  <c r="F96" i="4"/>
  <c r="E96" i="4"/>
  <c r="J119" i="6" s="1"/>
  <c r="H95" i="4"/>
  <c r="F95" i="4"/>
  <c r="E95" i="4"/>
  <c r="J118" i="6" s="1"/>
  <c r="H94" i="4"/>
  <c r="F94" i="4"/>
  <c r="E94" i="4"/>
  <c r="J117" i="6" s="1"/>
  <c r="H93" i="4"/>
  <c r="F93" i="4"/>
  <c r="E93" i="4"/>
  <c r="J116" i="6" s="1"/>
  <c r="H92" i="4"/>
  <c r="F92" i="4"/>
  <c r="E92" i="4"/>
  <c r="J115" i="6" s="1"/>
  <c r="H91" i="4"/>
  <c r="F91" i="4"/>
  <c r="E91" i="4"/>
  <c r="J114" i="6" s="1"/>
  <c r="H90" i="4"/>
  <c r="F90" i="4"/>
  <c r="E90" i="4"/>
  <c r="J113" i="6" s="1"/>
  <c r="H89" i="4"/>
  <c r="F89" i="4"/>
  <c r="E89" i="4"/>
  <c r="J112" i="6" s="1"/>
  <c r="H88" i="4"/>
  <c r="F88" i="4"/>
  <c r="E88" i="4"/>
  <c r="J111" i="6" s="1"/>
  <c r="H87" i="4"/>
  <c r="F87" i="4"/>
  <c r="E87" i="4"/>
  <c r="J110" i="6" s="1"/>
  <c r="H86" i="4"/>
  <c r="F86" i="4"/>
  <c r="E86" i="4"/>
  <c r="J109" i="6" s="1"/>
  <c r="H85" i="4"/>
  <c r="F85" i="4"/>
  <c r="E85" i="4"/>
  <c r="J108" i="6" s="1"/>
  <c r="H84" i="4"/>
  <c r="F84" i="4"/>
  <c r="E84" i="4"/>
  <c r="J107" i="6" s="1"/>
  <c r="H83" i="4"/>
  <c r="F83" i="4"/>
  <c r="E83" i="4"/>
  <c r="J106" i="6" s="1"/>
  <c r="H82" i="4"/>
  <c r="F82" i="4"/>
  <c r="E82" i="4"/>
  <c r="J105" i="6" s="1"/>
  <c r="H81" i="4"/>
  <c r="F81" i="4"/>
  <c r="E81" i="4"/>
  <c r="J104" i="6" s="1"/>
  <c r="H80" i="4"/>
  <c r="F80" i="4"/>
  <c r="E80" i="4"/>
  <c r="J103" i="6" s="1"/>
  <c r="H79" i="4"/>
  <c r="F79" i="4"/>
  <c r="E79" i="4"/>
  <c r="J102" i="6" s="1"/>
  <c r="H78" i="4"/>
  <c r="F78" i="4"/>
  <c r="E78" i="4"/>
  <c r="J101" i="6" s="1"/>
  <c r="H77" i="4"/>
  <c r="F77" i="4"/>
  <c r="E77" i="4"/>
  <c r="J100" i="6" s="1"/>
  <c r="H76" i="4"/>
  <c r="F76" i="4"/>
  <c r="E76" i="4"/>
  <c r="J99" i="6" s="1"/>
  <c r="H75" i="4"/>
  <c r="F75" i="4"/>
  <c r="E75" i="4"/>
  <c r="J98" i="6" s="1"/>
  <c r="H74" i="4"/>
  <c r="F74" i="4"/>
  <c r="E74" i="4"/>
  <c r="J97" i="6" s="1"/>
  <c r="H73" i="4"/>
  <c r="F73" i="4"/>
  <c r="E73" i="4"/>
  <c r="J96" i="6" s="1"/>
  <c r="H72" i="4"/>
  <c r="F72" i="4"/>
  <c r="E72" i="4"/>
  <c r="J95" i="6" s="1"/>
  <c r="H71" i="4"/>
  <c r="F71" i="4"/>
  <c r="E71" i="4"/>
  <c r="J94" i="6" s="1"/>
  <c r="H70" i="4"/>
  <c r="F70" i="4"/>
  <c r="E70" i="4"/>
  <c r="J93" i="6" s="1"/>
  <c r="H69" i="4"/>
  <c r="F69" i="4"/>
  <c r="E69" i="4"/>
  <c r="H68" i="4"/>
  <c r="F68" i="4"/>
  <c r="E68" i="4"/>
  <c r="H67" i="4"/>
  <c r="F67" i="4"/>
  <c r="E67" i="4"/>
  <c r="H66" i="4"/>
  <c r="F66" i="4"/>
  <c r="E66" i="4"/>
  <c r="H65" i="4"/>
  <c r="F65" i="4"/>
  <c r="E65" i="4"/>
  <c r="H64" i="4"/>
  <c r="F64" i="4"/>
  <c r="E64" i="4"/>
  <c r="H63" i="4"/>
  <c r="F63" i="4"/>
  <c r="E63" i="4"/>
  <c r="H62" i="4"/>
  <c r="F62" i="4"/>
  <c r="E62" i="4"/>
  <c r="H61" i="4"/>
  <c r="F61" i="4"/>
  <c r="E61" i="4"/>
  <c r="H60" i="4"/>
  <c r="F60" i="4"/>
  <c r="E60" i="4"/>
  <c r="H59" i="4"/>
  <c r="F59" i="4"/>
  <c r="E59" i="4"/>
  <c r="J82" i="6" s="1"/>
  <c r="H58" i="4"/>
  <c r="F58" i="4"/>
  <c r="E58" i="4"/>
  <c r="J81" i="6" s="1"/>
  <c r="H57" i="4"/>
  <c r="F57" i="4"/>
  <c r="E57" i="4"/>
  <c r="J80" i="6" s="1"/>
  <c r="H56" i="4"/>
  <c r="F56" i="4"/>
  <c r="E56" i="4"/>
  <c r="J79" i="6" s="1"/>
  <c r="H55" i="4"/>
  <c r="F55" i="4"/>
  <c r="E55" i="4"/>
  <c r="J78" i="6" s="1"/>
  <c r="H54" i="4"/>
  <c r="F54" i="4"/>
  <c r="E54" i="4"/>
  <c r="J77" i="6" s="1"/>
  <c r="H53" i="4"/>
  <c r="F53" i="4"/>
  <c r="E53" i="4"/>
  <c r="J76" i="6" s="1"/>
  <c r="H52" i="4"/>
  <c r="F52" i="4"/>
  <c r="E52" i="4"/>
  <c r="J75" i="6" s="1"/>
  <c r="H51" i="4"/>
  <c r="F51" i="4"/>
  <c r="E51" i="4"/>
  <c r="J74" i="6" s="1"/>
  <c r="H50" i="4"/>
  <c r="F50" i="4"/>
  <c r="E50" i="4"/>
  <c r="J73" i="6" s="1"/>
  <c r="H49" i="4"/>
  <c r="F49" i="4"/>
  <c r="E49" i="4"/>
  <c r="H48" i="4"/>
  <c r="F48" i="4"/>
  <c r="E48" i="4"/>
  <c r="H47" i="4"/>
  <c r="F47" i="4"/>
  <c r="E47" i="4"/>
  <c r="H46" i="4"/>
  <c r="F46" i="4"/>
  <c r="E46" i="4"/>
  <c r="H45" i="4"/>
  <c r="F45" i="4"/>
  <c r="E45" i="4"/>
  <c r="H44" i="4"/>
  <c r="F44" i="4"/>
  <c r="E44" i="4"/>
  <c r="H43" i="4"/>
  <c r="F43" i="4"/>
  <c r="E43" i="4"/>
  <c r="H42" i="4"/>
  <c r="F42" i="4"/>
  <c r="E42" i="4"/>
  <c r="H41" i="4"/>
  <c r="F41" i="4"/>
  <c r="E41" i="4"/>
  <c r="H40" i="4"/>
  <c r="F40" i="4"/>
  <c r="E40" i="4"/>
  <c r="H39" i="4"/>
  <c r="F39" i="4"/>
  <c r="E39" i="4"/>
  <c r="J62" i="6" s="1"/>
  <c r="H38" i="4"/>
  <c r="F38" i="4"/>
  <c r="E38" i="4"/>
  <c r="J61" i="6" s="1"/>
  <c r="H37" i="4"/>
  <c r="F37" i="4"/>
  <c r="E37" i="4"/>
  <c r="J60" i="6" s="1"/>
  <c r="H36" i="4"/>
  <c r="F36" i="4"/>
  <c r="E36" i="4"/>
  <c r="J59" i="6" s="1"/>
  <c r="H35" i="4"/>
  <c r="F35" i="4"/>
  <c r="E35" i="4"/>
  <c r="J58" i="6" s="1"/>
  <c r="H34" i="4"/>
  <c r="F34" i="4"/>
  <c r="E34" i="4"/>
  <c r="J57" i="6" s="1"/>
  <c r="H33" i="4"/>
  <c r="F33" i="4"/>
  <c r="E33" i="4"/>
  <c r="J56" i="6" s="1"/>
  <c r="H32" i="4"/>
  <c r="F32" i="4"/>
  <c r="E32" i="4"/>
  <c r="J55" i="6" s="1"/>
  <c r="H31" i="4"/>
  <c r="F31" i="4"/>
  <c r="E31" i="4"/>
  <c r="J54" i="6" s="1"/>
  <c r="H30" i="4"/>
  <c r="F30" i="4"/>
  <c r="E30" i="4"/>
  <c r="J53" i="6" s="1"/>
  <c r="H29" i="4"/>
  <c r="F29" i="4"/>
  <c r="E29" i="4"/>
  <c r="H28" i="4"/>
  <c r="F28" i="4"/>
  <c r="E28" i="4"/>
  <c r="H27" i="4"/>
  <c r="F27" i="4"/>
  <c r="E27" i="4"/>
  <c r="H26" i="4"/>
  <c r="F26" i="4"/>
  <c r="E26" i="4"/>
  <c r="H25" i="4"/>
  <c r="F25" i="4"/>
  <c r="E25" i="4"/>
  <c r="H24" i="4"/>
  <c r="F24" i="4"/>
  <c r="E24" i="4"/>
  <c r="H23" i="4"/>
  <c r="F23" i="4"/>
  <c r="E23" i="4"/>
  <c r="H22" i="4"/>
  <c r="F22" i="4"/>
  <c r="E22" i="4"/>
  <c r="H21" i="4"/>
  <c r="F21" i="4"/>
  <c r="E21" i="4"/>
  <c r="H20" i="4"/>
  <c r="F20" i="4"/>
  <c r="E20" i="4"/>
  <c r="H19" i="4"/>
  <c r="F19" i="4"/>
  <c r="E19" i="4"/>
  <c r="H18" i="4"/>
  <c r="F18" i="4"/>
  <c r="E18" i="4"/>
  <c r="H17" i="4"/>
  <c r="F17" i="4"/>
  <c r="E17" i="4"/>
  <c r="H16" i="4"/>
  <c r="F16" i="4"/>
  <c r="E16" i="4"/>
  <c r="H15" i="4"/>
  <c r="F15" i="4"/>
  <c r="E15" i="4"/>
  <c r="H14" i="4"/>
  <c r="F14" i="4"/>
  <c r="E14" i="4"/>
  <c r="H13" i="4"/>
  <c r="F13" i="4"/>
  <c r="E13" i="4"/>
  <c r="H12" i="4"/>
  <c r="F12" i="4"/>
  <c r="E12" i="4"/>
  <c r="H11" i="4"/>
  <c r="F11" i="4"/>
  <c r="E11" i="4"/>
  <c r="H10" i="4"/>
  <c r="F10" i="4"/>
  <c r="E10" i="4"/>
  <c r="H9" i="4"/>
  <c r="F9" i="4"/>
  <c r="E9" i="4"/>
  <c r="J32" i="6" s="1"/>
  <c r="H8" i="4"/>
  <c r="F8" i="4"/>
  <c r="E8" i="4"/>
  <c r="J31" i="6" s="1"/>
  <c r="H7" i="4"/>
  <c r="F7" i="4"/>
  <c r="E7" i="4"/>
  <c r="J30" i="6" s="1"/>
  <c r="H6" i="4"/>
  <c r="F6" i="4"/>
  <c r="E6" i="4"/>
  <c r="H5" i="4"/>
  <c r="F5" i="4"/>
  <c r="E5" i="4"/>
  <c r="AO22" i="3"/>
  <c r="AN22" i="3"/>
  <c r="AM22" i="3"/>
  <c r="AO21" i="3"/>
  <c r="AN21" i="3"/>
  <c r="AM21" i="3"/>
  <c r="AO20" i="3"/>
  <c r="AN20" i="3"/>
  <c r="AM20" i="3"/>
  <c r="AO19" i="3"/>
  <c r="AN19" i="3"/>
  <c r="AM19" i="3"/>
  <c r="AO18" i="3"/>
  <c r="AN18" i="3"/>
  <c r="AM18" i="3"/>
  <c r="AO17" i="3"/>
  <c r="AN17" i="3"/>
  <c r="AM17" i="3"/>
  <c r="AO16" i="3"/>
  <c r="AN16" i="3"/>
  <c r="AM16" i="3"/>
  <c r="AO15" i="3"/>
  <c r="AN15" i="3"/>
  <c r="AM15" i="3"/>
  <c r="AO14" i="3"/>
  <c r="AN14" i="3"/>
  <c r="AM14" i="3"/>
  <c r="AO13" i="3"/>
  <c r="AN13" i="3"/>
  <c r="AM13" i="3"/>
  <c r="AO12" i="3"/>
  <c r="AN12" i="3"/>
  <c r="AM12" i="3"/>
  <c r="AO11" i="3"/>
  <c r="AN11" i="3"/>
  <c r="AM11" i="3"/>
  <c r="AO10" i="3"/>
  <c r="AN10" i="3"/>
  <c r="AM10" i="3"/>
  <c r="AO9" i="3"/>
  <c r="AN9" i="3"/>
  <c r="AM9" i="3"/>
  <c r="AO8" i="3"/>
  <c r="AN8" i="3"/>
  <c r="AM8" i="3"/>
  <c r="AO7" i="3"/>
  <c r="AN7" i="3"/>
  <c r="AM7" i="3"/>
  <c r="AO6" i="3"/>
  <c r="AN6" i="3"/>
  <c r="AM6" i="3"/>
  <c r="AO5" i="3"/>
  <c r="AN5" i="3"/>
  <c r="AM5" i="3"/>
  <c r="R20" i="2"/>
  <c r="Q20" i="2"/>
  <c r="AL21" i="3" s="1"/>
  <c r="P20" i="2"/>
  <c r="AL20" i="3" s="1"/>
  <c r="O20" i="2"/>
  <c r="AL19" i="3" s="1"/>
  <c r="N20" i="2"/>
  <c r="AL18" i="3" s="1"/>
  <c r="M20" i="2"/>
  <c r="AL17" i="3" s="1"/>
  <c r="K20" i="2"/>
  <c r="AL15" i="3" s="1"/>
  <c r="J20" i="2"/>
  <c r="AL14" i="3" s="1"/>
  <c r="I20" i="2"/>
  <c r="AL13" i="3" s="1"/>
  <c r="H20" i="2"/>
  <c r="AL12" i="3" s="1"/>
  <c r="G20" i="2"/>
  <c r="AL11" i="3" s="1"/>
  <c r="F20" i="2"/>
  <c r="AL10" i="3" s="1"/>
  <c r="E20" i="2"/>
  <c r="AL9" i="3" s="1"/>
  <c r="D20" i="2"/>
  <c r="AL8" i="3" s="1"/>
  <c r="C20" i="2"/>
  <c r="AL7" i="3" s="1"/>
  <c r="B20" i="2"/>
  <c r="AL6" i="3" s="1"/>
  <c r="R19" i="2"/>
  <c r="Q19" i="2"/>
  <c r="AK21" i="3" s="1"/>
  <c r="P19" i="2"/>
  <c r="AK20" i="3" s="1"/>
  <c r="O19" i="2"/>
  <c r="AK19" i="3" s="1"/>
  <c r="N19" i="2"/>
  <c r="AK18" i="3" s="1"/>
  <c r="M19" i="2"/>
  <c r="AK17" i="3" s="1"/>
  <c r="L19" i="2"/>
  <c r="AK16" i="3" s="1"/>
  <c r="K19" i="2"/>
  <c r="AK15" i="3" s="1"/>
  <c r="I19" i="2"/>
  <c r="AK13" i="3" s="1"/>
  <c r="H19" i="2"/>
  <c r="AK12" i="3" s="1"/>
  <c r="G19" i="2"/>
  <c r="AK11" i="3" s="1"/>
  <c r="F19" i="2"/>
  <c r="AK10" i="3" s="1"/>
  <c r="E19" i="2"/>
  <c r="AK9" i="3" s="1"/>
  <c r="C19" i="2"/>
  <c r="AK7" i="3" s="1"/>
  <c r="B19" i="2"/>
  <c r="AK6" i="3" s="1"/>
  <c r="P18" i="2"/>
  <c r="AJ20" i="3" s="1"/>
  <c r="N18" i="2"/>
  <c r="AJ18" i="3" s="1"/>
  <c r="Q17" i="2"/>
  <c r="AI21" i="3" s="1"/>
  <c r="P17" i="2"/>
  <c r="AI20" i="3" s="1"/>
  <c r="O17" i="2"/>
  <c r="AI19" i="3" s="1"/>
  <c r="N17" i="2"/>
  <c r="AI18" i="3" s="1"/>
  <c r="B17" i="2"/>
  <c r="AI6" i="3" s="1"/>
  <c r="Q14" i="2"/>
  <c r="AF21" i="3" s="1"/>
  <c r="O14" i="2"/>
  <c r="AF19" i="3" s="1"/>
  <c r="M14" i="2"/>
  <c r="AF17" i="3" s="1"/>
  <c r="K14" i="2"/>
  <c r="AF15" i="3" s="1"/>
  <c r="D14" i="2"/>
  <c r="AF8" i="3" s="1"/>
  <c r="M12" i="2"/>
  <c r="AD17" i="3" s="1"/>
  <c r="P11" i="2"/>
  <c r="AC20" i="3" s="1"/>
  <c r="L11" i="2"/>
  <c r="AC16" i="3" s="1"/>
  <c r="G11" i="2"/>
  <c r="AC11" i="3" s="1"/>
  <c r="I10" i="2"/>
  <c r="AB13" i="3" s="1"/>
  <c r="R9" i="2"/>
  <c r="AA22" i="3" s="1"/>
  <c r="Q9" i="2"/>
  <c r="AA21" i="3" s="1"/>
  <c r="O8" i="2"/>
  <c r="Z19" i="3" s="1"/>
  <c r="N7" i="2"/>
  <c r="Y18" i="3" s="1"/>
  <c r="I7" i="2"/>
  <c r="Y13" i="3" s="1"/>
  <c r="Q6" i="2"/>
  <c r="X21" i="3" s="1"/>
  <c r="P6" i="2"/>
  <c r="X20" i="3" s="1"/>
  <c r="Q5" i="2"/>
  <c r="W21" i="3" s="1"/>
  <c r="B5" i="2"/>
  <c r="W6" i="3" s="1"/>
  <c r="J4" i="2"/>
  <c r="V14" i="3" s="1"/>
  <c r="I1051" i="4" l="1"/>
  <c r="I1048" i="4"/>
  <c r="I1043" i="4"/>
  <c r="I1044" i="4"/>
  <c r="I1052" i="4"/>
  <c r="I1316" i="4"/>
  <c r="I1340" i="4"/>
  <c r="I705" i="4"/>
  <c r="F705" i="6" s="1"/>
  <c r="G705" i="6" s="1"/>
  <c r="I676" i="4"/>
  <c r="F677" i="6" s="1"/>
  <c r="G677" i="6" s="1"/>
  <c r="I692" i="4"/>
  <c r="F693" i="6" s="1"/>
  <c r="G693" i="6" s="1"/>
  <c r="I827" i="4"/>
  <c r="F819" i="6" s="1"/>
  <c r="G819" i="6" s="1"/>
  <c r="I1235" i="4"/>
  <c r="I1243" i="4"/>
  <c r="I1259" i="4"/>
  <c r="I1275" i="4"/>
  <c r="I1049" i="4"/>
  <c r="F1032" i="6" s="1"/>
  <c r="G1032" i="6" s="1"/>
  <c r="I501" i="4"/>
  <c r="F505" i="6" s="1"/>
  <c r="G505" i="6" s="1"/>
  <c r="I533" i="4"/>
  <c r="F537" i="6" s="1"/>
  <c r="G537" i="6" s="1"/>
  <c r="I565" i="4"/>
  <c r="I597" i="4"/>
  <c r="I645" i="4"/>
  <c r="I997" i="4"/>
  <c r="I1369" i="4"/>
  <c r="I1377" i="4"/>
  <c r="I1385" i="4"/>
  <c r="I1393" i="4"/>
  <c r="I1401" i="4"/>
  <c r="I1409" i="4"/>
  <c r="I1417" i="4"/>
  <c r="I1425" i="4"/>
  <c r="I1433" i="4"/>
  <c r="I1441" i="4"/>
  <c r="I1449" i="4"/>
  <c r="I1457" i="4"/>
  <c r="I1465" i="4"/>
  <c r="I1473" i="4"/>
  <c r="I1481" i="4"/>
  <c r="I1489" i="4"/>
  <c r="I745" i="4"/>
  <c r="I905" i="4"/>
  <c r="F897" i="6" s="1"/>
  <c r="G897" i="6" s="1"/>
  <c r="I921" i="4"/>
  <c r="F913" i="6" s="1"/>
  <c r="G913" i="6" s="1"/>
  <c r="I295" i="4"/>
  <c r="F308" i="6" s="1"/>
  <c r="G308" i="6" s="1"/>
  <c r="I303" i="4"/>
  <c r="F11" i="2" s="1"/>
  <c r="AC10" i="3" s="1"/>
  <c r="I319" i="4"/>
  <c r="I327" i="4"/>
  <c r="I335" i="4"/>
  <c r="I375" i="4"/>
  <c r="F384" i="6" s="1"/>
  <c r="G384" i="6" s="1"/>
  <c r="I383" i="4"/>
  <c r="F392" i="6" s="1"/>
  <c r="G392" i="6" s="1"/>
  <c r="I407" i="4"/>
  <c r="F416" i="6" s="1"/>
  <c r="G416" i="6" s="1"/>
  <c r="I1373" i="4"/>
  <c r="I1381" i="4"/>
  <c r="I1389" i="4"/>
  <c r="I1397" i="4"/>
  <c r="I1405" i="4"/>
  <c r="I1413" i="4"/>
  <c r="I1421" i="4"/>
  <c r="I1429" i="4"/>
  <c r="I1437" i="4"/>
  <c r="I1445" i="4"/>
  <c r="I1453" i="4"/>
  <c r="I1461" i="4"/>
  <c r="I1469" i="4"/>
  <c r="I1477" i="4"/>
  <c r="I1485" i="4"/>
  <c r="I320" i="4"/>
  <c r="F332" i="6" s="1"/>
  <c r="G332" i="6" s="1"/>
  <c r="I336" i="4"/>
  <c r="F348" i="6" s="1"/>
  <c r="G348" i="6" s="1"/>
  <c r="I384" i="4"/>
  <c r="F393" i="6" s="1"/>
  <c r="G393" i="6" s="1"/>
  <c r="I1497" i="4"/>
  <c r="I1076" i="4"/>
  <c r="I1140" i="4"/>
  <c r="I1148" i="4"/>
  <c r="I1204" i="4"/>
  <c r="I1212" i="4"/>
  <c r="I1268" i="4"/>
  <c r="I804" i="4"/>
  <c r="F797" i="6" s="1"/>
  <c r="G797" i="6" s="1"/>
  <c r="I812" i="4"/>
  <c r="I828" i="4"/>
  <c r="I868" i="4"/>
  <c r="I876" i="4"/>
  <c r="F868" i="6" s="1"/>
  <c r="G868" i="6" s="1"/>
  <c r="I884" i="4"/>
  <c r="F876" i="6" s="1"/>
  <c r="G876" i="6" s="1"/>
  <c r="I1271" i="4"/>
  <c r="I901" i="4"/>
  <c r="F893" i="6" s="1"/>
  <c r="G893" i="6" s="1"/>
  <c r="I914" i="4"/>
  <c r="F906" i="6" s="1"/>
  <c r="G906" i="6" s="1"/>
  <c r="I917" i="4"/>
  <c r="I978" i="4"/>
  <c r="I1298" i="4"/>
  <c r="I1322" i="4"/>
  <c r="I1330" i="4"/>
  <c r="I1346" i="4"/>
  <c r="I1096" i="4"/>
  <c r="I1104" i="4"/>
  <c r="I507" i="4"/>
  <c r="I531" i="4"/>
  <c r="I595" i="4"/>
  <c r="I663" i="4"/>
  <c r="K7" i="2" s="1"/>
  <c r="Y15" i="3" s="1"/>
  <c r="I679" i="4"/>
  <c r="F680" i="6" s="1"/>
  <c r="G680" i="6" s="1"/>
  <c r="I703" i="4"/>
  <c r="I282" i="4"/>
  <c r="F5" i="2" s="1"/>
  <c r="W10" i="3" s="1"/>
  <c r="I346" i="4"/>
  <c r="F358" i="6" s="1"/>
  <c r="G358" i="6" s="1"/>
  <c r="I458" i="4"/>
  <c r="I466" i="4"/>
  <c r="F471" i="6" s="1"/>
  <c r="G471" i="6" s="1"/>
  <c r="I482" i="4"/>
  <c r="I490" i="4"/>
  <c r="F495" i="6" s="1"/>
  <c r="G495" i="6" s="1"/>
  <c r="I967" i="4"/>
  <c r="F958" i="6" s="1"/>
  <c r="G958" i="6" s="1"/>
  <c r="I983" i="4"/>
  <c r="F970" i="6" s="1"/>
  <c r="G970" i="6" s="1"/>
  <c r="I999" i="4"/>
  <c r="F986" i="6" s="1"/>
  <c r="G986" i="6" s="1"/>
  <c r="I1015" i="4"/>
  <c r="F1001" i="6" s="1"/>
  <c r="G1001" i="6" s="1"/>
  <c r="I1039" i="4"/>
  <c r="I1071" i="4"/>
  <c r="I1084" i="4"/>
  <c r="I1276" i="4"/>
  <c r="I416" i="4"/>
  <c r="F425" i="6" s="1"/>
  <c r="G425" i="6" s="1"/>
  <c r="I741" i="4"/>
  <c r="I757" i="4"/>
  <c r="F751" i="6" s="1"/>
  <c r="G751" i="6" s="1"/>
  <c r="I773" i="4"/>
  <c r="F767" i="6" s="1"/>
  <c r="G767" i="6" s="1"/>
  <c r="I789" i="4"/>
  <c r="I1013" i="4"/>
  <c r="I1029" i="4"/>
  <c r="I1037" i="4"/>
  <c r="F1020" i="6" s="1"/>
  <c r="G1020" i="6" s="1"/>
  <c r="I1082" i="4"/>
  <c r="I1135" i="4"/>
  <c r="I813" i="4"/>
  <c r="F806" i="6" s="1"/>
  <c r="G806" i="6" s="1"/>
  <c r="I845" i="4"/>
  <c r="F837" i="6" s="1"/>
  <c r="G837" i="6" s="1"/>
  <c r="I302" i="4"/>
  <c r="I771" i="4"/>
  <c r="F765" i="6" s="1"/>
  <c r="G765" i="6" s="1"/>
  <c r="I803" i="4"/>
  <c r="I899" i="4"/>
  <c r="F891" i="6" s="1"/>
  <c r="G891" i="6" s="1"/>
  <c r="I931" i="4"/>
  <c r="I1027" i="4"/>
  <c r="F1010" i="6" s="1"/>
  <c r="G1010" i="6" s="1"/>
  <c r="I1062" i="4"/>
  <c r="I1144" i="4"/>
  <c r="I1208" i="4"/>
  <c r="I1224" i="4"/>
  <c r="I1232" i="4"/>
  <c r="I1256" i="4"/>
  <c r="I292" i="4"/>
  <c r="F305" i="6" s="1"/>
  <c r="G305" i="6" s="1"/>
  <c r="I300" i="4"/>
  <c r="F313" i="6" s="1"/>
  <c r="G313" i="6" s="1"/>
  <c r="I313" i="4"/>
  <c r="F325" i="6" s="1"/>
  <c r="G325" i="6" s="1"/>
  <c r="I337" i="4"/>
  <c r="F349" i="6" s="1"/>
  <c r="G349" i="6" s="1"/>
  <c r="I340" i="4"/>
  <c r="I345" i="4"/>
  <c r="F357" i="6" s="1"/>
  <c r="G357" i="6" s="1"/>
  <c r="I348" i="4"/>
  <c r="I353" i="4"/>
  <c r="F365" i="6" s="1"/>
  <c r="G365" i="6" s="1"/>
  <c r="I356" i="4"/>
  <c r="I364" i="4"/>
  <c r="F373" i="6" s="1"/>
  <c r="G373" i="6" s="1"/>
  <c r="I372" i="4"/>
  <c r="F381" i="6" s="1"/>
  <c r="G381" i="6" s="1"/>
  <c r="I380" i="4"/>
  <c r="F389" i="6" s="1"/>
  <c r="G389" i="6" s="1"/>
  <c r="I396" i="4"/>
  <c r="G18" i="2" s="1"/>
  <c r="AJ11" i="3" s="1"/>
  <c r="I404" i="4"/>
  <c r="F413" i="6" s="1"/>
  <c r="G413" i="6" s="1"/>
  <c r="I412" i="4"/>
  <c r="I417" i="4"/>
  <c r="F426" i="6" s="1"/>
  <c r="G426" i="6" s="1"/>
  <c r="I441" i="4"/>
  <c r="F450" i="6" s="1"/>
  <c r="G450" i="6" s="1"/>
  <c r="I609" i="4"/>
  <c r="F613" i="6" s="1"/>
  <c r="G613" i="6" s="1"/>
  <c r="I617" i="4"/>
  <c r="F621" i="6" s="1"/>
  <c r="G621" i="6" s="1"/>
  <c r="I649" i="4"/>
  <c r="I782" i="4"/>
  <c r="I817" i="4"/>
  <c r="F810" i="6" s="1"/>
  <c r="G810" i="6" s="1"/>
  <c r="I833" i="4"/>
  <c r="I849" i="4"/>
  <c r="F841" i="6" s="1"/>
  <c r="G841" i="6" s="1"/>
  <c r="I865" i="4"/>
  <c r="F857" i="6" s="1"/>
  <c r="G857" i="6" s="1"/>
  <c r="I897" i="4"/>
  <c r="F889" i="6" s="1"/>
  <c r="G889" i="6" s="1"/>
  <c r="I1086" i="4"/>
  <c r="I1110" i="4"/>
  <c r="I406" i="4"/>
  <c r="I427" i="4"/>
  <c r="F436" i="6" s="1"/>
  <c r="G436" i="6" s="1"/>
  <c r="I435" i="4"/>
  <c r="I448" i="4"/>
  <c r="F457" i="6" s="1"/>
  <c r="G457" i="6" s="1"/>
  <c r="I451" i="4"/>
  <c r="F460" i="6" s="1"/>
  <c r="G460" i="6" s="1"/>
  <c r="I459" i="4"/>
  <c r="F466" i="6" s="1"/>
  <c r="G466" i="6" s="1"/>
  <c r="I467" i="4"/>
  <c r="F472" i="6" s="1"/>
  <c r="G472" i="6" s="1"/>
  <c r="I483" i="4"/>
  <c r="F488" i="6" s="1"/>
  <c r="G488" i="6" s="1"/>
  <c r="I499" i="4"/>
  <c r="I11" i="2" s="1"/>
  <c r="AC13" i="3" s="1"/>
  <c r="I600" i="4"/>
  <c r="F604" i="6" s="1"/>
  <c r="G604" i="6" s="1"/>
  <c r="I603" i="4"/>
  <c r="I611" i="4"/>
  <c r="F615" i="6" s="1"/>
  <c r="G615" i="6" s="1"/>
  <c r="I616" i="4"/>
  <c r="F620" i="6" s="1"/>
  <c r="G620" i="6" s="1"/>
  <c r="I619" i="4"/>
  <c r="F623" i="6" s="1"/>
  <c r="G623" i="6" s="1"/>
  <c r="I627" i="4"/>
  <c r="F631" i="6" s="1"/>
  <c r="G631" i="6" s="1"/>
  <c r="I659" i="4"/>
  <c r="F661" i="6" s="1"/>
  <c r="G661" i="6" s="1"/>
  <c r="I1047" i="4"/>
  <c r="I1342" i="4"/>
  <c r="I454" i="4"/>
  <c r="H7" i="2" s="1"/>
  <c r="Y12" i="3" s="1"/>
  <c r="I486" i="4"/>
  <c r="F491" i="6" s="1"/>
  <c r="G491" i="6" s="1"/>
  <c r="I529" i="4"/>
  <c r="F533" i="6" s="1"/>
  <c r="G533" i="6" s="1"/>
  <c r="I739" i="4"/>
  <c r="F738" i="6" s="1"/>
  <c r="G738" i="6" s="1"/>
  <c r="I941" i="4"/>
  <c r="P16" i="2" s="1"/>
  <c r="AH20" i="3" s="1"/>
  <c r="I1090" i="4"/>
  <c r="I1106" i="4"/>
  <c r="I1130" i="4"/>
  <c r="I1138" i="4"/>
  <c r="I1172" i="4"/>
  <c r="I1188" i="4"/>
  <c r="I1252" i="4"/>
  <c r="I1348" i="4"/>
  <c r="I1356" i="4"/>
  <c r="I420" i="4"/>
  <c r="I769" i="4"/>
  <c r="F763" i="6" s="1"/>
  <c r="G763" i="6" s="1"/>
  <c r="I801" i="4"/>
  <c r="I1067" i="4"/>
  <c r="I1154" i="4"/>
  <c r="I1170" i="4"/>
  <c r="I1194" i="4"/>
  <c r="I1202" i="4"/>
  <c r="I1218" i="4"/>
  <c r="I1234" i="4"/>
  <c r="I1258" i="4"/>
  <c r="I1266" i="4"/>
  <c r="I1351" i="4"/>
  <c r="I352" i="4"/>
  <c r="F364" i="6" s="1"/>
  <c r="G364" i="6" s="1"/>
  <c r="I945" i="4"/>
  <c r="F936" i="6" s="1"/>
  <c r="G936" i="6" s="1"/>
  <c r="I961" i="4"/>
  <c r="F952" i="6" s="1"/>
  <c r="G952" i="6" s="1"/>
  <c r="I977" i="4"/>
  <c r="I993" i="4"/>
  <c r="F980" i="6" s="1"/>
  <c r="G980" i="6" s="1"/>
  <c r="I1025" i="4"/>
  <c r="I1107" i="4"/>
  <c r="I1115" i="4"/>
  <c r="I1493" i="4"/>
  <c r="I1501" i="4"/>
  <c r="I892" i="4"/>
  <c r="F884" i="6" s="1"/>
  <c r="G884" i="6" s="1"/>
  <c r="I1068" i="4"/>
  <c r="I1142" i="4"/>
  <c r="I1147" i="4"/>
  <c r="I1352" i="4"/>
  <c r="I379" i="4"/>
  <c r="F388" i="6" s="1"/>
  <c r="G388" i="6" s="1"/>
  <c r="I411" i="4"/>
  <c r="F420" i="6" s="1"/>
  <c r="G420" i="6" s="1"/>
  <c r="I421" i="4"/>
  <c r="F430" i="6" s="1"/>
  <c r="G430" i="6" s="1"/>
  <c r="I453" i="4"/>
  <c r="F462" i="6" s="1"/>
  <c r="G462" i="6" s="1"/>
  <c r="I677" i="4"/>
  <c r="I722" i="4"/>
  <c r="I996" i="4"/>
  <c r="I1004" i="4"/>
  <c r="F991" i="6" s="1"/>
  <c r="G991" i="6" s="1"/>
  <c r="I1012" i="4"/>
  <c r="I1020" i="4"/>
  <c r="I1092" i="4"/>
  <c r="I1100" i="4"/>
  <c r="I1116" i="4"/>
  <c r="I1132" i="4"/>
  <c r="I1150" i="4"/>
  <c r="I1174" i="4"/>
  <c r="I1190" i="4"/>
  <c r="I1270" i="4"/>
  <c r="I8" i="4"/>
  <c r="F31" i="6" s="1"/>
  <c r="G31" i="6" s="1"/>
  <c r="I16" i="4"/>
  <c r="F39" i="6" s="1"/>
  <c r="G39" i="6" s="1"/>
  <c r="I24" i="4"/>
  <c r="I32" i="4"/>
  <c r="I37" i="4"/>
  <c r="I40" i="4"/>
  <c r="F62" i="6" s="1"/>
  <c r="G62" i="6" s="1"/>
  <c r="I45" i="4"/>
  <c r="F67" i="6" s="1"/>
  <c r="G67" i="6" s="1"/>
  <c r="I469" i="4"/>
  <c r="F474" i="6" s="1"/>
  <c r="G474" i="6" s="1"/>
  <c r="I477" i="4"/>
  <c r="I493" i="4"/>
  <c r="F498" i="6" s="1"/>
  <c r="G498" i="6" s="1"/>
  <c r="I599" i="4"/>
  <c r="I607" i="4"/>
  <c r="F611" i="6" s="1"/>
  <c r="G611" i="6" s="1"/>
  <c r="I612" i="4"/>
  <c r="I615" i="4"/>
  <c r="F619" i="6" s="1"/>
  <c r="G619" i="6" s="1"/>
  <c r="I631" i="4"/>
  <c r="I639" i="4"/>
  <c r="F642" i="6" s="1"/>
  <c r="G642" i="6" s="1"/>
  <c r="I647" i="4"/>
  <c r="F650" i="6" s="1"/>
  <c r="G650" i="6" s="1"/>
  <c r="I718" i="4"/>
  <c r="F718" i="6" s="1"/>
  <c r="G718" i="6" s="1"/>
  <c r="I721" i="4"/>
  <c r="I737" i="4"/>
  <c r="F736" i="6" s="1"/>
  <c r="G736" i="6" s="1"/>
  <c r="I795" i="4"/>
  <c r="I808" i="4"/>
  <c r="F801" i="6" s="1"/>
  <c r="G801" i="6" s="1"/>
  <c r="I816" i="4"/>
  <c r="F809" i="6" s="1"/>
  <c r="G809" i="6" s="1"/>
  <c r="I832" i="4"/>
  <c r="F824" i="6" s="1"/>
  <c r="G824" i="6" s="1"/>
  <c r="I835" i="4"/>
  <c r="F827" i="6" s="1"/>
  <c r="G827" i="6" s="1"/>
  <c r="I851" i="4"/>
  <c r="F843" i="6" s="1"/>
  <c r="G843" i="6" s="1"/>
  <c r="I867" i="4"/>
  <c r="I872" i="4"/>
  <c r="F864" i="6" s="1"/>
  <c r="G864" i="6" s="1"/>
  <c r="I875" i="4"/>
  <c r="I880" i="4"/>
  <c r="F872" i="6" s="1"/>
  <c r="G872" i="6" s="1"/>
  <c r="I883" i="4"/>
  <c r="F875" i="6" s="1"/>
  <c r="G875" i="6" s="1"/>
  <c r="I896" i="4"/>
  <c r="F888" i="6" s="1"/>
  <c r="G888" i="6" s="1"/>
  <c r="I1036" i="4"/>
  <c r="F1019" i="6" s="1"/>
  <c r="G1019" i="6" s="1"/>
  <c r="I1060" i="4"/>
  <c r="I1126" i="4"/>
  <c r="I1131" i="4"/>
  <c r="I1160" i="4"/>
  <c r="I1168" i="4"/>
  <c r="I1192" i="4"/>
  <c r="I1263" i="4"/>
  <c r="I1284" i="4"/>
  <c r="I1292" i="4"/>
  <c r="I1300" i="4"/>
  <c r="I1308" i="4"/>
  <c r="I1324" i="4"/>
  <c r="I1332" i="4"/>
  <c r="I314" i="4"/>
  <c r="F326" i="6" s="1"/>
  <c r="G326" i="6" s="1"/>
  <c r="I369" i="4"/>
  <c r="F378" i="6" s="1"/>
  <c r="G378" i="6" s="1"/>
  <c r="I385" i="4"/>
  <c r="F394" i="6" s="1"/>
  <c r="G394" i="6" s="1"/>
  <c r="I443" i="4"/>
  <c r="F452" i="6" s="1"/>
  <c r="G452" i="6" s="1"/>
  <c r="I456" i="4"/>
  <c r="I480" i="4"/>
  <c r="F485" i="6" s="1"/>
  <c r="G485" i="6" s="1"/>
  <c r="I496" i="4"/>
  <c r="I517" i="4"/>
  <c r="F521" i="6" s="1"/>
  <c r="G521" i="6" s="1"/>
  <c r="I549" i="4"/>
  <c r="F553" i="6" s="1"/>
  <c r="G553" i="6" s="1"/>
  <c r="I581" i="4"/>
  <c r="F585" i="6" s="1"/>
  <c r="G585" i="6" s="1"/>
  <c r="I610" i="4"/>
  <c r="F614" i="6" s="1"/>
  <c r="G614" i="6" s="1"/>
  <c r="I618" i="4"/>
  <c r="I626" i="4"/>
  <c r="I642" i="4"/>
  <c r="F645" i="6" s="1"/>
  <c r="G645" i="6" s="1"/>
  <c r="I650" i="4"/>
  <c r="I658" i="4"/>
  <c r="F660" i="6" s="1"/>
  <c r="G660" i="6" s="1"/>
  <c r="I740" i="4"/>
  <c r="I748" i="4"/>
  <c r="I764" i="4"/>
  <c r="F758" i="6" s="1"/>
  <c r="G758" i="6" s="1"/>
  <c r="I777" i="4"/>
  <c r="F771" i="6" s="1"/>
  <c r="G771" i="6" s="1"/>
  <c r="I846" i="4"/>
  <c r="I923" i="4"/>
  <c r="F915" i="6" s="1"/>
  <c r="G915" i="6" s="1"/>
  <c r="I936" i="4"/>
  <c r="I944" i="4"/>
  <c r="F935" i="6" s="1"/>
  <c r="G935" i="6" s="1"/>
  <c r="I960" i="4"/>
  <c r="F951" i="6" s="1"/>
  <c r="G951" i="6" s="1"/>
  <c r="I973" i="4"/>
  <c r="F964" i="6" s="1"/>
  <c r="G964" i="6" s="1"/>
  <c r="I1042" i="4"/>
  <c r="F1025" i="6" s="1"/>
  <c r="G1025" i="6" s="1"/>
  <c r="I1074" i="4"/>
  <c r="I1108" i="4"/>
  <c r="I1171" i="4"/>
  <c r="I1179" i="4"/>
  <c r="I1195" i="4"/>
  <c r="I1287" i="4"/>
  <c r="I1303" i="4"/>
  <c r="I1327" i="4"/>
  <c r="I1335" i="4"/>
  <c r="I48" i="4"/>
  <c r="I53" i="4"/>
  <c r="F75" i="6" s="1"/>
  <c r="G75" i="6" s="1"/>
  <c r="I56" i="4"/>
  <c r="I61" i="4"/>
  <c r="F83" i="6" s="1"/>
  <c r="G83" i="6" s="1"/>
  <c r="I64" i="4"/>
  <c r="I69" i="4"/>
  <c r="F88" i="6" s="1"/>
  <c r="G88" i="6" s="1"/>
  <c r="I72" i="4"/>
  <c r="F91" i="6" s="1"/>
  <c r="G91" i="6" s="1"/>
  <c r="I77" i="4"/>
  <c r="F96" i="6" s="1"/>
  <c r="G96" i="6" s="1"/>
  <c r="I80" i="4"/>
  <c r="I85" i="4"/>
  <c r="I88" i="4"/>
  <c r="I93" i="4"/>
  <c r="F112" i="6" s="1"/>
  <c r="G112" i="6" s="1"/>
  <c r="I96" i="4"/>
  <c r="F115" i="6" s="1"/>
  <c r="G115" i="6" s="1"/>
  <c r="I101" i="4"/>
  <c r="F120" i="6" s="1"/>
  <c r="G120" i="6" s="1"/>
  <c r="I104" i="4"/>
  <c r="F123" i="6" s="1"/>
  <c r="G123" i="6" s="1"/>
  <c r="I109" i="4"/>
  <c r="F128" i="6" s="1"/>
  <c r="G128" i="6" s="1"/>
  <c r="I112" i="4"/>
  <c r="I117" i="4"/>
  <c r="C11" i="2" s="1"/>
  <c r="AC7" i="3" s="1"/>
  <c r="I120" i="4"/>
  <c r="I125" i="4"/>
  <c r="F144" i="6" s="1"/>
  <c r="G144" i="6" s="1"/>
  <c r="I128" i="4"/>
  <c r="F147" i="6" s="1"/>
  <c r="G147" i="6" s="1"/>
  <c r="I133" i="4"/>
  <c r="F152" i="6" s="1"/>
  <c r="G152" i="6" s="1"/>
  <c r="I136" i="4"/>
  <c r="F155" i="6" s="1"/>
  <c r="G155" i="6" s="1"/>
  <c r="I141" i="4"/>
  <c r="F160" i="6" s="1"/>
  <c r="G160" i="6" s="1"/>
  <c r="I288" i="4"/>
  <c r="I296" i="4"/>
  <c r="F309" i="6" s="1"/>
  <c r="G309" i="6" s="1"/>
  <c r="I312" i="4"/>
  <c r="I359" i="4"/>
  <c r="I446" i="4"/>
  <c r="F455" i="6" s="1"/>
  <c r="G455" i="6" s="1"/>
  <c r="I449" i="4"/>
  <c r="F458" i="6" s="1"/>
  <c r="G458" i="6" s="1"/>
  <c r="I536" i="4"/>
  <c r="F540" i="6" s="1"/>
  <c r="G540" i="6" s="1"/>
  <c r="I539" i="4"/>
  <c r="F543" i="6" s="1"/>
  <c r="G543" i="6" s="1"/>
  <c r="I547" i="4"/>
  <c r="I552" i="4"/>
  <c r="F556" i="6" s="1"/>
  <c r="G556" i="6" s="1"/>
  <c r="I555" i="4"/>
  <c r="I563" i="4"/>
  <c r="F567" i="6" s="1"/>
  <c r="G567" i="6" s="1"/>
  <c r="I629" i="4"/>
  <c r="K17" i="2" s="1"/>
  <c r="AI15" i="3" s="1"/>
  <c r="I661" i="4"/>
  <c r="F663" i="6" s="1"/>
  <c r="G663" i="6" s="1"/>
  <c r="I759" i="4"/>
  <c r="F753" i="6" s="1"/>
  <c r="G753" i="6" s="1"/>
  <c r="I873" i="4"/>
  <c r="F865" i="6" s="1"/>
  <c r="G865" i="6" s="1"/>
  <c r="I889" i="4"/>
  <c r="I910" i="4"/>
  <c r="F902" i="6" s="1"/>
  <c r="G902" i="6" s="1"/>
  <c r="I929" i="4"/>
  <c r="I963" i="4"/>
  <c r="Q7" i="2" s="1"/>
  <c r="Y21" i="3" s="1"/>
  <c r="I971" i="4"/>
  <c r="F962" i="6" s="1"/>
  <c r="G962" i="6" s="1"/>
  <c r="I979" i="4"/>
  <c r="I987" i="4"/>
  <c r="F974" i="6" s="1"/>
  <c r="G974" i="6" s="1"/>
  <c r="I995" i="4"/>
  <c r="F982" i="6" s="1"/>
  <c r="G982" i="6" s="1"/>
  <c r="I1000" i="4"/>
  <c r="I1003" i="4"/>
  <c r="F990" i="6" s="1"/>
  <c r="G990" i="6" s="1"/>
  <c r="I1008" i="4"/>
  <c r="I1011" i="4"/>
  <c r="F998" i="6" s="1"/>
  <c r="G998" i="6" s="1"/>
  <c r="I1019" i="4"/>
  <c r="F1005" i="6" s="1"/>
  <c r="G1005" i="6" s="1"/>
  <c r="I1024" i="4"/>
  <c r="F1008" i="6" s="1"/>
  <c r="G1008" i="6" s="1"/>
  <c r="I1061" i="4"/>
  <c r="I1064" i="4"/>
  <c r="I1124" i="4"/>
  <c r="I1206" i="4"/>
  <c r="I1211" i="4"/>
  <c r="I1272" i="4"/>
  <c r="I1282" i="4"/>
  <c r="I1359" i="4"/>
  <c r="I1367" i="4"/>
  <c r="I1375" i="4"/>
  <c r="I1383" i="4"/>
  <c r="I1391" i="4"/>
  <c r="I1399" i="4"/>
  <c r="I1407" i="4"/>
  <c r="I1415" i="4"/>
  <c r="I1423" i="4"/>
  <c r="I1431" i="4"/>
  <c r="I1439" i="4"/>
  <c r="I1447" i="4"/>
  <c r="I1455" i="4"/>
  <c r="I1463" i="4"/>
  <c r="I1471" i="4"/>
  <c r="I1479" i="4"/>
  <c r="I1487" i="4"/>
  <c r="I1495" i="4"/>
  <c r="I1503" i="4"/>
  <c r="I1080" i="4"/>
  <c r="I1156" i="4"/>
  <c r="I1164" i="4"/>
  <c r="I1180" i="4"/>
  <c r="I1196" i="4"/>
  <c r="I1214" i="4"/>
  <c r="I1238" i="4"/>
  <c r="I1254" i="4"/>
  <c r="I1288" i="4"/>
  <c r="I1296" i="4"/>
  <c r="I1320" i="4"/>
  <c r="I1336" i="4"/>
  <c r="I339" i="4"/>
  <c r="F351" i="6" s="1"/>
  <c r="G351" i="6" s="1"/>
  <c r="I347" i="4"/>
  <c r="F359" i="6" s="1"/>
  <c r="G359" i="6" s="1"/>
  <c r="I357" i="4"/>
  <c r="I370" i="4"/>
  <c r="F379" i="6" s="1"/>
  <c r="G379" i="6" s="1"/>
  <c r="I378" i="4"/>
  <c r="I428" i="4"/>
  <c r="F437" i="6" s="1"/>
  <c r="G437" i="6" s="1"/>
  <c r="I436" i="4"/>
  <c r="I444" i="4"/>
  <c r="F453" i="6" s="1"/>
  <c r="G453" i="6" s="1"/>
  <c r="I473" i="4"/>
  <c r="F478" i="6" s="1"/>
  <c r="G478" i="6" s="1"/>
  <c r="I497" i="4"/>
  <c r="F502" i="6" s="1"/>
  <c r="G502" i="6" s="1"/>
  <c r="I510" i="4"/>
  <c r="F514" i="6" s="1"/>
  <c r="G514" i="6" s="1"/>
  <c r="I526" i="4"/>
  <c r="F530" i="6" s="1"/>
  <c r="G530" i="6" s="1"/>
  <c r="I664" i="4"/>
  <c r="I680" i="4"/>
  <c r="F681" i="6" s="1"/>
  <c r="G681" i="6" s="1"/>
  <c r="I704" i="4"/>
  <c r="I786" i="4"/>
  <c r="F780" i="6" s="1"/>
  <c r="G780" i="6" s="1"/>
  <c r="I839" i="4"/>
  <c r="F831" i="6" s="1"/>
  <c r="G831" i="6" s="1"/>
  <c r="I855" i="4"/>
  <c r="F847" i="6" s="1"/>
  <c r="G847" i="6" s="1"/>
  <c r="I871" i="4"/>
  <c r="F863" i="6" s="1"/>
  <c r="G863" i="6" s="1"/>
  <c r="I887" i="4"/>
  <c r="F879" i="6" s="1"/>
  <c r="G879" i="6" s="1"/>
  <c r="I974" i="4"/>
  <c r="I990" i="4"/>
  <c r="F977" i="6" s="1"/>
  <c r="G977" i="6" s="1"/>
  <c r="I334" i="4"/>
  <c r="I342" i="4"/>
  <c r="F354" i="6" s="1"/>
  <c r="G354" i="6" s="1"/>
  <c r="I365" i="4"/>
  <c r="F374" i="6" s="1"/>
  <c r="G374" i="6" s="1"/>
  <c r="I368" i="4"/>
  <c r="F377" i="6" s="1"/>
  <c r="G377" i="6" s="1"/>
  <c r="I376" i="4"/>
  <c r="F385" i="6" s="1"/>
  <c r="G385" i="6" s="1"/>
  <c r="I389" i="4"/>
  <c r="F398" i="6" s="1"/>
  <c r="G398" i="6" s="1"/>
  <c r="I392" i="4"/>
  <c r="I400" i="4"/>
  <c r="F409" i="6" s="1"/>
  <c r="G409" i="6" s="1"/>
  <c r="I405" i="4"/>
  <c r="I408" i="4"/>
  <c r="F417" i="6" s="1"/>
  <c r="G417" i="6" s="1"/>
  <c r="I423" i="4"/>
  <c r="F432" i="6" s="1"/>
  <c r="G432" i="6" s="1"/>
  <c r="I455" i="4"/>
  <c r="F464" i="6" s="1"/>
  <c r="G464" i="6" s="1"/>
  <c r="I487" i="4"/>
  <c r="F492" i="6" s="1"/>
  <c r="G492" i="6" s="1"/>
  <c r="I545" i="4"/>
  <c r="F549" i="6" s="1"/>
  <c r="G549" i="6" s="1"/>
  <c r="I553" i="4"/>
  <c r="I577" i="4"/>
  <c r="F581" i="6" s="1"/>
  <c r="G581" i="6" s="1"/>
  <c r="I585" i="4"/>
  <c r="I630" i="4"/>
  <c r="F634" i="6" s="1"/>
  <c r="G634" i="6" s="1"/>
  <c r="I654" i="4"/>
  <c r="F656" i="6" s="1"/>
  <c r="G656" i="6" s="1"/>
  <c r="I699" i="4"/>
  <c r="I707" i="4"/>
  <c r="F707" i="6" s="1"/>
  <c r="G707" i="6" s="1"/>
  <c r="I744" i="4"/>
  <c r="I747" i="4"/>
  <c r="I752" i="4"/>
  <c r="F746" i="6" s="1"/>
  <c r="G746" i="6" s="1"/>
  <c r="I755" i="4"/>
  <c r="I768" i="4"/>
  <c r="F762" i="6" s="1"/>
  <c r="G762" i="6" s="1"/>
  <c r="I850" i="4"/>
  <c r="F842" i="6" s="1"/>
  <c r="G842" i="6" s="1"/>
  <c r="I869" i="4"/>
  <c r="F861" i="6" s="1"/>
  <c r="G861" i="6" s="1"/>
  <c r="I885" i="4"/>
  <c r="F877" i="6" s="1"/>
  <c r="G877" i="6" s="1"/>
  <c r="I932" i="4"/>
  <c r="P14" i="2" s="1"/>
  <c r="AF20" i="3" s="1"/>
  <c r="I940" i="4"/>
  <c r="I948" i="4"/>
  <c r="F939" i="6" s="1"/>
  <c r="G939" i="6" s="1"/>
  <c r="I956" i="4"/>
  <c r="I1001" i="4"/>
  <c r="F988" i="6" s="1"/>
  <c r="G988" i="6" s="1"/>
  <c r="I1017" i="4"/>
  <c r="F1003" i="6" s="1"/>
  <c r="G1003" i="6" s="1"/>
  <c r="I1078" i="4"/>
  <c r="I1083" i="4"/>
  <c r="I1128" i="4"/>
  <c r="I1199" i="4"/>
  <c r="I1220" i="4"/>
  <c r="I1228" i="4"/>
  <c r="I1236" i="4"/>
  <c r="I1244" i="4"/>
  <c r="I1260" i="4"/>
  <c r="I1278" i="4"/>
  <c r="I1299" i="4"/>
  <c r="I1302" i="4"/>
  <c r="I1307" i="4"/>
  <c r="I1318" i="4"/>
  <c r="I1323" i="4"/>
  <c r="I1334" i="4"/>
  <c r="I1339" i="4"/>
  <c r="I437" i="4"/>
  <c r="F446" i="6" s="1"/>
  <c r="G446" i="6" s="1"/>
  <c r="I445" i="4"/>
  <c r="F454" i="6" s="1"/>
  <c r="G454" i="6" s="1"/>
  <c r="I689" i="4"/>
  <c r="I5" i="4"/>
  <c r="F28" i="6" s="1"/>
  <c r="G28" i="6" s="1"/>
  <c r="L31" i="6"/>
  <c r="I298" i="4"/>
  <c r="F311" i="6" s="1"/>
  <c r="G311" i="6" s="1"/>
  <c r="I360" i="4"/>
  <c r="G17" i="2" s="1"/>
  <c r="AI11" i="3" s="1"/>
  <c r="I388" i="4"/>
  <c r="F397" i="6" s="1"/>
  <c r="G397" i="6" s="1"/>
  <c r="I424" i="4"/>
  <c r="F433" i="6" s="1"/>
  <c r="G433" i="6" s="1"/>
  <c r="I578" i="4"/>
  <c r="F582" i="6" s="1"/>
  <c r="G582" i="6" s="1"/>
  <c r="I586" i="4"/>
  <c r="I594" i="4"/>
  <c r="F598" i="6" s="1"/>
  <c r="G598" i="6" s="1"/>
  <c r="I280" i="4"/>
  <c r="I293" i="4"/>
  <c r="F306" i="6" s="1"/>
  <c r="G306" i="6" s="1"/>
  <c r="I301" i="4"/>
  <c r="F314" i="6" s="1"/>
  <c r="G314" i="6" s="1"/>
  <c r="I309" i="4"/>
  <c r="I330" i="4"/>
  <c r="F342" i="6" s="1"/>
  <c r="G342" i="6" s="1"/>
  <c r="I373" i="4"/>
  <c r="F382" i="6" s="1"/>
  <c r="G382" i="6" s="1"/>
  <c r="I391" i="4"/>
  <c r="I401" i="4"/>
  <c r="F410" i="6" s="1"/>
  <c r="G410" i="6" s="1"/>
  <c r="I450" i="4"/>
  <c r="I468" i="4"/>
  <c r="F473" i="6" s="1"/>
  <c r="G473" i="6" s="1"/>
  <c r="I500" i="4"/>
  <c r="F504" i="6" s="1"/>
  <c r="G504" i="6" s="1"/>
  <c r="I505" i="4"/>
  <c r="F509" i="6" s="1"/>
  <c r="G509" i="6" s="1"/>
  <c r="I521" i="4"/>
  <c r="F525" i="6" s="1"/>
  <c r="G525" i="6" s="1"/>
  <c r="I6" i="4"/>
  <c r="I35" i="4"/>
  <c r="F57" i="6" s="1"/>
  <c r="G57" i="6" s="1"/>
  <c r="I43" i="4"/>
  <c r="I51" i="4"/>
  <c r="I54" i="4"/>
  <c r="F76" i="6" s="1"/>
  <c r="G76" i="6" s="1"/>
  <c r="I59" i="4"/>
  <c r="F81" i="6" s="1"/>
  <c r="G81" i="6" s="1"/>
  <c r="I67" i="4"/>
  <c r="F86" i="6" s="1"/>
  <c r="G86" i="6" s="1"/>
  <c r="I304" i="4"/>
  <c r="I325" i="4"/>
  <c r="F337" i="6" s="1"/>
  <c r="G337" i="6" s="1"/>
  <c r="I328" i="4"/>
  <c r="F340" i="6" s="1"/>
  <c r="G340" i="6" s="1"/>
  <c r="I358" i="4"/>
  <c r="I381" i="4"/>
  <c r="I386" i="4"/>
  <c r="F395" i="6" s="1"/>
  <c r="G395" i="6" s="1"/>
  <c r="I394" i="4"/>
  <c r="F403" i="6" s="1"/>
  <c r="G403" i="6" s="1"/>
  <c r="I399" i="4"/>
  <c r="F408" i="6" s="1"/>
  <c r="G408" i="6" s="1"/>
  <c r="I422" i="4"/>
  <c r="F431" i="6" s="1"/>
  <c r="G431" i="6" s="1"/>
  <c r="I503" i="4"/>
  <c r="F507" i="6" s="1"/>
  <c r="G507" i="6" s="1"/>
  <c r="I516" i="4"/>
  <c r="F520" i="6" s="1"/>
  <c r="G520" i="6" s="1"/>
  <c r="I519" i="4"/>
  <c r="I534" i="4"/>
  <c r="I558" i="4"/>
  <c r="F562" i="6" s="1"/>
  <c r="G562" i="6" s="1"/>
  <c r="I561" i="4"/>
  <c r="F565" i="6" s="1"/>
  <c r="G565" i="6" s="1"/>
  <c r="I568" i="4"/>
  <c r="F572" i="6" s="1"/>
  <c r="G572" i="6" s="1"/>
  <c r="I571" i="4"/>
  <c r="F575" i="6" s="1"/>
  <c r="G575" i="6" s="1"/>
  <c r="I579" i="4"/>
  <c r="F583" i="6" s="1"/>
  <c r="G583" i="6" s="1"/>
  <c r="I584" i="4"/>
  <c r="F588" i="6" s="1"/>
  <c r="G588" i="6" s="1"/>
  <c r="I587" i="4"/>
  <c r="I12" i="4"/>
  <c r="I20" i="4"/>
  <c r="F43" i="6" s="1"/>
  <c r="G43" i="6" s="1"/>
  <c r="I28" i="4"/>
  <c r="B14" i="2" s="1"/>
  <c r="AF6" i="3" s="1"/>
  <c r="I281" i="4"/>
  <c r="F294" i="6" s="1"/>
  <c r="G294" i="6" s="1"/>
  <c r="I323" i="4"/>
  <c r="F335" i="6" s="1"/>
  <c r="G335" i="6" s="1"/>
  <c r="I341" i="4"/>
  <c r="F353" i="6" s="1"/>
  <c r="G353" i="6" s="1"/>
  <c r="I344" i="4"/>
  <c r="F356" i="6" s="1"/>
  <c r="G356" i="6" s="1"/>
  <c r="I351" i="4"/>
  <c r="I374" i="4"/>
  <c r="I397" i="4"/>
  <c r="F406" i="6" s="1"/>
  <c r="G406" i="6" s="1"/>
  <c r="I402" i="4"/>
  <c r="F411" i="6" s="1"/>
  <c r="G411" i="6" s="1"/>
  <c r="I410" i="4"/>
  <c r="F419" i="6" s="1"/>
  <c r="G419" i="6" s="1"/>
  <c r="I415" i="4"/>
  <c r="F424" i="6" s="1"/>
  <c r="G424" i="6" s="1"/>
  <c r="I438" i="4"/>
  <c r="F447" i="6" s="1"/>
  <c r="G447" i="6" s="1"/>
  <c r="I485" i="4"/>
  <c r="F490" i="6" s="1"/>
  <c r="G490" i="6" s="1"/>
  <c r="I506" i="4"/>
  <c r="I509" i="4"/>
  <c r="I514" i="4"/>
  <c r="F518" i="6" s="1"/>
  <c r="G518" i="6" s="1"/>
  <c r="I522" i="4"/>
  <c r="F526" i="6" s="1"/>
  <c r="G526" i="6" s="1"/>
  <c r="I530" i="4"/>
  <c r="F534" i="6" s="1"/>
  <c r="G534" i="6" s="1"/>
  <c r="I535" i="4"/>
  <c r="F539" i="6" s="1"/>
  <c r="G539" i="6" s="1"/>
  <c r="I543" i="4"/>
  <c r="F547" i="6" s="1"/>
  <c r="G547" i="6" s="1"/>
  <c r="I548" i="4"/>
  <c r="F552" i="6" s="1"/>
  <c r="G552" i="6" s="1"/>
  <c r="I551" i="4"/>
  <c r="I566" i="4"/>
  <c r="I590" i="4"/>
  <c r="F594" i="6" s="1"/>
  <c r="G594" i="6" s="1"/>
  <c r="I593" i="4"/>
  <c r="F597" i="6" s="1"/>
  <c r="G597" i="6" s="1"/>
  <c r="I39" i="4"/>
  <c r="F61" i="6" s="1"/>
  <c r="G61" i="6" s="1"/>
  <c r="I47" i="4"/>
  <c r="F69" i="6" s="1"/>
  <c r="G69" i="6" s="1"/>
  <c r="I55" i="4"/>
  <c r="I63" i="4"/>
  <c r="I71" i="4"/>
  <c r="I79" i="4"/>
  <c r="I87" i="4"/>
  <c r="F106" i="6" s="1"/>
  <c r="G106" i="6" s="1"/>
  <c r="I95" i="4"/>
  <c r="F114" i="6" s="1"/>
  <c r="G114" i="6" s="1"/>
  <c r="I103" i="4"/>
  <c r="F122" i="6" s="1"/>
  <c r="G122" i="6" s="1"/>
  <c r="I111" i="4"/>
  <c r="F130" i="6" s="1"/>
  <c r="G130" i="6" s="1"/>
  <c r="I119" i="4"/>
  <c r="F138" i="6" s="1"/>
  <c r="G138" i="6" s="1"/>
  <c r="I127" i="4"/>
  <c r="I135" i="4"/>
  <c r="I143" i="4"/>
  <c r="I151" i="4"/>
  <c r="I159" i="4"/>
  <c r="F176" i="6" s="1"/>
  <c r="G176" i="6" s="1"/>
  <c r="I167" i="4"/>
  <c r="F184" i="6" s="1"/>
  <c r="G184" i="6" s="1"/>
  <c r="I175" i="4"/>
  <c r="F192" i="6" s="1"/>
  <c r="G192" i="6" s="1"/>
  <c r="I183" i="4"/>
  <c r="F200" i="6" s="1"/>
  <c r="G200" i="6" s="1"/>
  <c r="I191" i="4"/>
  <c r="I199" i="4"/>
  <c r="I207" i="4"/>
  <c r="I215" i="4"/>
  <c r="F231" i="6" s="1"/>
  <c r="G231" i="6" s="1"/>
  <c r="I223" i="4"/>
  <c r="E12" i="2" s="1"/>
  <c r="AD9" i="3" s="1"/>
  <c r="I231" i="4"/>
  <c r="I239" i="4"/>
  <c r="F254" i="6" s="1"/>
  <c r="G254" i="6" s="1"/>
  <c r="I247" i="4"/>
  <c r="F262" i="6" s="1"/>
  <c r="G262" i="6" s="1"/>
  <c r="I255" i="4"/>
  <c r="F270" i="6" s="1"/>
  <c r="G270" i="6" s="1"/>
  <c r="I263" i="4"/>
  <c r="I271" i="4"/>
  <c r="I279" i="4"/>
  <c r="F292" i="6" s="1"/>
  <c r="G292" i="6" s="1"/>
  <c r="I329" i="4"/>
  <c r="F341" i="6" s="1"/>
  <c r="G341" i="6" s="1"/>
  <c r="I332" i="4"/>
  <c r="F344" i="6" s="1"/>
  <c r="G344" i="6" s="1"/>
  <c r="I349" i="4"/>
  <c r="F361" i="6" s="1"/>
  <c r="G361" i="6" s="1"/>
  <c r="I354" i="4"/>
  <c r="I362" i="4"/>
  <c r="F371" i="6" s="1"/>
  <c r="G371" i="6" s="1"/>
  <c r="I367" i="4"/>
  <c r="I390" i="4"/>
  <c r="I413" i="4"/>
  <c r="F422" i="6" s="1"/>
  <c r="G422" i="6" s="1"/>
  <c r="I418" i="4"/>
  <c r="F427" i="6" s="1"/>
  <c r="G427" i="6" s="1"/>
  <c r="I426" i="4"/>
  <c r="F435" i="6" s="1"/>
  <c r="G435" i="6" s="1"/>
  <c r="I475" i="4"/>
  <c r="F480" i="6" s="1"/>
  <c r="G480" i="6" s="1"/>
  <c r="I491" i="4"/>
  <c r="F496" i="6" s="1"/>
  <c r="G496" i="6" s="1"/>
  <c r="I512" i="4"/>
  <c r="F516" i="6" s="1"/>
  <c r="G516" i="6" s="1"/>
  <c r="I515" i="4"/>
  <c r="I520" i="4"/>
  <c r="I523" i="4"/>
  <c r="F527" i="6" s="1"/>
  <c r="G527" i="6" s="1"/>
  <c r="I546" i="4"/>
  <c r="F550" i="6" s="1"/>
  <c r="G550" i="6" s="1"/>
  <c r="I554" i="4"/>
  <c r="F558" i="6" s="1"/>
  <c r="G558" i="6" s="1"/>
  <c r="I562" i="4"/>
  <c r="F566" i="6" s="1"/>
  <c r="G566" i="6" s="1"/>
  <c r="I567" i="4"/>
  <c r="F571" i="6" s="1"/>
  <c r="G571" i="6" s="1"/>
  <c r="I575" i="4"/>
  <c r="F579" i="6" s="1"/>
  <c r="G579" i="6" s="1"/>
  <c r="I641" i="4"/>
  <c r="I1056" i="4"/>
  <c r="I1102" i="4"/>
  <c r="I1120" i="4"/>
  <c r="I1166" i="4"/>
  <c r="I1184" i="4"/>
  <c r="I1230" i="4"/>
  <c r="I1248" i="4"/>
  <c r="I1294" i="4"/>
  <c r="I1312" i="4"/>
  <c r="I657" i="4"/>
  <c r="F659" i="6" s="1"/>
  <c r="G659" i="6" s="1"/>
  <c r="I667" i="4"/>
  <c r="F668" i="6" s="1"/>
  <c r="G668" i="6" s="1"/>
  <c r="I675" i="4"/>
  <c r="F676" i="6" s="1"/>
  <c r="G676" i="6" s="1"/>
  <c r="I683" i="4"/>
  <c r="F684" i="6" s="1"/>
  <c r="G684" i="6" s="1"/>
  <c r="I709" i="4"/>
  <c r="F709" i="6" s="1"/>
  <c r="G709" i="6" s="1"/>
  <c r="I725" i="4"/>
  <c r="F725" i="6" s="1"/>
  <c r="G725" i="6" s="1"/>
  <c r="I733" i="4"/>
  <c r="I785" i="4"/>
  <c r="I811" i="4"/>
  <c r="F804" i="6" s="1"/>
  <c r="G804" i="6" s="1"/>
  <c r="I819" i="4"/>
  <c r="F812" i="6" s="1"/>
  <c r="G812" i="6" s="1"/>
  <c r="I837" i="4"/>
  <c r="F829" i="6" s="1"/>
  <c r="G829" i="6" s="1"/>
  <c r="I853" i="4"/>
  <c r="F845" i="6" s="1"/>
  <c r="G845" i="6" s="1"/>
  <c r="I913" i="4"/>
  <c r="F905" i="6" s="1"/>
  <c r="G905" i="6" s="1"/>
  <c r="I939" i="4"/>
  <c r="F930" i="6" s="1"/>
  <c r="G930" i="6" s="1"/>
  <c r="I947" i="4"/>
  <c r="F938" i="6" s="1"/>
  <c r="G938" i="6" s="1"/>
  <c r="I955" i="4"/>
  <c r="I965" i="4"/>
  <c r="F956" i="6" s="1"/>
  <c r="G956" i="6" s="1"/>
  <c r="I981" i="4"/>
  <c r="F968" i="6" s="1"/>
  <c r="G968" i="6" s="1"/>
  <c r="I1038" i="4"/>
  <c r="F1021" i="6" s="1"/>
  <c r="G1021" i="6" s="1"/>
  <c r="I1041" i="4"/>
  <c r="F1024" i="6" s="1"/>
  <c r="G1024" i="6" s="1"/>
  <c r="I1054" i="4"/>
  <c r="I1059" i="4"/>
  <c r="I1072" i="4"/>
  <c r="I1087" i="4"/>
  <c r="I1118" i="4"/>
  <c r="I1123" i="4"/>
  <c r="I1136" i="4"/>
  <c r="I1146" i="4"/>
  <c r="I1151" i="4"/>
  <c r="I1182" i="4"/>
  <c r="I1187" i="4"/>
  <c r="I1200" i="4"/>
  <c r="I1210" i="4"/>
  <c r="I1215" i="4"/>
  <c r="I1246" i="4"/>
  <c r="I1251" i="4"/>
  <c r="I1264" i="4"/>
  <c r="I1274" i="4"/>
  <c r="I1279" i="4"/>
  <c r="I1310" i="4"/>
  <c r="I1315" i="4"/>
  <c r="I1328" i="4"/>
  <c r="I1338" i="4"/>
  <c r="I1343" i="4"/>
  <c r="I1364" i="4"/>
  <c r="I644" i="4"/>
  <c r="I662" i="4"/>
  <c r="K6" i="2" s="1"/>
  <c r="X15" i="3" s="1"/>
  <c r="I686" i="4"/>
  <c r="I712" i="4"/>
  <c r="F712" i="6" s="1"/>
  <c r="G712" i="6" s="1"/>
  <c r="I720" i="4"/>
  <c r="L20" i="2" s="1"/>
  <c r="AL16" i="3" s="1"/>
  <c r="I736" i="4"/>
  <c r="F735" i="6" s="1"/>
  <c r="G735" i="6" s="1"/>
  <c r="I754" i="4"/>
  <c r="F748" i="6" s="1"/>
  <c r="G748" i="6" s="1"/>
  <c r="I772" i="4"/>
  <c r="F766" i="6" s="1"/>
  <c r="G766" i="6" s="1"/>
  <c r="I780" i="4"/>
  <c r="F774" i="6" s="1"/>
  <c r="G774" i="6" s="1"/>
  <c r="I796" i="4"/>
  <c r="F790" i="6" s="1"/>
  <c r="G790" i="6" s="1"/>
  <c r="I814" i="4"/>
  <c r="I840" i="4"/>
  <c r="F832" i="6" s="1"/>
  <c r="G832" i="6" s="1"/>
  <c r="I848" i="4"/>
  <c r="N6" i="2" s="1"/>
  <c r="X18" i="3" s="1"/>
  <c r="I864" i="4"/>
  <c r="F856" i="6" s="1"/>
  <c r="G856" i="6" s="1"/>
  <c r="I882" i="4"/>
  <c r="F874" i="6" s="1"/>
  <c r="G874" i="6" s="1"/>
  <c r="I900" i="4"/>
  <c r="F892" i="6" s="1"/>
  <c r="G892" i="6" s="1"/>
  <c r="I908" i="4"/>
  <c r="F900" i="6" s="1"/>
  <c r="G900" i="6" s="1"/>
  <c r="I916" i="4"/>
  <c r="F908" i="6" s="1"/>
  <c r="G908" i="6" s="1"/>
  <c r="I924" i="4"/>
  <c r="I942" i="4"/>
  <c r="F933" i="6" s="1"/>
  <c r="G933" i="6" s="1"/>
  <c r="I958" i="4"/>
  <c r="F949" i="6" s="1"/>
  <c r="G949" i="6" s="1"/>
  <c r="I968" i="4"/>
  <c r="F959" i="6" s="1"/>
  <c r="G959" i="6" s="1"/>
  <c r="I976" i="4"/>
  <c r="I992" i="4"/>
  <c r="F979" i="6" s="1"/>
  <c r="G979" i="6" s="1"/>
  <c r="I1010" i="4"/>
  <c r="F997" i="6" s="1"/>
  <c r="G997" i="6" s="1"/>
  <c r="I1028" i="4"/>
  <c r="F1011" i="6" s="1"/>
  <c r="G1011" i="6" s="1"/>
  <c r="I613" i="4"/>
  <c r="I673" i="4"/>
  <c r="F674" i="6" s="1"/>
  <c r="G674" i="6" s="1"/>
  <c r="I681" i="4"/>
  <c r="F682" i="6" s="1"/>
  <c r="G682" i="6" s="1"/>
  <c r="I697" i="4"/>
  <c r="F698" i="6" s="1"/>
  <c r="G698" i="6" s="1"/>
  <c r="I731" i="4"/>
  <c r="M5" i="2" s="1"/>
  <c r="W17" i="3" s="1"/>
  <c r="I749" i="4"/>
  <c r="I775" i="4"/>
  <c r="F769" i="6" s="1"/>
  <c r="G769" i="6" s="1"/>
  <c r="I791" i="4"/>
  <c r="F785" i="6" s="1"/>
  <c r="G785" i="6" s="1"/>
  <c r="I809" i="4"/>
  <c r="I859" i="4"/>
  <c r="F851" i="6" s="1"/>
  <c r="G851" i="6" s="1"/>
  <c r="I877" i="4"/>
  <c r="F869" i="6" s="1"/>
  <c r="G869" i="6" s="1"/>
  <c r="I903" i="4"/>
  <c r="F895" i="6" s="1"/>
  <c r="G895" i="6" s="1"/>
  <c r="I919" i="4"/>
  <c r="F911" i="6" s="1"/>
  <c r="G911" i="6" s="1"/>
  <c r="I937" i="4"/>
  <c r="F928" i="6" s="1"/>
  <c r="G928" i="6" s="1"/>
  <c r="I953" i="4"/>
  <c r="P8" i="2" s="1"/>
  <c r="Z20" i="3" s="1"/>
  <c r="I1005" i="4"/>
  <c r="F992" i="6" s="1"/>
  <c r="G992" i="6" s="1"/>
  <c r="I1031" i="4"/>
  <c r="I1070" i="4"/>
  <c r="I1075" i="4"/>
  <c r="I1088" i="4"/>
  <c r="I1098" i="4"/>
  <c r="I1103" i="4"/>
  <c r="I1134" i="4"/>
  <c r="I1139" i="4"/>
  <c r="I1152" i="4"/>
  <c r="I1162" i="4"/>
  <c r="I1167" i="4"/>
  <c r="I1198" i="4"/>
  <c r="I1203" i="4"/>
  <c r="I1216" i="4"/>
  <c r="I1226" i="4"/>
  <c r="I1231" i="4"/>
  <c r="I1262" i="4"/>
  <c r="I1267" i="4"/>
  <c r="I1280" i="4"/>
  <c r="I1290" i="4"/>
  <c r="I1295" i="4"/>
  <c r="I1326" i="4"/>
  <c r="I1331" i="4"/>
  <c r="I1344" i="4"/>
  <c r="I1354" i="4"/>
  <c r="I1362" i="4"/>
  <c r="I713" i="4"/>
  <c r="F713" i="6" s="1"/>
  <c r="G713" i="6" s="1"/>
  <c r="I763" i="4"/>
  <c r="F757" i="6" s="1"/>
  <c r="G757" i="6" s="1"/>
  <c r="I781" i="4"/>
  <c r="F775" i="6" s="1"/>
  <c r="G775" i="6" s="1"/>
  <c r="I807" i="4"/>
  <c r="N8" i="2" s="1"/>
  <c r="Z18" i="3" s="1"/>
  <c r="I823" i="4"/>
  <c r="F816" i="6" s="1"/>
  <c r="G816" i="6" s="1"/>
  <c r="I841" i="4"/>
  <c r="F833" i="6" s="1"/>
  <c r="G833" i="6" s="1"/>
  <c r="I891" i="4"/>
  <c r="I909" i="4"/>
  <c r="F901" i="6" s="1"/>
  <c r="G901" i="6" s="1"/>
  <c r="I935" i="4"/>
  <c r="F926" i="6" s="1"/>
  <c r="G926" i="6" s="1"/>
  <c r="I951" i="4"/>
  <c r="P4" i="2" s="1"/>
  <c r="V20" i="3" s="1"/>
  <c r="I969" i="4"/>
  <c r="F960" i="6" s="1"/>
  <c r="G960" i="6" s="1"/>
  <c r="I985" i="4"/>
  <c r="F972" i="6" s="1"/>
  <c r="G972" i="6" s="1"/>
  <c r="I1055" i="4"/>
  <c r="I1091" i="4"/>
  <c r="I1114" i="4"/>
  <c r="I1119" i="4"/>
  <c r="I1155" i="4"/>
  <c r="I1178" i="4"/>
  <c r="I1183" i="4"/>
  <c r="I1219" i="4"/>
  <c r="I1242" i="4"/>
  <c r="I1247" i="4"/>
  <c r="I1283" i="4"/>
  <c r="I1306" i="4"/>
  <c r="I1311" i="4"/>
  <c r="I1347" i="4"/>
  <c r="I1365" i="4"/>
  <c r="I580" i="4"/>
  <c r="F584" i="6" s="1"/>
  <c r="G584" i="6" s="1"/>
  <c r="I583" i="4"/>
  <c r="F587" i="6" s="1"/>
  <c r="G587" i="6" s="1"/>
  <c r="I598" i="4"/>
  <c r="J18" i="2" s="1"/>
  <c r="AJ14" i="3" s="1"/>
  <c r="I622" i="4"/>
  <c r="I625" i="4"/>
  <c r="F629" i="6" s="1"/>
  <c r="G629" i="6" s="1"/>
  <c r="I632" i="4"/>
  <c r="I635" i="4"/>
  <c r="F638" i="6" s="1"/>
  <c r="G638" i="6" s="1"/>
  <c r="I643" i="4"/>
  <c r="F646" i="6" s="1"/>
  <c r="G646" i="6" s="1"/>
  <c r="I648" i="4"/>
  <c r="F651" i="6" s="1"/>
  <c r="G651" i="6" s="1"/>
  <c r="I651" i="4"/>
  <c r="I666" i="4"/>
  <c r="I674" i="4"/>
  <c r="I682" i="4"/>
  <c r="F683" i="6" s="1"/>
  <c r="G683" i="6" s="1"/>
  <c r="I690" i="4"/>
  <c r="F691" i="6" s="1"/>
  <c r="G691" i="6" s="1"/>
  <c r="I693" i="4"/>
  <c r="F694" i="6" s="1"/>
  <c r="G694" i="6" s="1"/>
  <c r="I701" i="4"/>
  <c r="F701" i="6" s="1"/>
  <c r="G701" i="6" s="1"/>
  <c r="I708" i="4"/>
  <c r="F708" i="6" s="1"/>
  <c r="G708" i="6" s="1"/>
  <c r="I716" i="4"/>
  <c r="F716" i="6" s="1"/>
  <c r="G716" i="6" s="1"/>
  <c r="I719" i="4"/>
  <c r="I732" i="4"/>
  <c r="I735" i="4"/>
  <c r="F734" i="6" s="1"/>
  <c r="G734" i="6" s="1"/>
  <c r="I750" i="4"/>
  <c r="F744" i="6" s="1"/>
  <c r="G744" i="6" s="1"/>
  <c r="I753" i="4"/>
  <c r="F747" i="6" s="1"/>
  <c r="G747" i="6" s="1"/>
  <c r="I776" i="4"/>
  <c r="F770" i="6" s="1"/>
  <c r="G770" i="6" s="1"/>
  <c r="I779" i="4"/>
  <c r="F773" i="6" s="1"/>
  <c r="G773" i="6" s="1"/>
  <c r="I784" i="4"/>
  <c r="F778" i="6" s="1"/>
  <c r="G778" i="6" s="1"/>
  <c r="I787" i="4"/>
  <c r="F781" i="6" s="1"/>
  <c r="G781" i="6" s="1"/>
  <c r="I800" i="4"/>
  <c r="I805" i="4"/>
  <c r="F798" i="6" s="1"/>
  <c r="G798" i="6" s="1"/>
  <c r="I818" i="4"/>
  <c r="F811" i="6" s="1"/>
  <c r="G811" i="6" s="1"/>
  <c r="I821" i="4"/>
  <c r="F814" i="6" s="1"/>
  <c r="G814" i="6" s="1"/>
  <c r="I836" i="4"/>
  <c r="F828" i="6" s="1"/>
  <c r="G828" i="6" s="1"/>
  <c r="I844" i="4"/>
  <c r="F836" i="6" s="1"/>
  <c r="G836" i="6" s="1"/>
  <c r="I860" i="4"/>
  <c r="F852" i="6" s="1"/>
  <c r="G852" i="6" s="1"/>
  <c r="I878" i="4"/>
  <c r="F870" i="6" s="1"/>
  <c r="G870" i="6" s="1"/>
  <c r="I881" i="4"/>
  <c r="I904" i="4"/>
  <c r="F896" i="6" s="1"/>
  <c r="G896" i="6" s="1"/>
  <c r="I907" i="4"/>
  <c r="F899" i="6" s="1"/>
  <c r="G899" i="6" s="1"/>
  <c r="I912" i="4"/>
  <c r="F904" i="6" s="1"/>
  <c r="G904" i="6" s="1"/>
  <c r="I915" i="4"/>
  <c r="F907" i="6" s="1"/>
  <c r="G907" i="6" s="1"/>
  <c r="I928" i="4"/>
  <c r="F920" i="6" s="1"/>
  <c r="G920" i="6" s="1"/>
  <c r="I933" i="4"/>
  <c r="F924" i="6" s="1"/>
  <c r="G924" i="6" s="1"/>
  <c r="I946" i="4"/>
  <c r="F937" i="6" s="1"/>
  <c r="G937" i="6" s="1"/>
  <c r="I949" i="4"/>
  <c r="I964" i="4"/>
  <c r="F955" i="6" s="1"/>
  <c r="G955" i="6" s="1"/>
  <c r="I972" i="4"/>
  <c r="F963" i="6" s="1"/>
  <c r="G963" i="6" s="1"/>
  <c r="I980" i="4"/>
  <c r="F967" i="6" s="1"/>
  <c r="G967" i="6" s="1"/>
  <c r="I988" i="4"/>
  <c r="F975" i="6" s="1"/>
  <c r="G975" i="6" s="1"/>
  <c r="I1006" i="4"/>
  <c r="F993" i="6" s="1"/>
  <c r="G993" i="6" s="1"/>
  <c r="I1009" i="4"/>
  <c r="I1022" i="4"/>
  <c r="I1032" i="4"/>
  <c r="I1035" i="4"/>
  <c r="F1018" i="6" s="1"/>
  <c r="G1018" i="6" s="1"/>
  <c r="I1058" i="4"/>
  <c r="I1066" i="4"/>
  <c r="I1094" i="4"/>
  <c r="I1099" i="4"/>
  <c r="I1112" i="4"/>
  <c r="I1122" i="4"/>
  <c r="I1158" i="4"/>
  <c r="I1163" i="4"/>
  <c r="I1176" i="4"/>
  <c r="I1186" i="4"/>
  <c r="I1222" i="4"/>
  <c r="I1227" i="4"/>
  <c r="I1240" i="4"/>
  <c r="I1250" i="4"/>
  <c r="I1255" i="4"/>
  <c r="I1286" i="4"/>
  <c r="I1291" i="4"/>
  <c r="I1304" i="4"/>
  <c r="I1314" i="4"/>
  <c r="I1319" i="4"/>
  <c r="I1350" i="4"/>
  <c r="I1355" i="4"/>
  <c r="L55" i="6"/>
  <c r="L103" i="6"/>
  <c r="L74" i="6"/>
  <c r="I75" i="4"/>
  <c r="F94" i="6" s="1"/>
  <c r="G94" i="6" s="1"/>
  <c r="I83" i="4"/>
  <c r="F102" i="6" s="1"/>
  <c r="G102" i="6" s="1"/>
  <c r="I91" i="4"/>
  <c r="F110" i="6" s="1"/>
  <c r="G110" i="6" s="1"/>
  <c r="I99" i="4"/>
  <c r="F118" i="6" s="1"/>
  <c r="G118" i="6" s="1"/>
  <c r="I107" i="4"/>
  <c r="I115" i="4"/>
  <c r="F134" i="6" s="1"/>
  <c r="G134" i="6" s="1"/>
  <c r="I123" i="4"/>
  <c r="F142" i="6" s="1"/>
  <c r="G142" i="6" s="1"/>
  <c r="I131" i="4"/>
  <c r="F150" i="6" s="1"/>
  <c r="G150" i="6" s="1"/>
  <c r="I139" i="4"/>
  <c r="F158" i="6" s="1"/>
  <c r="G158" i="6" s="1"/>
  <c r="I147" i="4"/>
  <c r="F166" i="6" s="1"/>
  <c r="G166" i="6" s="1"/>
  <c r="I155" i="4"/>
  <c r="I163" i="4"/>
  <c r="F180" i="6" s="1"/>
  <c r="G180" i="6" s="1"/>
  <c r="I171" i="4"/>
  <c r="L30" i="6"/>
  <c r="L54" i="6"/>
  <c r="I36" i="4"/>
  <c r="F58" i="6" s="1"/>
  <c r="G58" i="6" s="1"/>
  <c r="I41" i="4"/>
  <c r="F63" i="6" s="1"/>
  <c r="G63" i="6" s="1"/>
  <c r="I44" i="4"/>
  <c r="F66" i="6" s="1"/>
  <c r="G66" i="6" s="1"/>
  <c r="I49" i="4"/>
  <c r="F71" i="6" s="1"/>
  <c r="G71" i="6" s="1"/>
  <c r="I52" i="4"/>
  <c r="F74" i="6" s="1"/>
  <c r="G74" i="6" s="1"/>
  <c r="I57" i="4"/>
  <c r="I60" i="4"/>
  <c r="F82" i="6" s="1"/>
  <c r="G82" i="6" s="1"/>
  <c r="I65" i="4"/>
  <c r="I68" i="4"/>
  <c r="F87" i="6" s="1"/>
  <c r="G87" i="6" s="1"/>
  <c r="I73" i="4"/>
  <c r="F92" i="6" s="1"/>
  <c r="G92" i="6" s="1"/>
  <c r="I76" i="4"/>
  <c r="F95" i="6" s="1"/>
  <c r="G95" i="6" s="1"/>
  <c r="L102" i="6"/>
  <c r="I81" i="4"/>
  <c r="I84" i="4"/>
  <c r="I89" i="4"/>
  <c r="F108" i="6" s="1"/>
  <c r="G108" i="6" s="1"/>
  <c r="I92" i="4"/>
  <c r="F111" i="6" s="1"/>
  <c r="G111" i="6" s="1"/>
  <c r="I97" i="4"/>
  <c r="F116" i="6" s="1"/>
  <c r="G116" i="6" s="1"/>
  <c r="I100" i="4"/>
  <c r="F119" i="6" s="1"/>
  <c r="G119" i="6" s="1"/>
  <c r="I105" i="4"/>
  <c r="F124" i="6" s="1"/>
  <c r="G124" i="6" s="1"/>
  <c r="I108" i="4"/>
  <c r="F127" i="6" s="1"/>
  <c r="G127" i="6" s="1"/>
  <c r="I113" i="4"/>
  <c r="F132" i="6" s="1"/>
  <c r="G132" i="6" s="1"/>
  <c r="I116" i="4"/>
  <c r="I121" i="4"/>
  <c r="F140" i="6" s="1"/>
  <c r="G140" i="6" s="1"/>
  <c r="I124" i="4"/>
  <c r="F143" i="6" s="1"/>
  <c r="G143" i="6" s="1"/>
  <c r="I129" i="4"/>
  <c r="F148" i="6" s="1"/>
  <c r="G148" i="6" s="1"/>
  <c r="I132" i="4"/>
  <c r="F151" i="6" s="1"/>
  <c r="G151" i="6" s="1"/>
  <c r="I137" i="4"/>
  <c r="F156" i="6" s="1"/>
  <c r="G156" i="6" s="1"/>
  <c r="I140" i="4"/>
  <c r="F159" i="6" s="1"/>
  <c r="G159" i="6" s="1"/>
  <c r="I145" i="4"/>
  <c r="F164" i="6" s="1"/>
  <c r="G164" i="6" s="1"/>
  <c r="I148" i="4"/>
  <c r="I153" i="4"/>
  <c r="F170" i="6" s="1"/>
  <c r="G170" i="6" s="1"/>
  <c r="L58" i="6"/>
  <c r="I179" i="4"/>
  <c r="F196" i="6" s="1"/>
  <c r="G196" i="6" s="1"/>
  <c r="I187" i="4"/>
  <c r="F204" i="6" s="1"/>
  <c r="G204" i="6" s="1"/>
  <c r="I195" i="4"/>
  <c r="F212" i="6" s="1"/>
  <c r="G212" i="6" s="1"/>
  <c r="I203" i="4"/>
  <c r="D7" i="2" s="1"/>
  <c r="Y8" i="3" s="1"/>
  <c r="I211" i="4"/>
  <c r="F227" i="6" s="1"/>
  <c r="G227" i="6" s="1"/>
  <c r="I219" i="4"/>
  <c r="I227" i="4"/>
  <c r="F243" i="6" s="1"/>
  <c r="G243" i="6" s="1"/>
  <c r="I235" i="4"/>
  <c r="F250" i="6" s="1"/>
  <c r="G250" i="6" s="1"/>
  <c r="I243" i="4"/>
  <c r="F258" i="6" s="1"/>
  <c r="G258" i="6" s="1"/>
  <c r="I251" i="4"/>
  <c r="F266" i="6" s="1"/>
  <c r="G266" i="6" s="1"/>
  <c r="I259" i="4"/>
  <c r="F274" i="6" s="1"/>
  <c r="G274" i="6" s="1"/>
  <c r="I267" i="4"/>
  <c r="I275" i="4"/>
  <c r="F288" i="6" s="1"/>
  <c r="G288" i="6" s="1"/>
  <c r="I285" i="4"/>
  <c r="I290" i="4"/>
  <c r="F303" i="6" s="1"/>
  <c r="G303" i="6" s="1"/>
  <c r="I305" i="4"/>
  <c r="F14" i="2" s="1"/>
  <c r="AF10" i="3" s="1"/>
  <c r="I308" i="4"/>
  <c r="F320" i="6" s="1"/>
  <c r="G320" i="6" s="1"/>
  <c r="I315" i="4"/>
  <c r="F327" i="6" s="1"/>
  <c r="G327" i="6" s="1"/>
  <c r="I318" i="4"/>
  <c r="F330" i="6" s="1"/>
  <c r="G330" i="6" s="1"/>
  <c r="I461" i="4"/>
  <c r="I471" i="4"/>
  <c r="I541" i="4"/>
  <c r="I573" i="4"/>
  <c r="J14" i="2" s="1"/>
  <c r="AF14" i="3" s="1"/>
  <c r="I605" i="4"/>
  <c r="F609" i="6" s="1"/>
  <c r="G609" i="6" s="1"/>
  <c r="I637" i="4"/>
  <c r="F640" i="6" s="1"/>
  <c r="G640" i="6" s="1"/>
  <c r="I669" i="4"/>
  <c r="F670" i="6" s="1"/>
  <c r="G670" i="6" s="1"/>
  <c r="I476" i="4"/>
  <c r="F481" i="6" s="1"/>
  <c r="G481" i="6" s="1"/>
  <c r="I156" i="4"/>
  <c r="F173" i="6" s="1"/>
  <c r="G173" i="6" s="1"/>
  <c r="I161" i="4"/>
  <c r="F178" i="6" s="1"/>
  <c r="G178" i="6" s="1"/>
  <c r="I164" i="4"/>
  <c r="I169" i="4"/>
  <c r="F186" i="6" s="1"/>
  <c r="G186" i="6" s="1"/>
  <c r="I172" i="4"/>
  <c r="D11" i="2" s="1"/>
  <c r="AC8" i="3" s="1"/>
  <c r="I177" i="4"/>
  <c r="F194" i="6" s="1"/>
  <c r="G194" i="6" s="1"/>
  <c r="I180" i="4"/>
  <c r="F197" i="6" s="1"/>
  <c r="G197" i="6" s="1"/>
  <c r="I185" i="4"/>
  <c r="F202" i="6" s="1"/>
  <c r="G202" i="6" s="1"/>
  <c r="I188" i="4"/>
  <c r="F205" i="6" s="1"/>
  <c r="G205" i="6" s="1"/>
  <c r="I193" i="4"/>
  <c r="F210" i="6" s="1"/>
  <c r="G210" i="6" s="1"/>
  <c r="I196" i="4"/>
  <c r="I201" i="4"/>
  <c r="F217" i="6" s="1"/>
  <c r="G217" i="6" s="1"/>
  <c r="I204" i="4"/>
  <c r="F220" i="6" s="1"/>
  <c r="G220" i="6" s="1"/>
  <c r="I209" i="4"/>
  <c r="F225" i="6" s="1"/>
  <c r="G225" i="6" s="1"/>
  <c r="I212" i="4"/>
  <c r="F228" i="6" s="1"/>
  <c r="G228" i="6" s="1"/>
  <c r="I217" i="4"/>
  <c r="F233" i="6" s="1"/>
  <c r="G233" i="6" s="1"/>
  <c r="I220" i="4"/>
  <c r="F236" i="6" s="1"/>
  <c r="G236" i="6" s="1"/>
  <c r="I225" i="4"/>
  <c r="F241" i="6" s="1"/>
  <c r="G241" i="6" s="1"/>
  <c r="I228" i="4"/>
  <c r="I233" i="4"/>
  <c r="F248" i="6" s="1"/>
  <c r="G248" i="6" s="1"/>
  <c r="I236" i="4"/>
  <c r="F251" i="6" s="1"/>
  <c r="G251" i="6" s="1"/>
  <c r="I241" i="4"/>
  <c r="F256" i="6" s="1"/>
  <c r="G256" i="6" s="1"/>
  <c r="I244" i="4"/>
  <c r="F259" i="6" s="1"/>
  <c r="G259" i="6" s="1"/>
  <c r="I249" i="4"/>
  <c r="F264" i="6" s="1"/>
  <c r="G264" i="6" s="1"/>
  <c r="I252" i="4"/>
  <c r="F267" i="6" s="1"/>
  <c r="G267" i="6" s="1"/>
  <c r="I257" i="4"/>
  <c r="F272" i="6" s="1"/>
  <c r="G272" i="6" s="1"/>
  <c r="I260" i="4"/>
  <c r="E11" i="2" s="1"/>
  <c r="AC9" i="3" s="1"/>
  <c r="I265" i="4"/>
  <c r="F279" i="6" s="1"/>
  <c r="G279" i="6" s="1"/>
  <c r="I273" i="4"/>
  <c r="F286" i="6" s="1"/>
  <c r="G286" i="6" s="1"/>
  <c r="I276" i="4"/>
  <c r="F289" i="6" s="1"/>
  <c r="G289" i="6" s="1"/>
  <c r="I283" i="4"/>
  <c r="I311" i="4"/>
  <c r="F323" i="6" s="1"/>
  <c r="G323" i="6" s="1"/>
  <c r="I316" i="4"/>
  <c r="F328" i="6" s="1"/>
  <c r="G328" i="6" s="1"/>
  <c r="I326" i="4"/>
  <c r="F338" i="6" s="1"/>
  <c r="G338" i="6" s="1"/>
  <c r="I333" i="4"/>
  <c r="I338" i="4"/>
  <c r="F350" i="6" s="1"/>
  <c r="G350" i="6" s="1"/>
  <c r="I343" i="4"/>
  <c r="F355" i="6" s="1"/>
  <c r="G355" i="6" s="1"/>
  <c r="I350" i="4"/>
  <c r="F362" i="6" s="1"/>
  <c r="G362" i="6" s="1"/>
  <c r="I355" i="4"/>
  <c r="I377" i="4"/>
  <c r="F386" i="6" s="1"/>
  <c r="G386" i="6" s="1"/>
  <c r="I382" i="4"/>
  <c r="F391" i="6" s="1"/>
  <c r="G391" i="6" s="1"/>
  <c r="I387" i="4"/>
  <c r="F396" i="6" s="1"/>
  <c r="G396" i="6" s="1"/>
  <c r="I409" i="4"/>
  <c r="I414" i="4"/>
  <c r="F423" i="6" s="1"/>
  <c r="G423" i="6" s="1"/>
  <c r="I419" i="4"/>
  <c r="F428" i="6" s="1"/>
  <c r="G428" i="6" s="1"/>
  <c r="I429" i="4"/>
  <c r="F438" i="6" s="1"/>
  <c r="G438" i="6" s="1"/>
  <c r="I434" i="4"/>
  <c r="F443" i="6" s="1"/>
  <c r="G443" i="6" s="1"/>
  <c r="I439" i="4"/>
  <c r="F448" i="6" s="1"/>
  <c r="G448" i="6" s="1"/>
  <c r="I464" i="4"/>
  <c r="I474" i="4"/>
  <c r="F479" i="6" s="1"/>
  <c r="G479" i="6" s="1"/>
  <c r="I484" i="4"/>
  <c r="I489" i="4"/>
  <c r="F494" i="6" s="1"/>
  <c r="G494" i="6" s="1"/>
  <c r="I494" i="4"/>
  <c r="F499" i="6" s="1"/>
  <c r="G499" i="6" s="1"/>
  <c r="I504" i="4"/>
  <c r="F508" i="6" s="1"/>
  <c r="G508" i="6" s="1"/>
  <c r="I524" i="4"/>
  <c r="F528" i="6" s="1"/>
  <c r="G528" i="6" s="1"/>
  <c r="I527" i="4"/>
  <c r="F531" i="6" s="1"/>
  <c r="G531" i="6" s="1"/>
  <c r="I544" i="4"/>
  <c r="F548" i="6" s="1"/>
  <c r="G548" i="6" s="1"/>
  <c r="I556" i="4"/>
  <c r="F560" i="6" s="1"/>
  <c r="G560" i="6" s="1"/>
  <c r="I559" i="4"/>
  <c r="I576" i="4"/>
  <c r="F580" i="6" s="1"/>
  <c r="G580" i="6" s="1"/>
  <c r="I588" i="4"/>
  <c r="F592" i="6" s="1"/>
  <c r="G592" i="6" s="1"/>
  <c r="I591" i="4"/>
  <c r="F595" i="6" s="1"/>
  <c r="G595" i="6" s="1"/>
  <c r="I608" i="4"/>
  <c r="F612" i="6" s="1"/>
  <c r="G612" i="6" s="1"/>
  <c r="I620" i="4"/>
  <c r="F624" i="6" s="1"/>
  <c r="G624" i="6" s="1"/>
  <c r="I623" i="4"/>
  <c r="F627" i="6" s="1"/>
  <c r="G627" i="6" s="1"/>
  <c r="I640" i="4"/>
  <c r="I652" i="4"/>
  <c r="I655" i="4"/>
  <c r="F657" i="6" s="1"/>
  <c r="G657" i="6" s="1"/>
  <c r="I672" i="4"/>
  <c r="F673" i="6" s="1"/>
  <c r="G673" i="6" s="1"/>
  <c r="I684" i="4"/>
  <c r="F685" i="6" s="1"/>
  <c r="G685" i="6" s="1"/>
  <c r="I687" i="4"/>
  <c r="F688" i="6" s="1"/>
  <c r="G688" i="6" s="1"/>
  <c r="I715" i="4"/>
  <c r="F715" i="6" s="1"/>
  <c r="G715" i="6" s="1"/>
  <c r="I723" i="4"/>
  <c r="F723" i="6" s="1"/>
  <c r="G723" i="6" s="1"/>
  <c r="I291" i="4"/>
  <c r="I306" i="4"/>
  <c r="I321" i="4"/>
  <c r="F333" i="6" s="1"/>
  <c r="G333" i="6" s="1"/>
  <c r="I324" i="4"/>
  <c r="F336" i="6" s="1"/>
  <c r="G336" i="6" s="1"/>
  <c r="I331" i="4"/>
  <c r="F343" i="6" s="1"/>
  <c r="G343" i="6" s="1"/>
  <c r="I843" i="4"/>
  <c r="F835" i="6" s="1"/>
  <c r="G835" i="6" s="1"/>
  <c r="I284" i="4"/>
  <c r="F297" i="6" s="1"/>
  <c r="G297" i="6" s="1"/>
  <c r="I363" i="4"/>
  <c r="F372" i="6" s="1"/>
  <c r="G372" i="6" s="1"/>
  <c r="I395" i="4"/>
  <c r="F404" i="6" s="1"/>
  <c r="G404" i="6" s="1"/>
  <c r="I432" i="4"/>
  <c r="I442" i="4"/>
  <c r="F451" i="6" s="1"/>
  <c r="G451" i="6" s="1"/>
  <c r="I452" i="4"/>
  <c r="F461" i="6" s="1"/>
  <c r="G461" i="6" s="1"/>
  <c r="I457" i="4"/>
  <c r="F465" i="6" s="1"/>
  <c r="G465" i="6" s="1"/>
  <c r="I462" i="4"/>
  <c r="F468" i="6" s="1"/>
  <c r="G468" i="6" s="1"/>
  <c r="I465" i="4"/>
  <c r="I472" i="4"/>
  <c r="F477" i="6" s="1"/>
  <c r="G477" i="6" s="1"/>
  <c r="I492" i="4"/>
  <c r="I495" i="4"/>
  <c r="I502" i="4"/>
  <c r="F506" i="6" s="1"/>
  <c r="G506" i="6" s="1"/>
  <c r="I525" i="4"/>
  <c r="F529" i="6" s="1"/>
  <c r="G529" i="6" s="1"/>
  <c r="I532" i="4"/>
  <c r="F536" i="6" s="1"/>
  <c r="G536" i="6" s="1"/>
  <c r="I537" i="4"/>
  <c r="F541" i="6" s="1"/>
  <c r="G541" i="6" s="1"/>
  <c r="I542" i="4"/>
  <c r="F546" i="6" s="1"/>
  <c r="G546" i="6" s="1"/>
  <c r="I557" i="4"/>
  <c r="F561" i="6" s="1"/>
  <c r="G561" i="6" s="1"/>
  <c r="I564" i="4"/>
  <c r="F568" i="6" s="1"/>
  <c r="G568" i="6" s="1"/>
  <c r="I569" i="4"/>
  <c r="J17" i="2" s="1"/>
  <c r="AI14" i="3" s="1"/>
  <c r="I574" i="4"/>
  <c r="F578" i="6" s="1"/>
  <c r="G578" i="6" s="1"/>
  <c r="I589" i="4"/>
  <c r="F593" i="6" s="1"/>
  <c r="G593" i="6" s="1"/>
  <c r="I596" i="4"/>
  <c r="F600" i="6" s="1"/>
  <c r="G600" i="6" s="1"/>
  <c r="I601" i="4"/>
  <c r="F605" i="6" s="1"/>
  <c r="G605" i="6" s="1"/>
  <c r="I606" i="4"/>
  <c r="F610" i="6" s="1"/>
  <c r="G610" i="6" s="1"/>
  <c r="I621" i="4"/>
  <c r="F625" i="6" s="1"/>
  <c r="G625" i="6" s="1"/>
  <c r="I628" i="4"/>
  <c r="I633" i="4"/>
  <c r="I638" i="4"/>
  <c r="F641" i="6" s="1"/>
  <c r="G641" i="6" s="1"/>
  <c r="I653" i="4"/>
  <c r="I660" i="4"/>
  <c r="F662" i="6" s="1"/>
  <c r="G662" i="6" s="1"/>
  <c r="I665" i="4"/>
  <c r="F666" i="6" s="1"/>
  <c r="G666" i="6" s="1"/>
  <c r="I670" i="4"/>
  <c r="F671" i="6" s="1"/>
  <c r="G671" i="6" s="1"/>
  <c r="I685" i="4"/>
  <c r="F686" i="6" s="1"/>
  <c r="G686" i="6" s="1"/>
  <c r="I695" i="4"/>
  <c r="F696" i="6" s="1"/>
  <c r="G696" i="6" s="1"/>
  <c r="I700" i="4"/>
  <c r="I274" i="4"/>
  <c r="I289" i="4"/>
  <c r="F302" i="6" s="1"/>
  <c r="G302" i="6" s="1"/>
  <c r="I299" i="4"/>
  <c r="F312" i="6" s="1"/>
  <c r="G312" i="6" s="1"/>
  <c r="I144" i="4"/>
  <c r="F163" i="6" s="1"/>
  <c r="G163" i="6" s="1"/>
  <c r="I149" i="4"/>
  <c r="F167" i="6" s="1"/>
  <c r="G167" i="6" s="1"/>
  <c r="I152" i="4"/>
  <c r="F169" i="6" s="1"/>
  <c r="G169" i="6" s="1"/>
  <c r="I157" i="4"/>
  <c r="F174" i="6" s="1"/>
  <c r="G174" i="6" s="1"/>
  <c r="I160" i="4"/>
  <c r="D18" i="2" s="1"/>
  <c r="AJ8" i="3" s="1"/>
  <c r="I165" i="4"/>
  <c r="F182" i="6" s="1"/>
  <c r="G182" i="6" s="1"/>
  <c r="I168" i="4"/>
  <c r="F185" i="6" s="1"/>
  <c r="G185" i="6" s="1"/>
  <c r="I173" i="4"/>
  <c r="F190" i="6" s="1"/>
  <c r="G190" i="6" s="1"/>
  <c r="I176" i="4"/>
  <c r="F193" i="6" s="1"/>
  <c r="G193" i="6" s="1"/>
  <c r="I181" i="4"/>
  <c r="F198" i="6" s="1"/>
  <c r="G198" i="6" s="1"/>
  <c r="I184" i="4"/>
  <c r="F201" i="6" s="1"/>
  <c r="G201" i="6" s="1"/>
  <c r="I189" i="4"/>
  <c r="F206" i="6" s="1"/>
  <c r="G206" i="6" s="1"/>
  <c r="I192" i="4"/>
  <c r="I197" i="4"/>
  <c r="I200" i="4"/>
  <c r="F216" i="6" s="1"/>
  <c r="G216" i="6" s="1"/>
  <c r="I205" i="4"/>
  <c r="F221" i="6" s="1"/>
  <c r="G221" i="6" s="1"/>
  <c r="I208" i="4"/>
  <c r="F224" i="6" s="1"/>
  <c r="G224" i="6" s="1"/>
  <c r="I213" i="4"/>
  <c r="F229" i="6" s="1"/>
  <c r="G229" i="6" s="1"/>
  <c r="I221" i="4"/>
  <c r="F237" i="6" s="1"/>
  <c r="G237" i="6" s="1"/>
  <c r="I229" i="4"/>
  <c r="F245" i="6" s="1"/>
  <c r="G245" i="6" s="1"/>
  <c r="I237" i="4"/>
  <c r="I245" i="4"/>
  <c r="F260" i="6" s="1"/>
  <c r="G260" i="6" s="1"/>
  <c r="I253" i="4"/>
  <c r="F268" i="6" s="1"/>
  <c r="G268" i="6" s="1"/>
  <c r="I261" i="4"/>
  <c r="F276" i="6" s="1"/>
  <c r="G276" i="6" s="1"/>
  <c r="I269" i="4"/>
  <c r="F282" i="6" s="1"/>
  <c r="G282" i="6" s="1"/>
  <c r="I272" i="4"/>
  <c r="F285" i="6" s="1"/>
  <c r="G285" i="6" s="1"/>
  <c r="I277" i="4"/>
  <c r="F290" i="6" s="1"/>
  <c r="G290" i="6" s="1"/>
  <c r="I287" i="4"/>
  <c r="I297" i="4"/>
  <c r="I307" i="4"/>
  <c r="F319" i="6" s="1"/>
  <c r="G319" i="6" s="1"/>
  <c r="I310" i="4"/>
  <c r="F322" i="6" s="1"/>
  <c r="G322" i="6" s="1"/>
  <c r="I317" i="4"/>
  <c r="F329" i="6" s="1"/>
  <c r="G329" i="6" s="1"/>
  <c r="I322" i="4"/>
  <c r="F334" i="6" s="1"/>
  <c r="G334" i="6" s="1"/>
  <c r="I361" i="4"/>
  <c r="G6" i="2" s="1"/>
  <c r="X11" i="3" s="1"/>
  <c r="I366" i="4"/>
  <c r="F375" i="6" s="1"/>
  <c r="G375" i="6" s="1"/>
  <c r="I371" i="4"/>
  <c r="F380" i="6" s="1"/>
  <c r="G380" i="6" s="1"/>
  <c r="I393" i="4"/>
  <c r="G7" i="2" s="1"/>
  <c r="Y11" i="3" s="1"/>
  <c r="I398" i="4"/>
  <c r="G12" i="2" s="1"/>
  <c r="AD11" i="3" s="1"/>
  <c r="I403" i="4"/>
  <c r="F412" i="6" s="1"/>
  <c r="G412" i="6" s="1"/>
  <c r="I425" i="4"/>
  <c r="F434" i="6" s="1"/>
  <c r="G434" i="6" s="1"/>
  <c r="I430" i="4"/>
  <c r="F439" i="6" s="1"/>
  <c r="G439" i="6" s="1"/>
  <c r="I433" i="4"/>
  <c r="F442" i="6" s="1"/>
  <c r="G442" i="6" s="1"/>
  <c r="I440" i="4"/>
  <c r="F449" i="6" s="1"/>
  <c r="G449" i="6" s="1"/>
  <c r="I460" i="4"/>
  <c r="I470" i="4"/>
  <c r="I498" i="4"/>
  <c r="F503" i="6" s="1"/>
  <c r="G503" i="6" s="1"/>
  <c r="I513" i="4"/>
  <c r="F517" i="6" s="1"/>
  <c r="G517" i="6" s="1"/>
  <c r="I528" i="4"/>
  <c r="F532" i="6" s="1"/>
  <c r="G532" i="6" s="1"/>
  <c r="I540" i="4"/>
  <c r="F544" i="6" s="1"/>
  <c r="G544" i="6" s="1"/>
  <c r="I560" i="4"/>
  <c r="F564" i="6" s="1"/>
  <c r="G564" i="6" s="1"/>
  <c r="I572" i="4"/>
  <c r="F576" i="6" s="1"/>
  <c r="G576" i="6" s="1"/>
  <c r="I592" i="4"/>
  <c r="F596" i="6" s="1"/>
  <c r="G596" i="6" s="1"/>
  <c r="I604" i="4"/>
  <c r="I624" i="4"/>
  <c r="F628" i="6" s="1"/>
  <c r="G628" i="6" s="1"/>
  <c r="I636" i="4"/>
  <c r="F639" i="6" s="1"/>
  <c r="G639" i="6" s="1"/>
  <c r="I656" i="4"/>
  <c r="F658" i="6" s="1"/>
  <c r="G658" i="6" s="1"/>
  <c r="I668" i="4"/>
  <c r="F669" i="6" s="1"/>
  <c r="G669" i="6" s="1"/>
  <c r="I671" i="4"/>
  <c r="F672" i="6" s="1"/>
  <c r="G672" i="6" s="1"/>
  <c r="I688" i="4"/>
  <c r="F689" i="6" s="1"/>
  <c r="G689" i="6" s="1"/>
  <c r="I478" i="4"/>
  <c r="F483" i="6" s="1"/>
  <c r="G483" i="6" s="1"/>
  <c r="I481" i="4"/>
  <c r="I488" i="4"/>
  <c r="F493" i="6" s="1"/>
  <c r="G493" i="6" s="1"/>
  <c r="I508" i="4"/>
  <c r="F512" i="6" s="1"/>
  <c r="G512" i="6" s="1"/>
  <c r="I511" i="4"/>
  <c r="F515" i="6" s="1"/>
  <c r="G515" i="6" s="1"/>
  <c r="I518" i="4"/>
  <c r="F522" i="6" s="1"/>
  <c r="G522" i="6" s="1"/>
  <c r="I538" i="4"/>
  <c r="F542" i="6" s="1"/>
  <c r="G542" i="6" s="1"/>
  <c r="I550" i="4"/>
  <c r="F554" i="6" s="1"/>
  <c r="G554" i="6" s="1"/>
  <c r="I570" i="4"/>
  <c r="I582" i="4"/>
  <c r="I602" i="4"/>
  <c r="F606" i="6" s="1"/>
  <c r="G606" i="6" s="1"/>
  <c r="I614" i="4"/>
  <c r="F618" i="6" s="1"/>
  <c r="G618" i="6" s="1"/>
  <c r="I634" i="4"/>
  <c r="F637" i="6" s="1"/>
  <c r="G637" i="6" s="1"/>
  <c r="I646" i="4"/>
  <c r="F649" i="6" s="1"/>
  <c r="G649" i="6" s="1"/>
  <c r="I678" i="4"/>
  <c r="F679" i="6" s="1"/>
  <c r="G679" i="6" s="1"/>
  <c r="I691" i="4"/>
  <c r="F692" i="6" s="1"/>
  <c r="G692" i="6" s="1"/>
  <c r="I727" i="4"/>
  <c r="L18" i="2" s="1"/>
  <c r="AJ16" i="3" s="1"/>
  <c r="I1077" i="4"/>
  <c r="I1093" i="4"/>
  <c r="I1109" i="4"/>
  <c r="I1125" i="4"/>
  <c r="I1141" i="4"/>
  <c r="I1157" i="4"/>
  <c r="I1173" i="4"/>
  <c r="I1189" i="4"/>
  <c r="I1205" i="4"/>
  <c r="I1221" i="4"/>
  <c r="I1237" i="4"/>
  <c r="I1253" i="4"/>
  <c r="I1269" i="4"/>
  <c r="I1285" i="4"/>
  <c r="I1301" i="4"/>
  <c r="I1317" i="4"/>
  <c r="I1333" i="4"/>
  <c r="I1349" i="4"/>
  <c r="I1361" i="4"/>
  <c r="I1374" i="4"/>
  <c r="I1382" i="4"/>
  <c r="I1390" i="4"/>
  <c r="I1398" i="4"/>
  <c r="I1406" i="4"/>
  <c r="I1414" i="4"/>
  <c r="I1422" i="4"/>
  <c r="I1430" i="4"/>
  <c r="I1438" i="4"/>
  <c r="I1446" i="4"/>
  <c r="I1454" i="4"/>
  <c r="I1462" i="4"/>
  <c r="I1470" i="4"/>
  <c r="I1478" i="4"/>
  <c r="I1486" i="4"/>
  <c r="I1494" i="4"/>
  <c r="I1502" i="4"/>
  <c r="C23" i="6"/>
  <c r="I698" i="4"/>
  <c r="L8" i="2" s="1"/>
  <c r="Z16" i="3" s="1"/>
  <c r="I710" i="4"/>
  <c r="F710" i="6" s="1"/>
  <c r="G710" i="6" s="1"/>
  <c r="I730" i="4"/>
  <c r="M18" i="2" s="1"/>
  <c r="AJ17" i="3" s="1"/>
  <c r="I742" i="4"/>
  <c r="I762" i="4"/>
  <c r="F756" i="6" s="1"/>
  <c r="G756" i="6" s="1"/>
  <c r="I767" i="4"/>
  <c r="F761" i="6" s="1"/>
  <c r="G761" i="6" s="1"/>
  <c r="I774" i="4"/>
  <c r="F768" i="6" s="1"/>
  <c r="G768" i="6" s="1"/>
  <c r="I794" i="4"/>
  <c r="I799" i="4"/>
  <c r="F792" i="6" s="1"/>
  <c r="G792" i="6" s="1"/>
  <c r="I806" i="4"/>
  <c r="F799" i="6" s="1"/>
  <c r="G799" i="6" s="1"/>
  <c r="I826" i="4"/>
  <c r="I831" i="4"/>
  <c r="F823" i="6" s="1"/>
  <c r="G823" i="6" s="1"/>
  <c r="I838" i="4"/>
  <c r="I858" i="4"/>
  <c r="I863" i="4"/>
  <c r="F855" i="6" s="1"/>
  <c r="G855" i="6" s="1"/>
  <c r="I870" i="4"/>
  <c r="I890" i="4"/>
  <c r="F882" i="6" s="1"/>
  <c r="G882" i="6" s="1"/>
  <c r="I895" i="4"/>
  <c r="F887" i="6" s="1"/>
  <c r="G887" i="6" s="1"/>
  <c r="I902" i="4"/>
  <c r="O11" i="2" s="1"/>
  <c r="AC19" i="3" s="1"/>
  <c r="I922" i="4"/>
  <c r="F914" i="6" s="1"/>
  <c r="G914" i="6" s="1"/>
  <c r="I927" i="4"/>
  <c r="F919" i="6" s="1"/>
  <c r="G919" i="6" s="1"/>
  <c r="I934" i="4"/>
  <c r="I954" i="4"/>
  <c r="F945" i="6" s="1"/>
  <c r="G945" i="6" s="1"/>
  <c r="I959" i="4"/>
  <c r="F950" i="6" s="1"/>
  <c r="G950" i="6" s="1"/>
  <c r="I966" i="4"/>
  <c r="F957" i="6" s="1"/>
  <c r="G957" i="6" s="1"/>
  <c r="I986" i="4"/>
  <c r="F973" i="6" s="1"/>
  <c r="G973" i="6" s="1"/>
  <c r="I991" i="4"/>
  <c r="F978" i="6" s="1"/>
  <c r="G978" i="6" s="1"/>
  <c r="I998" i="4"/>
  <c r="F985" i="6" s="1"/>
  <c r="G985" i="6" s="1"/>
  <c r="I1018" i="4"/>
  <c r="F1004" i="6" s="1"/>
  <c r="G1004" i="6" s="1"/>
  <c r="I1023" i="4"/>
  <c r="I1030" i="4"/>
  <c r="F1013" i="6" s="1"/>
  <c r="G1013" i="6" s="1"/>
  <c r="I1040" i="4"/>
  <c r="R16" i="2" s="1"/>
  <c r="AH22" i="3" s="1"/>
  <c r="I1050" i="4"/>
  <c r="I1057" i="4"/>
  <c r="I1073" i="4"/>
  <c r="I1089" i="4"/>
  <c r="I1105" i="4"/>
  <c r="I1121" i="4"/>
  <c r="I1137" i="4"/>
  <c r="I1153" i="4"/>
  <c r="I1169" i="4"/>
  <c r="I1185" i="4"/>
  <c r="I1201" i="4"/>
  <c r="I1217" i="4"/>
  <c r="I1233" i="4"/>
  <c r="I1249" i="4"/>
  <c r="I1265" i="4"/>
  <c r="I1281" i="4"/>
  <c r="I1297" i="4"/>
  <c r="I1313" i="4"/>
  <c r="I1329" i="4"/>
  <c r="I1345" i="4"/>
  <c r="I1033" i="4"/>
  <c r="R17" i="2" s="1"/>
  <c r="I1045" i="4"/>
  <c r="I696" i="4"/>
  <c r="F697" i="6" s="1"/>
  <c r="G697" i="6" s="1"/>
  <c r="I706" i="4"/>
  <c r="F706" i="6" s="1"/>
  <c r="G706" i="6" s="1"/>
  <c r="I711" i="4"/>
  <c r="F711" i="6" s="1"/>
  <c r="G711" i="6" s="1"/>
  <c r="I728" i="4"/>
  <c r="L7" i="2" s="1"/>
  <c r="Y16" i="3" s="1"/>
  <c r="I738" i="4"/>
  <c r="F737" i="6" s="1"/>
  <c r="G737" i="6" s="1"/>
  <c r="I743" i="4"/>
  <c r="I760" i="4"/>
  <c r="I765" i="4"/>
  <c r="I770" i="4"/>
  <c r="F764" i="6" s="1"/>
  <c r="G764" i="6" s="1"/>
  <c r="I792" i="4"/>
  <c r="I797" i="4"/>
  <c r="F791" i="6" s="1"/>
  <c r="G791" i="6" s="1"/>
  <c r="I802" i="4"/>
  <c r="F795" i="6" s="1"/>
  <c r="G795" i="6" s="1"/>
  <c r="I824" i="4"/>
  <c r="F817" i="6" s="1"/>
  <c r="G817" i="6" s="1"/>
  <c r="I829" i="4"/>
  <c r="F821" i="6" s="1"/>
  <c r="G821" i="6" s="1"/>
  <c r="I834" i="4"/>
  <c r="F826" i="6" s="1"/>
  <c r="G826" i="6" s="1"/>
  <c r="I856" i="4"/>
  <c r="I861" i="4"/>
  <c r="F853" i="6" s="1"/>
  <c r="G853" i="6" s="1"/>
  <c r="I866" i="4"/>
  <c r="F858" i="6" s="1"/>
  <c r="G858" i="6" s="1"/>
  <c r="I888" i="4"/>
  <c r="F880" i="6" s="1"/>
  <c r="G880" i="6" s="1"/>
  <c r="I893" i="4"/>
  <c r="F885" i="6" s="1"/>
  <c r="G885" i="6" s="1"/>
  <c r="I898" i="4"/>
  <c r="F890" i="6" s="1"/>
  <c r="G890" i="6" s="1"/>
  <c r="I920" i="4"/>
  <c r="P7" i="2" s="1"/>
  <c r="Y20" i="3" s="1"/>
  <c r="I925" i="4"/>
  <c r="F917" i="6" s="1"/>
  <c r="G917" i="6" s="1"/>
  <c r="I930" i="4"/>
  <c r="F922" i="6" s="1"/>
  <c r="G922" i="6" s="1"/>
  <c r="I952" i="4"/>
  <c r="F943" i="6" s="1"/>
  <c r="G943" i="6" s="1"/>
  <c r="I957" i="4"/>
  <c r="F948" i="6" s="1"/>
  <c r="G948" i="6" s="1"/>
  <c r="I962" i="4"/>
  <c r="Q8" i="2" s="1"/>
  <c r="Z21" i="3" s="1"/>
  <c r="I984" i="4"/>
  <c r="F971" i="6" s="1"/>
  <c r="G971" i="6" s="1"/>
  <c r="I989" i="4"/>
  <c r="F976" i="6" s="1"/>
  <c r="G976" i="6" s="1"/>
  <c r="I994" i="4"/>
  <c r="F981" i="6" s="1"/>
  <c r="G981" i="6" s="1"/>
  <c r="I1016" i="4"/>
  <c r="I1021" i="4"/>
  <c r="R12" i="2" s="1"/>
  <c r="AD22" i="3" s="1"/>
  <c r="I1026" i="4"/>
  <c r="F1009" i="6" s="1"/>
  <c r="G1009" i="6" s="1"/>
  <c r="I1053" i="4"/>
  <c r="I1069" i="4"/>
  <c r="I1085" i="4"/>
  <c r="I1101" i="4"/>
  <c r="I1117" i="4"/>
  <c r="I1133" i="4"/>
  <c r="I1149" i="4"/>
  <c r="I1165" i="4"/>
  <c r="I1181" i="4"/>
  <c r="I1197" i="4"/>
  <c r="I1213" i="4"/>
  <c r="I1229" i="4"/>
  <c r="I1245" i="4"/>
  <c r="I1261" i="4"/>
  <c r="I1277" i="4"/>
  <c r="I1293" i="4"/>
  <c r="I1309" i="4"/>
  <c r="I1325" i="4"/>
  <c r="I1341" i="4"/>
  <c r="I1357" i="4"/>
  <c r="I694" i="4"/>
  <c r="F695" i="6" s="1"/>
  <c r="G695" i="6" s="1"/>
  <c r="I714" i="4"/>
  <c r="F714" i="6" s="1"/>
  <c r="G714" i="6" s="1"/>
  <c r="I726" i="4"/>
  <c r="F726" i="6" s="1"/>
  <c r="G726" i="6" s="1"/>
  <c r="I746" i="4"/>
  <c r="F742" i="6" s="1"/>
  <c r="G742" i="6" s="1"/>
  <c r="I751" i="4"/>
  <c r="F745" i="6" s="1"/>
  <c r="G745" i="6" s="1"/>
  <c r="I758" i="4"/>
  <c r="F752" i="6" s="1"/>
  <c r="G752" i="6" s="1"/>
  <c r="I778" i="4"/>
  <c r="M6" i="2" s="1"/>
  <c r="X17" i="3" s="1"/>
  <c r="I783" i="4"/>
  <c r="F777" i="6" s="1"/>
  <c r="G777" i="6" s="1"/>
  <c r="I790" i="4"/>
  <c r="F784" i="6" s="1"/>
  <c r="G784" i="6" s="1"/>
  <c r="I810" i="4"/>
  <c r="F803" i="6" s="1"/>
  <c r="G803" i="6" s="1"/>
  <c r="I815" i="4"/>
  <c r="N15" i="2" s="1"/>
  <c r="AG18" i="3" s="1"/>
  <c r="I822" i="4"/>
  <c r="F815" i="6" s="1"/>
  <c r="G815" i="6" s="1"/>
  <c r="I842" i="4"/>
  <c r="F834" i="6" s="1"/>
  <c r="G834" i="6" s="1"/>
  <c r="I847" i="4"/>
  <c r="F839" i="6" s="1"/>
  <c r="G839" i="6" s="1"/>
  <c r="I854" i="4"/>
  <c r="F846" i="6" s="1"/>
  <c r="G846" i="6" s="1"/>
  <c r="I874" i="4"/>
  <c r="F866" i="6" s="1"/>
  <c r="G866" i="6" s="1"/>
  <c r="I879" i="4"/>
  <c r="F871" i="6" s="1"/>
  <c r="G871" i="6" s="1"/>
  <c r="I886" i="4"/>
  <c r="F878" i="6" s="1"/>
  <c r="G878" i="6" s="1"/>
  <c r="I906" i="4"/>
  <c r="F898" i="6" s="1"/>
  <c r="G898" i="6" s="1"/>
  <c r="I911" i="4"/>
  <c r="F903" i="6" s="1"/>
  <c r="G903" i="6" s="1"/>
  <c r="I918" i="4"/>
  <c r="P5" i="2" s="1"/>
  <c r="W20" i="3" s="1"/>
  <c r="I938" i="4"/>
  <c r="F929" i="6" s="1"/>
  <c r="G929" i="6" s="1"/>
  <c r="I943" i="4"/>
  <c r="F934" i="6" s="1"/>
  <c r="G934" i="6" s="1"/>
  <c r="I950" i="4"/>
  <c r="F941" i="6" s="1"/>
  <c r="G941" i="6" s="1"/>
  <c r="I970" i="4"/>
  <c r="F961" i="6" s="1"/>
  <c r="G961" i="6" s="1"/>
  <c r="I975" i="4"/>
  <c r="I982" i="4"/>
  <c r="I1002" i="4"/>
  <c r="F989" i="6" s="1"/>
  <c r="G989" i="6" s="1"/>
  <c r="I1007" i="4"/>
  <c r="F994" i="6" s="1"/>
  <c r="G994" i="6" s="1"/>
  <c r="I1014" i="4"/>
  <c r="I1034" i="4"/>
  <c r="R14" i="2" s="1"/>
  <c r="AF22" i="3" s="1"/>
  <c r="I1046" i="4"/>
  <c r="F1029" i="6" s="1"/>
  <c r="G1029" i="6" s="1"/>
  <c r="I1065" i="4"/>
  <c r="I1081" i="4"/>
  <c r="I1097" i="4"/>
  <c r="I1113" i="4"/>
  <c r="I1129" i="4"/>
  <c r="I1145" i="4"/>
  <c r="I1161" i="4"/>
  <c r="I1177" i="4"/>
  <c r="I1193" i="4"/>
  <c r="I1209" i="4"/>
  <c r="I1225" i="4"/>
  <c r="I1241" i="4"/>
  <c r="I1257" i="4"/>
  <c r="I1273" i="4"/>
  <c r="I1289" i="4"/>
  <c r="I1305" i="4"/>
  <c r="I1321" i="4"/>
  <c r="I1337" i="4"/>
  <c r="I1353" i="4"/>
  <c r="I1358" i="4"/>
  <c r="I1363" i="4"/>
  <c r="I702" i="4"/>
  <c r="F702" i="6" s="1"/>
  <c r="G702" i="6" s="1"/>
  <c r="I717" i="4"/>
  <c r="F717" i="6" s="1"/>
  <c r="G717" i="6" s="1"/>
  <c r="L743" i="6"/>
  <c r="I724" i="4"/>
  <c r="F724" i="6" s="1"/>
  <c r="G724" i="6" s="1"/>
  <c r="I729" i="4"/>
  <c r="I734" i="4"/>
  <c r="F733" i="6" s="1"/>
  <c r="G733" i="6" s="1"/>
  <c r="I756" i="4"/>
  <c r="F750" i="6" s="1"/>
  <c r="G750" i="6" s="1"/>
  <c r="I761" i="4"/>
  <c r="F755" i="6" s="1"/>
  <c r="G755" i="6" s="1"/>
  <c r="I766" i="4"/>
  <c r="F760" i="6" s="1"/>
  <c r="G760" i="6" s="1"/>
  <c r="I788" i="4"/>
  <c r="F782" i="6" s="1"/>
  <c r="G782" i="6" s="1"/>
  <c r="I793" i="4"/>
  <c r="F787" i="6" s="1"/>
  <c r="G787" i="6" s="1"/>
  <c r="I798" i="4"/>
  <c r="I820" i="4"/>
  <c r="F813" i="6" s="1"/>
  <c r="G813" i="6" s="1"/>
  <c r="I825" i="4"/>
  <c r="I830" i="4"/>
  <c r="F822" i="6" s="1"/>
  <c r="G822" i="6" s="1"/>
  <c r="I852" i="4"/>
  <c r="F844" i="6" s="1"/>
  <c r="G844" i="6" s="1"/>
  <c r="I857" i="4"/>
  <c r="F849" i="6" s="1"/>
  <c r="G849" i="6" s="1"/>
  <c r="I862" i="4"/>
  <c r="F854" i="6" s="1"/>
  <c r="G854" i="6" s="1"/>
  <c r="I894" i="4"/>
  <c r="F886" i="6" s="1"/>
  <c r="G886" i="6" s="1"/>
  <c r="I926" i="4"/>
  <c r="F918" i="6" s="1"/>
  <c r="G918" i="6" s="1"/>
  <c r="I1063" i="4"/>
  <c r="I1079" i="4"/>
  <c r="I1095" i="4"/>
  <c r="I1111" i="4"/>
  <c r="I1127" i="4"/>
  <c r="I1143" i="4"/>
  <c r="I1159" i="4"/>
  <c r="I1175" i="4"/>
  <c r="I1191" i="4"/>
  <c r="I1207" i="4"/>
  <c r="I1223" i="4"/>
  <c r="I1239" i="4"/>
  <c r="J64" i="6"/>
  <c r="L64" i="6" s="1"/>
  <c r="J34" i="6"/>
  <c r="L34" i="6" s="1"/>
  <c r="J72" i="6"/>
  <c r="L72" i="6" s="1"/>
  <c r="J42" i="6"/>
  <c r="L42" i="6" s="1"/>
  <c r="J90" i="6"/>
  <c r="L90" i="6" s="1"/>
  <c r="J50" i="6"/>
  <c r="L50" i="6" s="1"/>
  <c r="L82" i="6"/>
  <c r="L98" i="6"/>
  <c r="L106" i="6"/>
  <c r="L114" i="6"/>
  <c r="L122" i="6"/>
  <c r="J430" i="6"/>
  <c r="L430" i="6" s="1"/>
  <c r="J130" i="6"/>
  <c r="L130" i="6" s="1"/>
  <c r="J438" i="6"/>
  <c r="L438" i="6" s="1"/>
  <c r="J138" i="6"/>
  <c r="L138" i="6" s="1"/>
  <c r="J446" i="6"/>
  <c r="L446" i="6" s="1"/>
  <c r="J146" i="6"/>
  <c r="L146" i="6" s="1"/>
  <c r="J454" i="6"/>
  <c r="L454" i="6" s="1"/>
  <c r="J154" i="6"/>
  <c r="L154" i="6" s="1"/>
  <c r="J462" i="6"/>
  <c r="L462" i="6" s="1"/>
  <c r="J162" i="6"/>
  <c r="L162" i="6" s="1"/>
  <c r="J470" i="6"/>
  <c r="L470" i="6" s="1"/>
  <c r="J170" i="6"/>
  <c r="L170" i="6" s="1"/>
  <c r="J478" i="6"/>
  <c r="L478" i="6" s="1"/>
  <c r="J178" i="6"/>
  <c r="L178" i="6" s="1"/>
  <c r="J486" i="6"/>
  <c r="L486" i="6" s="1"/>
  <c r="J186" i="6"/>
  <c r="L186" i="6" s="1"/>
  <c r="J494" i="6"/>
  <c r="L494" i="6" s="1"/>
  <c r="J194" i="6"/>
  <c r="L194" i="6" s="1"/>
  <c r="J502" i="6"/>
  <c r="L502" i="6" s="1"/>
  <c r="J202" i="6"/>
  <c r="L202" i="6" s="1"/>
  <c r="J510" i="6"/>
  <c r="L510" i="6" s="1"/>
  <c r="J210" i="6"/>
  <c r="L210" i="6" s="1"/>
  <c r="J518" i="6"/>
  <c r="L518" i="6" s="1"/>
  <c r="J218" i="6"/>
  <c r="L218" i="6" s="1"/>
  <c r="J626" i="6"/>
  <c r="L626" i="6" s="1"/>
  <c r="J226" i="6"/>
  <c r="L226" i="6" s="1"/>
  <c r="J634" i="6"/>
  <c r="L634" i="6" s="1"/>
  <c r="J234" i="6"/>
  <c r="L234" i="6" s="1"/>
  <c r="I216" i="4"/>
  <c r="F232" i="6" s="1"/>
  <c r="G232" i="6" s="1"/>
  <c r="J642" i="6"/>
  <c r="L642" i="6" s="1"/>
  <c r="J242" i="6"/>
  <c r="L242" i="6" s="1"/>
  <c r="I224" i="4"/>
  <c r="J650" i="6"/>
  <c r="L650" i="6" s="1"/>
  <c r="J250" i="6"/>
  <c r="L250" i="6" s="1"/>
  <c r="I232" i="4"/>
  <c r="J658" i="6"/>
  <c r="L658" i="6" s="1"/>
  <c r="J258" i="6"/>
  <c r="L258" i="6" s="1"/>
  <c r="I240" i="4"/>
  <c r="F255" i="6" s="1"/>
  <c r="G255" i="6" s="1"/>
  <c r="J666" i="6"/>
  <c r="L666" i="6" s="1"/>
  <c r="J266" i="6"/>
  <c r="L266" i="6" s="1"/>
  <c r="I248" i="4"/>
  <c r="J674" i="6"/>
  <c r="L674" i="6" s="1"/>
  <c r="J274" i="6"/>
  <c r="L274" i="6" s="1"/>
  <c r="I256" i="4"/>
  <c r="F271" i="6" s="1"/>
  <c r="G271" i="6" s="1"/>
  <c r="J682" i="6"/>
  <c r="L682" i="6" s="1"/>
  <c r="J282" i="6"/>
  <c r="L282" i="6" s="1"/>
  <c r="I264" i="4"/>
  <c r="F278" i="6" s="1"/>
  <c r="G278" i="6" s="1"/>
  <c r="B23" i="3"/>
  <c r="AL22" i="3"/>
  <c r="I11" i="4"/>
  <c r="F34" i="6" s="1"/>
  <c r="G34" i="6" s="1"/>
  <c r="J67" i="6"/>
  <c r="L67" i="6" s="1"/>
  <c r="J37" i="6"/>
  <c r="L37" i="6" s="1"/>
  <c r="I19" i="4"/>
  <c r="F42" i="6" s="1"/>
  <c r="G42" i="6" s="1"/>
  <c r="J85" i="6"/>
  <c r="L85" i="6" s="1"/>
  <c r="J45" i="6"/>
  <c r="L45" i="6" s="1"/>
  <c r="I27" i="4"/>
  <c r="F50" i="6" s="1"/>
  <c r="G50" i="6" s="1"/>
  <c r="L53" i="6"/>
  <c r="L61" i="6"/>
  <c r="L77" i="6"/>
  <c r="L93" i="6"/>
  <c r="L101" i="6"/>
  <c r="L109" i="6"/>
  <c r="L117" i="6"/>
  <c r="J425" i="6"/>
  <c r="L425" i="6" s="1"/>
  <c r="J125" i="6"/>
  <c r="L125" i="6" s="1"/>
  <c r="J433" i="6"/>
  <c r="L433" i="6" s="1"/>
  <c r="J133" i="6"/>
  <c r="L133" i="6" s="1"/>
  <c r="J441" i="6"/>
  <c r="L441" i="6" s="1"/>
  <c r="J141" i="6"/>
  <c r="L141" i="6" s="1"/>
  <c r="J449" i="6"/>
  <c r="L449" i="6" s="1"/>
  <c r="J149" i="6"/>
  <c r="L149" i="6" s="1"/>
  <c r="J457" i="6"/>
  <c r="L457" i="6" s="1"/>
  <c r="J157" i="6"/>
  <c r="L157" i="6" s="1"/>
  <c r="J465" i="6"/>
  <c r="L465" i="6" s="1"/>
  <c r="J165" i="6"/>
  <c r="L165" i="6" s="1"/>
  <c r="J473" i="6"/>
  <c r="L473" i="6" s="1"/>
  <c r="J173" i="6"/>
  <c r="L173" i="6" s="1"/>
  <c r="J481" i="6"/>
  <c r="L481" i="6" s="1"/>
  <c r="J181" i="6"/>
  <c r="L181" i="6" s="1"/>
  <c r="J489" i="6"/>
  <c r="L489" i="6" s="1"/>
  <c r="J189" i="6"/>
  <c r="L189" i="6" s="1"/>
  <c r="J497" i="6"/>
  <c r="L497" i="6" s="1"/>
  <c r="J197" i="6"/>
  <c r="L197" i="6" s="1"/>
  <c r="J505" i="6"/>
  <c r="L505" i="6" s="1"/>
  <c r="J205" i="6"/>
  <c r="L205" i="6" s="1"/>
  <c r="J513" i="6"/>
  <c r="L513" i="6" s="1"/>
  <c r="J213" i="6"/>
  <c r="L213" i="6" s="1"/>
  <c r="J521" i="6"/>
  <c r="L521" i="6" s="1"/>
  <c r="J221" i="6"/>
  <c r="L221" i="6" s="1"/>
  <c r="J629" i="6"/>
  <c r="L629" i="6" s="1"/>
  <c r="J229" i="6"/>
  <c r="L229" i="6" s="1"/>
  <c r="J637" i="6"/>
  <c r="L637" i="6" s="1"/>
  <c r="J237" i="6"/>
  <c r="L237" i="6" s="1"/>
  <c r="J645" i="6"/>
  <c r="L645" i="6" s="1"/>
  <c r="J245" i="6"/>
  <c r="L245" i="6" s="1"/>
  <c r="J653" i="6"/>
  <c r="L653" i="6" s="1"/>
  <c r="J253" i="6"/>
  <c r="L253" i="6" s="1"/>
  <c r="J661" i="6"/>
  <c r="L661" i="6" s="1"/>
  <c r="J261" i="6"/>
  <c r="L261" i="6" s="1"/>
  <c r="J669" i="6"/>
  <c r="L669" i="6" s="1"/>
  <c r="J269" i="6"/>
  <c r="L269" i="6" s="1"/>
  <c r="J677" i="6"/>
  <c r="L677" i="6" s="1"/>
  <c r="J277" i="6"/>
  <c r="L277" i="6" s="1"/>
  <c r="J285" i="6"/>
  <c r="L285" i="6" s="1"/>
  <c r="J685" i="6"/>
  <c r="L685" i="6" s="1"/>
  <c r="J693" i="6"/>
  <c r="L693" i="6" s="1"/>
  <c r="J293" i="6"/>
  <c r="L293" i="6" s="1"/>
  <c r="J698" i="6"/>
  <c r="L698" i="6" s="1"/>
  <c r="J298" i="6"/>
  <c r="L298" i="6" s="1"/>
  <c r="J713" i="6"/>
  <c r="L713" i="6" s="1"/>
  <c r="J313" i="6"/>
  <c r="L313" i="6" s="1"/>
  <c r="AK22" i="3"/>
  <c r="L32" i="6"/>
  <c r="I14" i="4"/>
  <c r="J70" i="6"/>
  <c r="L70" i="6" s="1"/>
  <c r="J40" i="6"/>
  <c r="L40" i="6" s="1"/>
  <c r="I22" i="4"/>
  <c r="F45" i="6" s="1"/>
  <c r="G45" i="6" s="1"/>
  <c r="J48" i="6"/>
  <c r="L48" i="6" s="1"/>
  <c r="J88" i="6"/>
  <c r="L88" i="6" s="1"/>
  <c r="I30" i="4"/>
  <c r="L56" i="6"/>
  <c r="I38" i="4"/>
  <c r="F60" i="6" s="1"/>
  <c r="G60" i="6" s="1"/>
  <c r="I46" i="4"/>
  <c r="F68" i="6" s="1"/>
  <c r="G68" i="6" s="1"/>
  <c r="L80" i="6"/>
  <c r="I62" i="4"/>
  <c r="B11" i="2" s="1"/>
  <c r="I70" i="4"/>
  <c r="F89" i="6" s="1"/>
  <c r="G89" i="6" s="1"/>
  <c r="L96" i="6"/>
  <c r="I78" i="4"/>
  <c r="L104" i="6"/>
  <c r="I86" i="4"/>
  <c r="F105" i="6" s="1"/>
  <c r="G105" i="6" s="1"/>
  <c r="L112" i="6"/>
  <c r="I94" i="4"/>
  <c r="F113" i="6" s="1"/>
  <c r="G113" i="6" s="1"/>
  <c r="L120" i="6"/>
  <c r="I102" i="4"/>
  <c r="F121" i="6" s="1"/>
  <c r="G121" i="6" s="1"/>
  <c r="J428" i="6"/>
  <c r="L428" i="6" s="1"/>
  <c r="J128" i="6"/>
  <c r="L128" i="6" s="1"/>
  <c r="I110" i="4"/>
  <c r="J436" i="6"/>
  <c r="L436" i="6" s="1"/>
  <c r="J136" i="6"/>
  <c r="L136" i="6" s="1"/>
  <c r="I118" i="4"/>
  <c r="F137" i="6" s="1"/>
  <c r="G137" i="6" s="1"/>
  <c r="J444" i="6"/>
  <c r="L444" i="6" s="1"/>
  <c r="J144" i="6"/>
  <c r="L144" i="6" s="1"/>
  <c r="I126" i="4"/>
  <c r="F145" i="6" s="1"/>
  <c r="G145" i="6" s="1"/>
  <c r="J452" i="6"/>
  <c r="L452" i="6" s="1"/>
  <c r="J152" i="6"/>
  <c r="L152" i="6" s="1"/>
  <c r="I134" i="4"/>
  <c r="F153" i="6" s="1"/>
  <c r="G153" i="6" s="1"/>
  <c r="J460" i="6"/>
  <c r="L460" i="6" s="1"/>
  <c r="J160" i="6"/>
  <c r="L160" i="6" s="1"/>
  <c r="I142" i="4"/>
  <c r="F161" i="6" s="1"/>
  <c r="G161" i="6" s="1"/>
  <c r="J468" i="6"/>
  <c r="L468" i="6" s="1"/>
  <c r="J168" i="6"/>
  <c r="L168" i="6" s="1"/>
  <c r="I150" i="4"/>
  <c r="D4" i="2" s="1"/>
  <c r="J476" i="6"/>
  <c r="L476" i="6" s="1"/>
  <c r="J176" i="6"/>
  <c r="L176" i="6" s="1"/>
  <c r="I158" i="4"/>
  <c r="F175" i="6" s="1"/>
  <c r="G175" i="6" s="1"/>
  <c r="J484" i="6"/>
  <c r="L484" i="6" s="1"/>
  <c r="J184" i="6"/>
  <c r="L184" i="6" s="1"/>
  <c r="I166" i="4"/>
  <c r="F183" i="6" s="1"/>
  <c r="G183" i="6" s="1"/>
  <c r="J492" i="6"/>
  <c r="L492" i="6" s="1"/>
  <c r="J192" i="6"/>
  <c r="L192" i="6" s="1"/>
  <c r="I174" i="4"/>
  <c r="J500" i="6"/>
  <c r="L500" i="6" s="1"/>
  <c r="J200" i="6"/>
  <c r="L200" i="6" s="1"/>
  <c r="I182" i="4"/>
  <c r="F199" i="6" s="1"/>
  <c r="G199" i="6" s="1"/>
  <c r="J508" i="6"/>
  <c r="L508" i="6" s="1"/>
  <c r="J208" i="6"/>
  <c r="L208" i="6" s="1"/>
  <c r="I190" i="4"/>
  <c r="F207" i="6" s="1"/>
  <c r="G207" i="6" s="1"/>
  <c r="J516" i="6"/>
  <c r="L516" i="6" s="1"/>
  <c r="J216" i="6"/>
  <c r="L216" i="6" s="1"/>
  <c r="I198" i="4"/>
  <c r="F214" i="6" s="1"/>
  <c r="G214" i="6" s="1"/>
  <c r="J624" i="6"/>
  <c r="L624" i="6" s="1"/>
  <c r="J224" i="6"/>
  <c r="L224" i="6" s="1"/>
  <c r="I206" i="4"/>
  <c r="F222" i="6" s="1"/>
  <c r="G222" i="6" s="1"/>
  <c r="J632" i="6"/>
  <c r="L632" i="6" s="1"/>
  <c r="J232" i="6"/>
  <c r="L232" i="6" s="1"/>
  <c r="I214" i="4"/>
  <c r="J640" i="6"/>
  <c r="L640" i="6" s="1"/>
  <c r="J240" i="6"/>
  <c r="L240" i="6" s="1"/>
  <c r="I222" i="4"/>
  <c r="F238" i="6" s="1"/>
  <c r="G238" i="6" s="1"/>
  <c r="J648" i="6"/>
  <c r="L648" i="6" s="1"/>
  <c r="J248" i="6"/>
  <c r="L248" i="6" s="1"/>
  <c r="I230" i="4"/>
  <c r="F246" i="6" s="1"/>
  <c r="G246" i="6" s="1"/>
  <c r="J656" i="6"/>
  <c r="L656" i="6" s="1"/>
  <c r="J256" i="6"/>
  <c r="L256" i="6" s="1"/>
  <c r="I238" i="4"/>
  <c r="J664" i="6"/>
  <c r="L664" i="6" s="1"/>
  <c r="J264" i="6"/>
  <c r="L264" i="6" s="1"/>
  <c r="I246" i="4"/>
  <c r="F261" i="6" s="1"/>
  <c r="G261" i="6" s="1"/>
  <c r="J672" i="6"/>
  <c r="L672" i="6" s="1"/>
  <c r="J272" i="6"/>
  <c r="L272" i="6" s="1"/>
  <c r="I254" i="4"/>
  <c r="F269" i="6" s="1"/>
  <c r="G269" i="6" s="1"/>
  <c r="J680" i="6"/>
  <c r="L680" i="6" s="1"/>
  <c r="J280" i="6"/>
  <c r="L280" i="6" s="1"/>
  <c r="I262" i="4"/>
  <c r="F277" i="6" s="1"/>
  <c r="G277" i="6" s="1"/>
  <c r="I270" i="4"/>
  <c r="F283" i="6" s="1"/>
  <c r="G283" i="6" s="1"/>
  <c r="I9" i="4"/>
  <c r="F32" i="6" s="1"/>
  <c r="G32" i="6" s="1"/>
  <c r="J35" i="6"/>
  <c r="L35" i="6" s="1"/>
  <c r="J65" i="6"/>
  <c r="L65" i="6" s="1"/>
  <c r="I17" i="4"/>
  <c r="F40" i="6" s="1"/>
  <c r="G40" i="6" s="1"/>
  <c r="J83" i="6"/>
  <c r="L83" i="6" s="1"/>
  <c r="J43" i="6"/>
  <c r="L43" i="6" s="1"/>
  <c r="I25" i="4"/>
  <c r="F48" i="6" s="1"/>
  <c r="G48" i="6" s="1"/>
  <c r="J91" i="6"/>
  <c r="L91" i="6" s="1"/>
  <c r="J51" i="6"/>
  <c r="L51" i="6" s="1"/>
  <c r="I33" i="4"/>
  <c r="F55" i="6" s="1"/>
  <c r="G55" i="6" s="1"/>
  <c r="L59" i="6"/>
  <c r="L75" i="6"/>
  <c r="L99" i="6"/>
  <c r="L107" i="6"/>
  <c r="L115" i="6"/>
  <c r="J123" i="6"/>
  <c r="L123" i="6" s="1"/>
  <c r="J423" i="6"/>
  <c r="L423" i="6" s="1"/>
  <c r="J431" i="6"/>
  <c r="L431" i="6" s="1"/>
  <c r="J131" i="6"/>
  <c r="L131" i="6" s="1"/>
  <c r="J439" i="6"/>
  <c r="L439" i="6" s="1"/>
  <c r="J139" i="6"/>
  <c r="L139" i="6" s="1"/>
  <c r="J447" i="6"/>
  <c r="L447" i="6" s="1"/>
  <c r="J147" i="6"/>
  <c r="L147" i="6" s="1"/>
  <c r="J455" i="6"/>
  <c r="L455" i="6" s="1"/>
  <c r="J155" i="6"/>
  <c r="L155" i="6" s="1"/>
  <c r="J463" i="6"/>
  <c r="L463" i="6" s="1"/>
  <c r="J163" i="6"/>
  <c r="L163" i="6" s="1"/>
  <c r="J471" i="6"/>
  <c r="L471" i="6" s="1"/>
  <c r="J171" i="6"/>
  <c r="L171" i="6" s="1"/>
  <c r="J479" i="6"/>
  <c r="L479" i="6" s="1"/>
  <c r="J179" i="6"/>
  <c r="L179" i="6" s="1"/>
  <c r="J487" i="6"/>
  <c r="L487" i="6" s="1"/>
  <c r="J187" i="6"/>
  <c r="L187" i="6" s="1"/>
  <c r="J495" i="6"/>
  <c r="L495" i="6" s="1"/>
  <c r="J195" i="6"/>
  <c r="L195" i="6" s="1"/>
  <c r="J503" i="6"/>
  <c r="L503" i="6" s="1"/>
  <c r="J203" i="6"/>
  <c r="L203" i="6" s="1"/>
  <c r="J511" i="6"/>
  <c r="L511" i="6" s="1"/>
  <c r="J211" i="6"/>
  <c r="L211" i="6" s="1"/>
  <c r="J519" i="6"/>
  <c r="L519" i="6" s="1"/>
  <c r="J219" i="6"/>
  <c r="L219" i="6" s="1"/>
  <c r="J627" i="6"/>
  <c r="L627" i="6" s="1"/>
  <c r="J227" i="6"/>
  <c r="L227" i="6" s="1"/>
  <c r="J635" i="6"/>
  <c r="L635" i="6" s="1"/>
  <c r="J235" i="6"/>
  <c r="L235" i="6" s="1"/>
  <c r="J643" i="6"/>
  <c r="L643" i="6" s="1"/>
  <c r="J243" i="6"/>
  <c r="L243" i="6" s="1"/>
  <c r="J651" i="6"/>
  <c r="L651" i="6" s="1"/>
  <c r="J251" i="6"/>
  <c r="L251" i="6" s="1"/>
  <c r="J659" i="6"/>
  <c r="L659" i="6" s="1"/>
  <c r="J259" i="6"/>
  <c r="L259" i="6" s="1"/>
  <c r="J667" i="6"/>
  <c r="L667" i="6" s="1"/>
  <c r="J267" i="6"/>
  <c r="L267" i="6" s="1"/>
  <c r="J675" i="6"/>
  <c r="L675" i="6" s="1"/>
  <c r="J275" i="6"/>
  <c r="L275" i="6" s="1"/>
  <c r="J683" i="6"/>
  <c r="L683" i="6" s="1"/>
  <c r="J283" i="6"/>
  <c r="L283" i="6" s="1"/>
  <c r="J691" i="6"/>
  <c r="L691" i="6" s="1"/>
  <c r="J291" i="6"/>
  <c r="L291" i="6" s="1"/>
  <c r="I278" i="4"/>
  <c r="F291" i="6" s="1"/>
  <c r="G291" i="6" s="1"/>
  <c r="J706" i="6"/>
  <c r="L706" i="6" s="1"/>
  <c r="J306" i="6"/>
  <c r="L306" i="6" s="1"/>
  <c r="J68" i="6"/>
  <c r="L68" i="6" s="1"/>
  <c r="J38" i="6"/>
  <c r="L38" i="6" s="1"/>
  <c r="J86" i="6"/>
  <c r="L86" i="6" s="1"/>
  <c r="J46" i="6"/>
  <c r="L46" i="6" s="1"/>
  <c r="L62" i="6"/>
  <c r="L78" i="6"/>
  <c r="L94" i="6"/>
  <c r="L110" i="6"/>
  <c r="L118" i="6"/>
  <c r="J426" i="6"/>
  <c r="L426" i="6" s="1"/>
  <c r="J126" i="6"/>
  <c r="L126" i="6" s="1"/>
  <c r="J434" i="6"/>
  <c r="L434" i="6" s="1"/>
  <c r="J134" i="6"/>
  <c r="L134" i="6" s="1"/>
  <c r="J442" i="6"/>
  <c r="L442" i="6" s="1"/>
  <c r="J142" i="6"/>
  <c r="L142" i="6" s="1"/>
  <c r="J450" i="6"/>
  <c r="L450" i="6" s="1"/>
  <c r="J150" i="6"/>
  <c r="L150" i="6" s="1"/>
  <c r="J458" i="6"/>
  <c r="L458" i="6" s="1"/>
  <c r="J158" i="6"/>
  <c r="L158" i="6" s="1"/>
  <c r="J466" i="6"/>
  <c r="L466" i="6" s="1"/>
  <c r="J166" i="6"/>
  <c r="L166" i="6" s="1"/>
  <c r="J474" i="6"/>
  <c r="L474" i="6" s="1"/>
  <c r="J174" i="6"/>
  <c r="L174" i="6" s="1"/>
  <c r="J482" i="6"/>
  <c r="L482" i="6" s="1"/>
  <c r="J182" i="6"/>
  <c r="L182" i="6" s="1"/>
  <c r="J490" i="6"/>
  <c r="L490" i="6" s="1"/>
  <c r="J190" i="6"/>
  <c r="L190" i="6" s="1"/>
  <c r="J498" i="6"/>
  <c r="L498" i="6" s="1"/>
  <c r="J198" i="6"/>
  <c r="L198" i="6" s="1"/>
  <c r="J506" i="6"/>
  <c r="L506" i="6" s="1"/>
  <c r="J206" i="6"/>
  <c r="L206" i="6" s="1"/>
  <c r="J514" i="6"/>
  <c r="L514" i="6" s="1"/>
  <c r="J214" i="6"/>
  <c r="L214" i="6" s="1"/>
  <c r="J522" i="6"/>
  <c r="L522" i="6" s="1"/>
  <c r="J222" i="6"/>
  <c r="L222" i="6" s="1"/>
  <c r="J630" i="6"/>
  <c r="L630" i="6" s="1"/>
  <c r="J230" i="6"/>
  <c r="L230" i="6" s="1"/>
  <c r="J638" i="6"/>
  <c r="L638" i="6" s="1"/>
  <c r="J238" i="6"/>
  <c r="L238" i="6" s="1"/>
  <c r="J646" i="6"/>
  <c r="L646" i="6" s="1"/>
  <c r="J246" i="6"/>
  <c r="L246" i="6" s="1"/>
  <c r="J654" i="6"/>
  <c r="L654" i="6" s="1"/>
  <c r="J254" i="6"/>
  <c r="L254" i="6" s="1"/>
  <c r="J662" i="6"/>
  <c r="L662" i="6" s="1"/>
  <c r="J262" i="6"/>
  <c r="L262" i="6" s="1"/>
  <c r="J670" i="6"/>
  <c r="L670" i="6" s="1"/>
  <c r="J270" i="6"/>
  <c r="L270" i="6" s="1"/>
  <c r="J678" i="6"/>
  <c r="L678" i="6" s="1"/>
  <c r="J278" i="6"/>
  <c r="L278" i="6" s="1"/>
  <c r="J686" i="6"/>
  <c r="L686" i="6" s="1"/>
  <c r="J286" i="6"/>
  <c r="L286" i="6" s="1"/>
  <c r="I268" i="4"/>
  <c r="F281" i="6" s="1"/>
  <c r="G281" i="6" s="1"/>
  <c r="J714" i="6"/>
  <c r="L714" i="6" s="1"/>
  <c r="J314" i="6"/>
  <c r="L314" i="6" s="1"/>
  <c r="I7" i="4"/>
  <c r="J63" i="6"/>
  <c r="L63" i="6" s="1"/>
  <c r="J33" i="6"/>
  <c r="L33" i="6" s="1"/>
  <c r="I15" i="4"/>
  <c r="F38" i="6" s="1"/>
  <c r="G38" i="6" s="1"/>
  <c r="J71" i="6"/>
  <c r="L71" i="6" s="1"/>
  <c r="J41" i="6"/>
  <c r="L41" i="6" s="1"/>
  <c r="I23" i="4"/>
  <c r="F46" i="6" s="1"/>
  <c r="G46" i="6" s="1"/>
  <c r="J89" i="6"/>
  <c r="L89" i="6" s="1"/>
  <c r="J49" i="6"/>
  <c r="L49" i="6" s="1"/>
  <c r="I31" i="4"/>
  <c r="L57" i="6"/>
  <c r="L73" i="6"/>
  <c r="L81" i="6"/>
  <c r="L97" i="6"/>
  <c r="L105" i="6"/>
  <c r="L113" i="6"/>
  <c r="L121" i="6"/>
  <c r="J429" i="6"/>
  <c r="L429" i="6" s="1"/>
  <c r="J129" i="6"/>
  <c r="L129" i="6" s="1"/>
  <c r="J437" i="6"/>
  <c r="L437" i="6" s="1"/>
  <c r="J137" i="6"/>
  <c r="L137" i="6" s="1"/>
  <c r="J445" i="6"/>
  <c r="L445" i="6" s="1"/>
  <c r="J145" i="6"/>
  <c r="L145" i="6" s="1"/>
  <c r="J453" i="6"/>
  <c r="L453" i="6" s="1"/>
  <c r="J153" i="6"/>
  <c r="L153" i="6" s="1"/>
  <c r="J461" i="6"/>
  <c r="L461" i="6" s="1"/>
  <c r="J161" i="6"/>
  <c r="L161" i="6" s="1"/>
  <c r="J469" i="6"/>
  <c r="L469" i="6" s="1"/>
  <c r="J169" i="6"/>
  <c r="L169" i="6" s="1"/>
  <c r="J477" i="6"/>
  <c r="L477" i="6" s="1"/>
  <c r="J177" i="6"/>
  <c r="L177" i="6" s="1"/>
  <c r="J485" i="6"/>
  <c r="L485" i="6" s="1"/>
  <c r="J185" i="6"/>
  <c r="L185" i="6" s="1"/>
  <c r="J493" i="6"/>
  <c r="L493" i="6" s="1"/>
  <c r="J193" i="6"/>
  <c r="L193" i="6" s="1"/>
  <c r="J501" i="6"/>
  <c r="L501" i="6" s="1"/>
  <c r="J201" i="6"/>
  <c r="L201" i="6" s="1"/>
  <c r="J509" i="6"/>
  <c r="L509" i="6" s="1"/>
  <c r="J209" i="6"/>
  <c r="L209" i="6" s="1"/>
  <c r="J517" i="6"/>
  <c r="L517" i="6" s="1"/>
  <c r="J217" i="6"/>
  <c r="L217" i="6" s="1"/>
  <c r="J625" i="6"/>
  <c r="L625" i="6" s="1"/>
  <c r="J225" i="6"/>
  <c r="L225" i="6" s="1"/>
  <c r="J633" i="6"/>
  <c r="L633" i="6" s="1"/>
  <c r="J233" i="6"/>
  <c r="L233" i="6" s="1"/>
  <c r="J641" i="6"/>
  <c r="L641" i="6" s="1"/>
  <c r="J241" i="6"/>
  <c r="L241" i="6" s="1"/>
  <c r="J649" i="6"/>
  <c r="L649" i="6" s="1"/>
  <c r="J249" i="6"/>
  <c r="L249" i="6" s="1"/>
  <c r="J657" i="6"/>
  <c r="L657" i="6" s="1"/>
  <c r="J257" i="6"/>
  <c r="L257" i="6" s="1"/>
  <c r="J665" i="6"/>
  <c r="L665" i="6" s="1"/>
  <c r="J265" i="6"/>
  <c r="L265" i="6" s="1"/>
  <c r="J673" i="6"/>
  <c r="L673" i="6" s="1"/>
  <c r="J273" i="6"/>
  <c r="L273" i="6" s="1"/>
  <c r="J681" i="6"/>
  <c r="L681" i="6" s="1"/>
  <c r="J281" i="6"/>
  <c r="L281" i="6" s="1"/>
  <c r="J689" i="6"/>
  <c r="L689" i="6" s="1"/>
  <c r="J289" i="6"/>
  <c r="L289" i="6" s="1"/>
  <c r="I286" i="4"/>
  <c r="H1031" i="6"/>
  <c r="H1032" i="6"/>
  <c r="H1033" i="6"/>
  <c r="F1031" i="6"/>
  <c r="G1031" i="6" s="1"/>
  <c r="H1025" i="6"/>
  <c r="H1017" i="6"/>
  <c r="F1015" i="6"/>
  <c r="G1015" i="6" s="1"/>
  <c r="H1009" i="6"/>
  <c r="H1001" i="6"/>
  <c r="H993" i="6"/>
  <c r="H985" i="6"/>
  <c r="F983" i="6"/>
  <c r="G983" i="6" s="1"/>
  <c r="H977" i="6"/>
  <c r="H969" i="6"/>
  <c r="H1034" i="6"/>
  <c r="H1026" i="6"/>
  <c r="H1018" i="6"/>
  <c r="H1010" i="6"/>
  <c r="H1002" i="6"/>
  <c r="H994" i="6"/>
  <c r="H986" i="6"/>
  <c r="F984" i="6"/>
  <c r="G984" i="6" s="1"/>
  <c r="H978" i="6"/>
  <c r="H970" i="6"/>
  <c r="H962" i="6"/>
  <c r="H1035" i="6"/>
  <c r="F1034" i="6"/>
  <c r="G1034" i="6" s="1"/>
  <c r="H1028" i="6"/>
  <c r="F1026" i="6"/>
  <c r="G1026" i="6" s="1"/>
  <c r="H1020" i="6"/>
  <c r="H1012" i="6"/>
  <c r="H1004" i="6"/>
  <c r="H996" i="6"/>
  <c r="H988" i="6"/>
  <c r="H980" i="6"/>
  <c r="H972" i="6"/>
  <c r="H964" i="6"/>
  <c r="H956" i="6"/>
  <c r="H948" i="6"/>
  <c r="F946" i="6"/>
  <c r="G946" i="6" s="1"/>
  <c r="H940" i="6"/>
  <c r="F1035" i="6"/>
  <c r="G1035" i="6" s="1"/>
  <c r="H1029" i="6"/>
  <c r="F1027" i="6"/>
  <c r="G1027" i="6" s="1"/>
  <c r="H1021" i="6"/>
  <c r="H1013" i="6"/>
  <c r="H1005" i="6"/>
  <c r="H997" i="6"/>
  <c r="F995" i="6"/>
  <c r="G995" i="6" s="1"/>
  <c r="H989" i="6"/>
  <c r="F987" i="6"/>
  <c r="G987" i="6" s="1"/>
  <c r="H981" i="6"/>
  <c r="H973" i="6"/>
  <c r="H965" i="6"/>
  <c r="H957" i="6"/>
  <c r="H949" i="6"/>
  <c r="F947" i="6"/>
  <c r="G947" i="6" s="1"/>
  <c r="H941" i="6"/>
  <c r="H1030" i="6"/>
  <c r="H960" i="6"/>
  <c r="H942" i="6"/>
  <c r="H934" i="6"/>
  <c r="H926" i="6"/>
  <c r="H918" i="6"/>
  <c r="F916" i="6"/>
  <c r="G916" i="6" s="1"/>
  <c r="H910" i="6"/>
  <c r="H902" i="6"/>
  <c r="H894" i="6"/>
  <c r="H886" i="6"/>
  <c r="H878" i="6"/>
  <c r="H870" i="6"/>
  <c r="H1022" i="6"/>
  <c r="H1014" i="6"/>
  <c r="H1006" i="6"/>
  <c r="H998" i="6"/>
  <c r="H990" i="6"/>
  <c r="H982" i="6"/>
  <c r="H974" i="6"/>
  <c r="H958" i="6"/>
  <c r="H955" i="6"/>
  <c r="H952" i="6"/>
  <c r="H939" i="6"/>
  <c r="H935" i="6"/>
  <c r="H927" i="6"/>
  <c r="H1024" i="6"/>
  <c r="H1016" i="6"/>
  <c r="H1008" i="6"/>
  <c r="H1000" i="6"/>
  <c r="H992" i="6"/>
  <c r="H984" i="6"/>
  <c r="H976" i="6"/>
  <c r="H968" i="6"/>
  <c r="H963" i="6"/>
  <c r="H946" i="6"/>
  <c r="H936" i="6"/>
  <c r="H928" i="6"/>
  <c r="H920" i="6"/>
  <c r="H912" i="6"/>
  <c r="H904" i="6"/>
  <c r="F1030" i="6"/>
  <c r="G1030" i="6" s="1"/>
  <c r="F1022" i="6"/>
  <c r="G1022" i="6" s="1"/>
  <c r="F1014" i="6"/>
  <c r="G1014" i="6" s="1"/>
  <c r="F1012" i="6"/>
  <c r="G1012" i="6" s="1"/>
  <c r="H966" i="6"/>
  <c r="H961" i="6"/>
  <c r="H953" i="6"/>
  <c r="H943" i="6"/>
  <c r="H929" i="6"/>
  <c r="F927" i="6"/>
  <c r="G927" i="6" s="1"/>
  <c r="F966" i="6"/>
  <c r="G966" i="6" s="1"/>
  <c r="H959" i="6"/>
  <c r="H947" i="6"/>
  <c r="H944" i="6"/>
  <c r="H931" i="6"/>
  <c r="H923" i="6"/>
  <c r="F921" i="6"/>
  <c r="G921" i="6" s="1"/>
  <c r="H915" i="6"/>
  <c r="H907" i="6"/>
  <c r="H899" i="6"/>
  <c r="H891" i="6"/>
  <c r="H883" i="6"/>
  <c r="F881" i="6"/>
  <c r="G881" i="6" s="1"/>
  <c r="H875" i="6"/>
  <c r="F873" i="6"/>
  <c r="G873" i="6" s="1"/>
  <c r="H1027" i="6"/>
  <c r="H1023" i="6"/>
  <c r="H1019" i="6"/>
  <c r="H1015" i="6"/>
  <c r="H1011" i="6"/>
  <c r="H1007" i="6"/>
  <c r="H1003" i="6"/>
  <c r="H999" i="6"/>
  <c r="H995" i="6"/>
  <c r="H991" i="6"/>
  <c r="H987" i="6"/>
  <c r="H983" i="6"/>
  <c r="H979" i="6"/>
  <c r="H975" i="6"/>
  <c r="H971" i="6"/>
  <c r="H954" i="6"/>
  <c r="H938" i="6"/>
  <c r="F909" i="6"/>
  <c r="G909" i="6" s="1"/>
  <c r="H896" i="6"/>
  <c r="H880" i="6"/>
  <c r="H865" i="6"/>
  <c r="H857" i="6"/>
  <c r="H849" i="6"/>
  <c r="H841" i="6"/>
  <c r="H833" i="6"/>
  <c r="H825" i="6"/>
  <c r="H817" i="6"/>
  <c r="H950" i="6"/>
  <c r="H930" i="6"/>
  <c r="H922" i="6"/>
  <c r="H917" i="6"/>
  <c r="H893" i="6"/>
  <c r="H890" i="6"/>
  <c r="H887" i="6"/>
  <c r="F883" i="6"/>
  <c r="G883" i="6" s="1"/>
  <c r="H877" i="6"/>
  <c r="H874" i="6"/>
  <c r="H871" i="6"/>
  <c r="H866" i="6"/>
  <c r="H858" i="6"/>
  <c r="H850" i="6"/>
  <c r="H932" i="6"/>
  <c r="F912" i="6"/>
  <c r="G912" i="6" s="1"/>
  <c r="H905" i="6"/>
  <c r="H900" i="6"/>
  <c r="H884" i="6"/>
  <c r="H867" i="6"/>
  <c r="H859" i="6"/>
  <c r="H851" i="6"/>
  <c r="F940" i="6"/>
  <c r="G940" i="6" s="1"/>
  <c r="H937" i="6"/>
  <c r="H925" i="6"/>
  <c r="H908" i="6"/>
  <c r="H903" i="6"/>
  <c r="H897" i="6"/>
  <c r="H881" i="6"/>
  <c r="H860" i="6"/>
  <c r="H852" i="6"/>
  <c r="H844" i="6"/>
  <c r="H836" i="6"/>
  <c r="H828" i="6"/>
  <c r="H913" i="6"/>
  <c r="H888" i="6"/>
  <c r="H872" i="6"/>
  <c r="H868" i="6"/>
  <c r="F867" i="6"/>
  <c r="G867" i="6" s="1"/>
  <c r="H861" i="6"/>
  <c r="F859" i="6"/>
  <c r="G859" i="6" s="1"/>
  <c r="H853" i="6"/>
  <c r="H845" i="6"/>
  <c r="H837" i="6"/>
  <c r="H829" i="6"/>
  <c r="H821" i="6"/>
  <c r="H916" i="6"/>
  <c r="H911" i="6"/>
  <c r="H906" i="6"/>
  <c r="H901" i="6"/>
  <c r="H898" i="6"/>
  <c r="H895" i="6"/>
  <c r="H885" i="6"/>
  <c r="H882" i="6"/>
  <c r="H879" i="6"/>
  <c r="H862" i="6"/>
  <c r="F860" i="6"/>
  <c r="G860" i="6" s="1"/>
  <c r="H854" i="6"/>
  <c r="H846" i="6"/>
  <c r="H838" i="6"/>
  <c r="H967" i="6"/>
  <c r="H945" i="6"/>
  <c r="H921" i="6"/>
  <c r="H892" i="6"/>
  <c r="H876" i="6"/>
  <c r="H869" i="6"/>
  <c r="H863" i="6"/>
  <c r="H855" i="6"/>
  <c r="H847" i="6"/>
  <c r="H839" i="6"/>
  <c r="H843" i="6"/>
  <c r="F830" i="6"/>
  <c r="G830" i="6" s="1"/>
  <c r="H822" i="6"/>
  <c r="H810" i="6"/>
  <c r="H802" i="6"/>
  <c r="H794" i="6"/>
  <c r="H786" i="6"/>
  <c r="H778" i="6"/>
  <c r="F776" i="6"/>
  <c r="G776" i="6" s="1"/>
  <c r="H770" i="6"/>
  <c r="H762" i="6"/>
  <c r="H754" i="6"/>
  <c r="H746" i="6"/>
  <c r="H738" i="6"/>
  <c r="H730" i="6"/>
  <c r="H722" i="6"/>
  <c r="H714" i="6"/>
  <c r="H933" i="6"/>
  <c r="H864" i="6"/>
  <c r="F825" i="6"/>
  <c r="G825" i="6" s="1"/>
  <c r="H819" i="6"/>
  <c r="H811" i="6"/>
  <c r="H803" i="6"/>
  <c r="H795" i="6"/>
  <c r="F793" i="6"/>
  <c r="G793" i="6" s="1"/>
  <c r="H787" i="6"/>
  <c r="H779" i="6"/>
  <c r="H771" i="6"/>
  <c r="H763" i="6"/>
  <c r="H755" i="6"/>
  <c r="H747" i="6"/>
  <c r="H739" i="6"/>
  <c r="H909" i="6"/>
  <c r="H889" i="6"/>
  <c r="H840" i="6"/>
  <c r="F838" i="6"/>
  <c r="G838" i="6" s="1"/>
  <c r="H831" i="6"/>
  <c r="H826" i="6"/>
  <c r="H816" i="6"/>
  <c r="H812" i="6"/>
  <c r="H804" i="6"/>
  <c r="F802" i="6"/>
  <c r="G802" i="6" s="1"/>
  <c r="H796" i="6"/>
  <c r="F794" i="6"/>
  <c r="G794" i="6" s="1"/>
  <c r="H788" i="6"/>
  <c r="H780" i="6"/>
  <c r="H772" i="6"/>
  <c r="H764" i="6"/>
  <c r="H756" i="6"/>
  <c r="F754" i="6"/>
  <c r="G754" i="6" s="1"/>
  <c r="H748" i="6"/>
  <c r="H740" i="6"/>
  <c r="H914" i="6"/>
  <c r="H873" i="6"/>
  <c r="H842" i="6"/>
  <c r="H834" i="6"/>
  <c r="H823" i="6"/>
  <c r="H813" i="6"/>
  <c r="H805" i="6"/>
  <c r="H797" i="6"/>
  <c r="H789" i="6"/>
  <c r="H781" i="6"/>
  <c r="F779" i="6"/>
  <c r="G779" i="6" s="1"/>
  <c r="H773" i="6"/>
  <c r="H765" i="6"/>
  <c r="H757" i="6"/>
  <c r="H749" i="6"/>
  <c r="H951" i="6"/>
  <c r="F931" i="6"/>
  <c r="G931" i="6" s="1"/>
  <c r="H919" i="6"/>
  <c r="H820" i="6"/>
  <c r="H814" i="6"/>
  <c r="H806" i="6"/>
  <c r="H798" i="6"/>
  <c r="F796" i="6"/>
  <c r="G796" i="6" s="1"/>
  <c r="H790" i="6"/>
  <c r="H782" i="6"/>
  <c r="H774" i="6"/>
  <c r="H766" i="6"/>
  <c r="H758" i="6"/>
  <c r="H750" i="6"/>
  <c r="H742" i="6"/>
  <c r="H734" i="6"/>
  <c r="F732" i="6"/>
  <c r="G732" i="6" s="1"/>
  <c r="H726" i="6"/>
  <c r="H718" i="6"/>
  <c r="H710" i="6"/>
  <c r="H924" i="6"/>
  <c r="H848" i="6"/>
  <c r="H832" i="6"/>
  <c r="H827" i="6"/>
  <c r="F820" i="6"/>
  <c r="G820" i="6" s="1"/>
  <c r="H807" i="6"/>
  <c r="F805" i="6"/>
  <c r="G805" i="6" s="1"/>
  <c r="H799" i="6"/>
  <c r="H791" i="6"/>
  <c r="F789" i="6"/>
  <c r="G789" i="6" s="1"/>
  <c r="H783" i="6"/>
  <c r="H775" i="6"/>
  <c r="H767" i="6"/>
  <c r="H759" i="6"/>
  <c r="H751" i="6"/>
  <c r="F749" i="6"/>
  <c r="G749" i="6" s="1"/>
  <c r="H743" i="6"/>
  <c r="H735" i="6"/>
  <c r="H727" i="6"/>
  <c r="H830" i="6"/>
  <c r="H824" i="6"/>
  <c r="H818" i="6"/>
  <c r="H808" i="6"/>
  <c r="H800" i="6"/>
  <c r="H792" i="6"/>
  <c r="H784" i="6"/>
  <c r="H776" i="6"/>
  <c r="H768" i="6"/>
  <c r="H760" i="6"/>
  <c r="H752" i="6"/>
  <c r="H744" i="6"/>
  <c r="H736" i="6"/>
  <c r="H728" i="6"/>
  <c r="H745" i="6"/>
  <c r="H724" i="6"/>
  <c r="H708" i="6"/>
  <c r="H703" i="6"/>
  <c r="H695" i="6"/>
  <c r="H687" i="6"/>
  <c r="H679" i="6"/>
  <c r="H671" i="6"/>
  <c r="H663" i="6"/>
  <c r="H655" i="6"/>
  <c r="F653" i="6"/>
  <c r="G653" i="6" s="1"/>
  <c r="H647" i="6"/>
  <c r="H639" i="6"/>
  <c r="H785" i="6"/>
  <c r="H753" i="6"/>
  <c r="H731" i="6"/>
  <c r="H721" i="6"/>
  <c r="H715" i="6"/>
  <c r="H704" i="6"/>
  <c r="H696" i="6"/>
  <c r="H688" i="6"/>
  <c r="H680" i="6"/>
  <c r="F678" i="6"/>
  <c r="G678" i="6" s="1"/>
  <c r="H672" i="6"/>
  <c r="H664" i="6"/>
  <c r="H656" i="6"/>
  <c r="F654" i="6"/>
  <c r="G654" i="6" s="1"/>
  <c r="H648" i="6"/>
  <c r="H640" i="6"/>
  <c r="H741" i="6"/>
  <c r="H729" i="6"/>
  <c r="F721" i="6"/>
  <c r="G721" i="6" s="1"/>
  <c r="H712" i="6"/>
  <c r="H697" i="6"/>
  <c r="H689" i="6"/>
  <c r="F687" i="6"/>
  <c r="G687" i="6" s="1"/>
  <c r="H681" i="6"/>
  <c r="H673" i="6"/>
  <c r="H665" i="6"/>
  <c r="H657" i="6"/>
  <c r="H649" i="6"/>
  <c r="F647" i="6"/>
  <c r="G647" i="6" s="1"/>
  <c r="H641" i="6"/>
  <c r="F807" i="6"/>
  <c r="G807" i="6" s="1"/>
  <c r="H793" i="6"/>
  <c r="H761" i="6"/>
  <c r="H733" i="6"/>
  <c r="F731" i="6"/>
  <c r="G731" i="6" s="1"/>
  <c r="H725" i="6"/>
  <c r="H719" i="6"/>
  <c r="H709" i="6"/>
  <c r="H705" i="6"/>
  <c r="F704" i="6"/>
  <c r="G704" i="6" s="1"/>
  <c r="H698" i="6"/>
  <c r="H690" i="6"/>
  <c r="H682" i="6"/>
  <c r="H674" i="6"/>
  <c r="H666" i="6"/>
  <c r="H658" i="6"/>
  <c r="H815" i="6"/>
  <c r="H801" i="6"/>
  <c r="F783" i="6"/>
  <c r="G783" i="6" s="1"/>
  <c r="H769" i="6"/>
  <c r="H732" i="6"/>
  <c r="H723" i="6"/>
  <c r="F719" i="6"/>
  <c r="G719" i="6" s="1"/>
  <c r="H713" i="6"/>
  <c r="H700" i="6"/>
  <c r="H692" i="6"/>
  <c r="F690" i="6"/>
  <c r="G690" i="6" s="1"/>
  <c r="H684" i="6"/>
  <c r="H676" i="6"/>
  <c r="H668" i="6"/>
  <c r="H660" i="6"/>
  <c r="H652" i="6"/>
  <c r="H835" i="6"/>
  <c r="H737" i="6"/>
  <c r="H720" i="6"/>
  <c r="H707" i="6"/>
  <c r="H701" i="6"/>
  <c r="H693" i="6"/>
  <c r="H685" i="6"/>
  <c r="H677" i="6"/>
  <c r="F675" i="6"/>
  <c r="G675" i="6" s="1"/>
  <c r="H669" i="6"/>
  <c r="F667" i="6"/>
  <c r="G667" i="6" s="1"/>
  <c r="H661" i="6"/>
  <c r="H653" i="6"/>
  <c r="H711" i="6"/>
  <c r="F644" i="6"/>
  <c r="G644" i="6" s="1"/>
  <c r="H642" i="6"/>
  <c r="H637" i="6"/>
  <c r="H627" i="6"/>
  <c r="H619" i="6"/>
  <c r="F617" i="6"/>
  <c r="G617" i="6" s="1"/>
  <c r="H611" i="6"/>
  <c r="H603" i="6"/>
  <c r="F601" i="6"/>
  <c r="G601" i="6" s="1"/>
  <c r="H595" i="6"/>
  <c r="H587" i="6"/>
  <c r="H579" i="6"/>
  <c r="H571" i="6"/>
  <c r="F569" i="6"/>
  <c r="G569" i="6" s="1"/>
  <c r="H563" i="6"/>
  <c r="H555" i="6"/>
  <c r="H547" i="6"/>
  <c r="F545" i="6"/>
  <c r="G545" i="6" s="1"/>
  <c r="H539" i="6"/>
  <c r="H531" i="6"/>
  <c r="H523" i="6"/>
  <c r="H694" i="6"/>
  <c r="H691" i="6"/>
  <c r="H678" i="6"/>
  <c r="H675" i="6"/>
  <c r="H662" i="6"/>
  <c r="H659" i="6"/>
  <c r="H651" i="6"/>
  <c r="H645" i="6"/>
  <c r="H634" i="6"/>
  <c r="H628" i="6"/>
  <c r="F626" i="6"/>
  <c r="G626" i="6" s="1"/>
  <c r="H620" i="6"/>
  <c r="H612" i="6"/>
  <c r="H604" i="6"/>
  <c r="F602" i="6"/>
  <c r="G602" i="6" s="1"/>
  <c r="H596" i="6"/>
  <c r="H588" i="6"/>
  <c r="F586" i="6"/>
  <c r="G586" i="6" s="1"/>
  <c r="H580" i="6"/>
  <c r="F722" i="6"/>
  <c r="G722" i="6" s="1"/>
  <c r="F665" i="6"/>
  <c r="G665" i="6" s="1"/>
  <c r="H629" i="6"/>
  <c r="H621" i="6"/>
  <c r="H613" i="6"/>
  <c r="H605" i="6"/>
  <c r="F603" i="6"/>
  <c r="G603" i="6" s="1"/>
  <c r="H597" i="6"/>
  <c r="H589" i="6"/>
  <c r="H581" i="6"/>
  <c r="H573" i="6"/>
  <c r="H565" i="6"/>
  <c r="F563" i="6"/>
  <c r="G563" i="6" s="1"/>
  <c r="H557" i="6"/>
  <c r="F555" i="6"/>
  <c r="G555" i="6" s="1"/>
  <c r="F700" i="6"/>
  <c r="G700" i="6" s="1"/>
  <c r="H643" i="6"/>
  <c r="H638" i="6"/>
  <c r="H635" i="6"/>
  <c r="H630" i="6"/>
  <c r="H622" i="6"/>
  <c r="H614" i="6"/>
  <c r="H606" i="6"/>
  <c r="H598" i="6"/>
  <c r="H590" i="6"/>
  <c r="H582" i="6"/>
  <c r="H574" i="6"/>
  <c r="H777" i="6"/>
  <c r="H717" i="6"/>
  <c r="H706" i="6"/>
  <c r="H631" i="6"/>
  <c r="H623" i="6"/>
  <c r="H615" i="6"/>
  <c r="H607" i="6"/>
  <c r="H599" i="6"/>
  <c r="H591" i="6"/>
  <c r="F589" i="6"/>
  <c r="G589" i="6" s="1"/>
  <c r="H583" i="6"/>
  <c r="H575" i="6"/>
  <c r="F573" i="6"/>
  <c r="G573" i="6" s="1"/>
  <c r="H567" i="6"/>
  <c r="H559" i="6"/>
  <c r="F557" i="6"/>
  <c r="G557" i="6" s="1"/>
  <c r="H551" i="6"/>
  <c r="H543" i="6"/>
  <c r="H535" i="6"/>
  <c r="H527" i="6"/>
  <c r="H856" i="6"/>
  <c r="H702" i="6"/>
  <c r="H699" i="6"/>
  <c r="H686" i="6"/>
  <c r="H683" i="6"/>
  <c r="H670" i="6"/>
  <c r="H667" i="6"/>
  <c r="H650" i="6"/>
  <c r="F648" i="6"/>
  <c r="G648" i="6" s="1"/>
  <c r="H646" i="6"/>
  <c r="F643" i="6"/>
  <c r="G643" i="6" s="1"/>
  <c r="H636" i="6"/>
  <c r="H632" i="6"/>
  <c r="F630" i="6"/>
  <c r="G630" i="6" s="1"/>
  <c r="H624" i="6"/>
  <c r="H809" i="6"/>
  <c r="H716" i="6"/>
  <c r="H654" i="6"/>
  <c r="F652" i="6"/>
  <c r="G652" i="6" s="1"/>
  <c r="H644" i="6"/>
  <c r="H625" i="6"/>
  <c r="H617" i="6"/>
  <c r="H609" i="6"/>
  <c r="F607" i="6"/>
  <c r="G607" i="6" s="1"/>
  <c r="H601" i="6"/>
  <c r="F599" i="6"/>
  <c r="G599" i="6" s="1"/>
  <c r="H593" i="6"/>
  <c r="F591" i="6"/>
  <c r="G591" i="6" s="1"/>
  <c r="H585" i="6"/>
  <c r="H577" i="6"/>
  <c r="H569" i="6"/>
  <c r="H561" i="6"/>
  <c r="F559" i="6"/>
  <c r="G559" i="6" s="1"/>
  <c r="H553" i="6"/>
  <c r="H633" i="6"/>
  <c r="H616" i="6"/>
  <c r="H600" i="6"/>
  <c r="H584" i="6"/>
  <c r="H548" i="6"/>
  <c r="H538" i="6"/>
  <c r="H532" i="6"/>
  <c r="H521" i="6"/>
  <c r="F519" i="6"/>
  <c r="G519" i="6" s="1"/>
  <c r="H513" i="6"/>
  <c r="F511" i="6"/>
  <c r="G511" i="6" s="1"/>
  <c r="H505" i="6"/>
  <c r="H497" i="6"/>
  <c r="H489" i="6"/>
  <c r="F487" i="6"/>
  <c r="G487" i="6" s="1"/>
  <c r="H481" i="6"/>
  <c r="H473" i="6"/>
  <c r="H465" i="6"/>
  <c r="F463" i="6"/>
  <c r="G463" i="6" s="1"/>
  <c r="H457" i="6"/>
  <c r="H449" i="6"/>
  <c r="H441" i="6"/>
  <c r="H433" i="6"/>
  <c r="H425" i="6"/>
  <c r="H417" i="6"/>
  <c r="F415" i="6"/>
  <c r="G415" i="6" s="1"/>
  <c r="F616" i="6"/>
  <c r="G616" i="6" s="1"/>
  <c r="H570" i="6"/>
  <c r="H568" i="6"/>
  <c r="H566" i="6"/>
  <c r="H564" i="6"/>
  <c r="H562" i="6"/>
  <c r="H560" i="6"/>
  <c r="H558" i="6"/>
  <c r="H556" i="6"/>
  <c r="H554" i="6"/>
  <c r="F551" i="6"/>
  <c r="G551" i="6" s="1"/>
  <c r="H545" i="6"/>
  <c r="F538" i="6"/>
  <c r="G538" i="6" s="1"/>
  <c r="F535" i="6"/>
  <c r="G535" i="6" s="1"/>
  <c r="H529" i="6"/>
  <c r="H522" i="6"/>
  <c r="H514" i="6"/>
  <c r="H506" i="6"/>
  <c r="H498" i="6"/>
  <c r="F632" i="6"/>
  <c r="G632" i="6" s="1"/>
  <c r="F590" i="6"/>
  <c r="G590" i="6" s="1"/>
  <c r="H572" i="6"/>
  <c r="F570" i="6"/>
  <c r="G570" i="6" s="1"/>
  <c r="H552" i="6"/>
  <c r="H542" i="6"/>
  <c r="H536" i="6"/>
  <c r="H526" i="6"/>
  <c r="H515" i="6"/>
  <c r="F513" i="6"/>
  <c r="G513" i="6" s="1"/>
  <c r="H507" i="6"/>
  <c r="H499" i="6"/>
  <c r="F497" i="6"/>
  <c r="G497" i="6" s="1"/>
  <c r="H491" i="6"/>
  <c r="F489" i="6"/>
  <c r="G489" i="6" s="1"/>
  <c r="H483" i="6"/>
  <c r="H475" i="6"/>
  <c r="H467" i="6"/>
  <c r="H459" i="6"/>
  <c r="H451" i="6"/>
  <c r="H443" i="6"/>
  <c r="F441" i="6"/>
  <c r="G441" i="6" s="1"/>
  <c r="H435" i="6"/>
  <c r="H427" i="6"/>
  <c r="H419" i="6"/>
  <c r="H618" i="6"/>
  <c r="H602" i="6"/>
  <c r="H586" i="6"/>
  <c r="H549" i="6"/>
  <c r="H533" i="6"/>
  <c r="H516" i="6"/>
  <c r="H508" i="6"/>
  <c r="H500" i="6"/>
  <c r="H492" i="6"/>
  <c r="H484" i="6"/>
  <c r="H476" i="6"/>
  <c r="H468" i="6"/>
  <c r="H460" i="6"/>
  <c r="H452" i="6"/>
  <c r="F608" i="6"/>
  <c r="G608" i="6" s="1"/>
  <c r="H576" i="6"/>
  <c r="H537" i="6"/>
  <c r="H518" i="6"/>
  <c r="H510" i="6"/>
  <c r="H502" i="6"/>
  <c r="F500" i="6"/>
  <c r="G500" i="6" s="1"/>
  <c r="H494" i="6"/>
  <c r="H486" i="6"/>
  <c r="H478" i="6"/>
  <c r="F476" i="6"/>
  <c r="G476" i="6" s="1"/>
  <c r="H470" i="6"/>
  <c r="H462" i="6"/>
  <c r="H454" i="6"/>
  <c r="H446" i="6"/>
  <c r="F444" i="6"/>
  <c r="G444" i="6" s="1"/>
  <c r="H550" i="6"/>
  <c r="H544" i="6"/>
  <c r="H534" i="6"/>
  <c r="H528" i="6"/>
  <c r="F524" i="6"/>
  <c r="G524" i="6" s="1"/>
  <c r="H519" i="6"/>
  <c r="H511" i="6"/>
  <c r="H503" i="6"/>
  <c r="F501" i="6"/>
  <c r="G501" i="6" s="1"/>
  <c r="H495" i="6"/>
  <c r="H487" i="6"/>
  <c r="H479" i="6"/>
  <c r="H471" i="6"/>
  <c r="H463" i="6"/>
  <c r="H455" i="6"/>
  <c r="H447" i="6"/>
  <c r="F445" i="6"/>
  <c r="G445" i="6" s="1"/>
  <c r="H439" i="6"/>
  <c r="H431" i="6"/>
  <c r="F429" i="6"/>
  <c r="G429" i="6" s="1"/>
  <c r="H423" i="6"/>
  <c r="F421" i="6"/>
  <c r="G421" i="6" s="1"/>
  <c r="H415" i="6"/>
  <c r="H407" i="6"/>
  <c r="F405" i="6"/>
  <c r="G405" i="6" s="1"/>
  <c r="H399" i="6"/>
  <c r="H391" i="6"/>
  <c r="H383" i="6"/>
  <c r="H541" i="6"/>
  <c r="F510" i="6"/>
  <c r="G510" i="6" s="1"/>
  <c r="F475" i="6"/>
  <c r="G475" i="6" s="1"/>
  <c r="H440" i="6"/>
  <c r="H430" i="6"/>
  <c r="H402" i="6"/>
  <c r="F401" i="6"/>
  <c r="G401" i="6" s="1"/>
  <c r="H393" i="6"/>
  <c r="H384" i="6"/>
  <c r="F383" i="6"/>
  <c r="G383" i="6" s="1"/>
  <c r="H379" i="6"/>
  <c r="H371" i="6"/>
  <c r="H363" i="6"/>
  <c r="H355" i="6"/>
  <c r="H347" i="6"/>
  <c r="F345" i="6"/>
  <c r="G345" i="6" s="1"/>
  <c r="H339" i="6"/>
  <c r="H331" i="6"/>
  <c r="H323" i="6"/>
  <c r="H315" i="6"/>
  <c r="H307" i="6"/>
  <c r="H299" i="6"/>
  <c r="H291" i="6"/>
  <c r="H283" i="6"/>
  <c r="H275" i="6"/>
  <c r="H267" i="6"/>
  <c r="H259" i="6"/>
  <c r="H251" i="6"/>
  <c r="H608" i="6"/>
  <c r="H530" i="6"/>
  <c r="H482" i="6"/>
  <c r="H477" i="6"/>
  <c r="H472" i="6"/>
  <c r="H450" i="6"/>
  <c r="H428" i="6"/>
  <c r="H418" i="6"/>
  <c r="H412" i="6"/>
  <c r="H403" i="6"/>
  <c r="H398" i="6"/>
  <c r="H389" i="6"/>
  <c r="H380" i="6"/>
  <c r="H372" i="6"/>
  <c r="H364" i="6"/>
  <c r="H356" i="6"/>
  <c r="H348" i="6"/>
  <c r="F346" i="6"/>
  <c r="G346" i="6" s="1"/>
  <c r="H340" i="6"/>
  <c r="H332" i="6"/>
  <c r="H324" i="6"/>
  <c r="H316" i="6"/>
  <c r="H308" i="6"/>
  <c r="H300" i="6"/>
  <c r="F298" i="6"/>
  <c r="G298" i="6" s="1"/>
  <c r="H292" i="6"/>
  <c r="H284" i="6"/>
  <c r="H276" i="6"/>
  <c r="H268" i="6"/>
  <c r="H260" i="6"/>
  <c r="H252" i="6"/>
  <c r="H578" i="6"/>
  <c r="H540" i="6"/>
  <c r="H525" i="6"/>
  <c r="H512" i="6"/>
  <c r="H509" i="6"/>
  <c r="H445" i="6"/>
  <c r="H438" i="6"/>
  <c r="H421" i="6"/>
  <c r="F418" i="6"/>
  <c r="G418" i="6" s="1"/>
  <c r="H416" i="6"/>
  <c r="H408" i="6"/>
  <c r="F402" i="6"/>
  <c r="G402" i="6" s="1"/>
  <c r="H394" i="6"/>
  <c r="H385" i="6"/>
  <c r="H373" i="6"/>
  <c r="H365" i="6"/>
  <c r="F363" i="6"/>
  <c r="G363" i="6" s="1"/>
  <c r="H357" i="6"/>
  <c r="H349" i="6"/>
  <c r="F347" i="6"/>
  <c r="G347" i="6" s="1"/>
  <c r="H341" i="6"/>
  <c r="F339" i="6"/>
  <c r="G339" i="6" s="1"/>
  <c r="H333" i="6"/>
  <c r="F331" i="6"/>
  <c r="G331" i="6" s="1"/>
  <c r="H325" i="6"/>
  <c r="H317" i="6"/>
  <c r="F315" i="6"/>
  <c r="G315" i="6" s="1"/>
  <c r="H309" i="6"/>
  <c r="H301" i="6"/>
  <c r="H293" i="6"/>
  <c r="H285" i="6"/>
  <c r="H277" i="6"/>
  <c r="H626" i="6"/>
  <c r="H496" i="6"/>
  <c r="H474" i="6"/>
  <c r="H469" i="6"/>
  <c r="H464" i="6"/>
  <c r="H436" i="6"/>
  <c r="H426" i="6"/>
  <c r="H413" i="6"/>
  <c r="H404" i="6"/>
  <c r="H395" i="6"/>
  <c r="H390" i="6"/>
  <c r="H381" i="6"/>
  <c r="H374" i="6"/>
  <c r="H366" i="6"/>
  <c r="H358" i="6"/>
  <c r="H350" i="6"/>
  <c r="H342" i="6"/>
  <c r="H334" i="6"/>
  <c r="H326" i="6"/>
  <c r="F324" i="6"/>
  <c r="G324" i="6" s="1"/>
  <c r="H318" i="6"/>
  <c r="H310" i="6"/>
  <c r="H302" i="6"/>
  <c r="F300" i="6"/>
  <c r="G300" i="6" s="1"/>
  <c r="H294" i="6"/>
  <c r="H594" i="6"/>
  <c r="H524" i="6"/>
  <c r="F459" i="6"/>
  <c r="G459" i="6" s="1"/>
  <c r="H429" i="6"/>
  <c r="H424" i="6"/>
  <c r="H409" i="6"/>
  <c r="H400" i="6"/>
  <c r="F399" i="6"/>
  <c r="G399" i="6" s="1"/>
  <c r="F390" i="6"/>
  <c r="G390" i="6" s="1"/>
  <c r="H386" i="6"/>
  <c r="H375" i="6"/>
  <c r="H367" i="6"/>
  <c r="H359" i="6"/>
  <c r="H351" i="6"/>
  <c r="H343" i="6"/>
  <c r="H335" i="6"/>
  <c r="H327" i="6"/>
  <c r="H319" i="6"/>
  <c r="H311" i="6"/>
  <c r="H303" i="6"/>
  <c r="F301" i="6"/>
  <c r="G301" i="6" s="1"/>
  <c r="H295" i="6"/>
  <c r="F293" i="6"/>
  <c r="G293" i="6" s="1"/>
  <c r="H493" i="6"/>
  <c r="H488" i="6"/>
  <c r="F486" i="6"/>
  <c r="G486" i="6" s="1"/>
  <c r="H466" i="6"/>
  <c r="H461" i="6"/>
  <c r="H456" i="6"/>
  <c r="H434" i="6"/>
  <c r="H414" i="6"/>
  <c r="H405" i="6"/>
  <c r="H396" i="6"/>
  <c r="H387" i="6"/>
  <c r="H382" i="6"/>
  <c r="H376" i="6"/>
  <c r="H368" i="6"/>
  <c r="H360" i="6"/>
  <c r="H352" i="6"/>
  <c r="H344" i="6"/>
  <c r="H336" i="6"/>
  <c r="H328" i="6"/>
  <c r="H320" i="6"/>
  <c r="F318" i="6"/>
  <c r="G318" i="6" s="1"/>
  <c r="H312" i="6"/>
  <c r="F310" i="6"/>
  <c r="G310" i="6" s="1"/>
  <c r="H304" i="6"/>
  <c r="H296" i="6"/>
  <c r="H288" i="6"/>
  <c r="H610" i="6"/>
  <c r="H520" i="6"/>
  <c r="H517" i="6"/>
  <c r="H504" i="6"/>
  <c r="H501" i="6"/>
  <c r="H444" i="6"/>
  <c r="H437" i="6"/>
  <c r="F636" i="6"/>
  <c r="G636" i="6" s="1"/>
  <c r="H546" i="6"/>
  <c r="H401" i="6"/>
  <c r="H377" i="6"/>
  <c r="H361" i="6"/>
  <c r="F352" i="6"/>
  <c r="G352" i="6" s="1"/>
  <c r="H345" i="6"/>
  <c r="H329" i="6"/>
  <c r="H313" i="6"/>
  <c r="F304" i="6"/>
  <c r="G304" i="6" s="1"/>
  <c r="H297" i="6"/>
  <c r="H287" i="6"/>
  <c r="H272" i="6"/>
  <c r="H262" i="6"/>
  <c r="H256" i="6"/>
  <c r="F252" i="6"/>
  <c r="G252" i="6" s="1"/>
  <c r="F244" i="6"/>
  <c r="G244" i="6" s="1"/>
  <c r="H238" i="6"/>
  <c r="H230" i="6"/>
  <c r="H222" i="6"/>
  <c r="H214" i="6"/>
  <c r="H206" i="6"/>
  <c r="H198" i="6"/>
  <c r="H190" i="6"/>
  <c r="F188" i="6"/>
  <c r="G188" i="6" s="1"/>
  <c r="H182" i="6"/>
  <c r="H174" i="6"/>
  <c r="F172" i="6"/>
  <c r="G172" i="6" s="1"/>
  <c r="H166" i="6"/>
  <c r="H490" i="6"/>
  <c r="H458" i="6"/>
  <c r="H422" i="6"/>
  <c r="H411" i="6"/>
  <c r="F387" i="6"/>
  <c r="G387" i="6" s="1"/>
  <c r="F287" i="6"/>
  <c r="G287" i="6" s="1"/>
  <c r="H278" i="6"/>
  <c r="F275" i="6"/>
  <c r="G275" i="6" s="1"/>
  <c r="H269" i="6"/>
  <c r="H253" i="6"/>
  <c r="H246" i="6"/>
  <c r="H239" i="6"/>
  <c r="H231" i="6"/>
  <c r="H223" i="6"/>
  <c r="H215" i="6"/>
  <c r="H207" i="6"/>
  <c r="H199" i="6"/>
  <c r="H191" i="6"/>
  <c r="H183" i="6"/>
  <c r="F181" i="6"/>
  <c r="G181" i="6" s="1"/>
  <c r="H175" i="6"/>
  <c r="H167" i="6"/>
  <c r="H159" i="6"/>
  <c r="H151" i="6"/>
  <c r="H143" i="6"/>
  <c r="F523" i="6"/>
  <c r="G523" i="6" s="1"/>
  <c r="F414" i="6"/>
  <c r="G414" i="6" s="1"/>
  <c r="H397" i="6"/>
  <c r="H370" i="6"/>
  <c r="H354" i="6"/>
  <c r="H338" i="6"/>
  <c r="H322" i="6"/>
  <c r="H306" i="6"/>
  <c r="H281" i="6"/>
  <c r="H266" i="6"/>
  <c r="H263" i="6"/>
  <c r="H250" i="6"/>
  <c r="H240" i="6"/>
  <c r="H232" i="6"/>
  <c r="F230" i="6"/>
  <c r="G230" i="6" s="1"/>
  <c r="H224" i="6"/>
  <c r="H216" i="6"/>
  <c r="H208" i="6"/>
  <c r="H200" i="6"/>
  <c r="H192" i="6"/>
  <c r="H184" i="6"/>
  <c r="H176" i="6"/>
  <c r="H168" i="6"/>
  <c r="H160" i="6"/>
  <c r="H152" i="6"/>
  <c r="H410" i="6"/>
  <c r="F400" i="6"/>
  <c r="G400" i="6" s="1"/>
  <c r="H273" i="6"/>
  <c r="H257" i="6"/>
  <c r="F253" i="6"/>
  <c r="G253" i="6" s="1"/>
  <c r="H247" i="6"/>
  <c r="H241" i="6"/>
  <c r="H233" i="6"/>
  <c r="H225" i="6"/>
  <c r="F223" i="6"/>
  <c r="G223" i="6" s="1"/>
  <c r="H217" i="6"/>
  <c r="F215" i="6"/>
  <c r="G215" i="6" s="1"/>
  <c r="H209" i="6"/>
  <c r="H201" i="6"/>
  <c r="H193" i="6"/>
  <c r="F191" i="6"/>
  <c r="G191" i="6" s="1"/>
  <c r="H185" i="6"/>
  <c r="H177" i="6"/>
  <c r="H169" i="6"/>
  <c r="H161" i="6"/>
  <c r="H153" i="6"/>
  <c r="H145" i="6"/>
  <c r="H137" i="6"/>
  <c r="F135" i="6"/>
  <c r="G135" i="6" s="1"/>
  <c r="H129" i="6"/>
  <c r="H121" i="6"/>
  <c r="H113" i="6"/>
  <c r="H105" i="6"/>
  <c r="F103" i="6"/>
  <c r="G103" i="6" s="1"/>
  <c r="H97" i="6"/>
  <c r="H89" i="6"/>
  <c r="H392" i="6"/>
  <c r="F376" i="6"/>
  <c r="G376" i="6" s="1"/>
  <c r="H369" i="6"/>
  <c r="F360" i="6"/>
  <c r="G360" i="6" s="1"/>
  <c r="H353" i="6"/>
  <c r="H337" i="6"/>
  <c r="H321" i="6"/>
  <c r="H305" i="6"/>
  <c r="H290" i="6"/>
  <c r="H286" i="6"/>
  <c r="H279" i="6"/>
  <c r="H270" i="6"/>
  <c r="H264" i="6"/>
  <c r="F263" i="6"/>
  <c r="G263" i="6" s="1"/>
  <c r="H254" i="6"/>
  <c r="H248" i="6"/>
  <c r="H242" i="6"/>
  <c r="H234" i="6"/>
  <c r="H226" i="6"/>
  <c r="H218" i="6"/>
  <c r="H210" i="6"/>
  <c r="F208" i="6"/>
  <c r="G208" i="6" s="1"/>
  <c r="H202" i="6"/>
  <c r="H194" i="6"/>
  <c r="H186" i="6"/>
  <c r="H178" i="6"/>
  <c r="H170" i="6"/>
  <c r="H162" i="6"/>
  <c r="H154" i="6"/>
  <c r="H146" i="6"/>
  <c r="H138" i="6"/>
  <c r="H130" i="6"/>
  <c r="H480" i="6"/>
  <c r="H448" i="6"/>
  <c r="H406" i="6"/>
  <c r="F284" i="6"/>
  <c r="G284" i="6" s="1"/>
  <c r="H261" i="6"/>
  <c r="H243" i="6"/>
  <c r="H235" i="6"/>
  <c r="H227" i="6"/>
  <c r="H219" i="6"/>
  <c r="H211" i="6"/>
  <c r="F209" i="6"/>
  <c r="G209" i="6" s="1"/>
  <c r="H203" i="6"/>
  <c r="H195" i="6"/>
  <c r="H187" i="6"/>
  <c r="H179" i="6"/>
  <c r="F177" i="6"/>
  <c r="G177" i="6" s="1"/>
  <c r="H171" i="6"/>
  <c r="H163" i="6"/>
  <c r="H155" i="6"/>
  <c r="H147" i="6"/>
  <c r="H139" i="6"/>
  <c r="H131" i="6"/>
  <c r="F129" i="6"/>
  <c r="G129" i="6" s="1"/>
  <c r="H123" i="6"/>
  <c r="H115" i="6"/>
  <c r="H107" i="6"/>
  <c r="H99" i="6"/>
  <c r="F97" i="6"/>
  <c r="G97" i="6" s="1"/>
  <c r="H592" i="6"/>
  <c r="H442" i="6"/>
  <c r="H432" i="6"/>
  <c r="H420" i="6"/>
  <c r="H388" i="6"/>
  <c r="H378" i="6"/>
  <c r="H362" i="6"/>
  <c r="H346" i="6"/>
  <c r="H330" i="6"/>
  <c r="H314" i="6"/>
  <c r="H298" i="6"/>
  <c r="H282" i="6"/>
  <c r="H274" i="6"/>
  <c r="H271" i="6"/>
  <c r="H258" i="6"/>
  <c r="H255" i="6"/>
  <c r="H244" i="6"/>
  <c r="H236" i="6"/>
  <c r="H228" i="6"/>
  <c r="H220" i="6"/>
  <c r="H212" i="6"/>
  <c r="H204" i="6"/>
  <c r="H196" i="6"/>
  <c r="H188" i="6"/>
  <c r="H180" i="6"/>
  <c r="H172" i="6"/>
  <c r="H164" i="6"/>
  <c r="F162" i="6"/>
  <c r="G162" i="6" s="1"/>
  <c r="H156" i="6"/>
  <c r="H485" i="6"/>
  <c r="H157" i="6"/>
  <c r="H116" i="6"/>
  <c r="H100" i="6"/>
  <c r="H93" i="6"/>
  <c r="H88" i="6"/>
  <c r="H81" i="6"/>
  <c r="F79" i="6"/>
  <c r="G79" i="6" s="1"/>
  <c r="H73" i="6"/>
  <c r="H65" i="6"/>
  <c r="H57" i="6"/>
  <c r="H49" i="6"/>
  <c r="F47" i="6"/>
  <c r="G47" i="6" s="1"/>
  <c r="H41" i="6"/>
  <c r="H33" i="6"/>
  <c r="H289" i="6"/>
  <c r="H237" i="6"/>
  <c r="H205" i="6"/>
  <c r="H173" i="6"/>
  <c r="H149" i="6"/>
  <c r="H141" i="6"/>
  <c r="H136" i="6"/>
  <c r="H126" i="6"/>
  <c r="H110" i="6"/>
  <c r="H82" i="6"/>
  <c r="H74" i="6"/>
  <c r="H66" i="6"/>
  <c r="H58" i="6"/>
  <c r="H50" i="6"/>
  <c r="H42" i="6"/>
  <c r="H34" i="6"/>
  <c r="H453" i="6"/>
  <c r="F154" i="6"/>
  <c r="G154" i="6" s="1"/>
  <c r="H134" i="6"/>
  <c r="F131" i="6"/>
  <c r="G131" i="6" s="1"/>
  <c r="H120" i="6"/>
  <c r="H117" i="6"/>
  <c r="H104" i="6"/>
  <c r="H101" i="6"/>
  <c r="F100" i="6"/>
  <c r="G100" i="6" s="1"/>
  <c r="H94" i="6"/>
  <c r="H83" i="6"/>
  <c r="H75" i="6"/>
  <c r="F73" i="6"/>
  <c r="G73" i="6" s="1"/>
  <c r="H67" i="6"/>
  <c r="F65" i="6"/>
  <c r="G65" i="6" s="1"/>
  <c r="H59" i="6"/>
  <c r="H51" i="6"/>
  <c r="H43" i="6"/>
  <c r="H35" i="6"/>
  <c r="H245" i="6"/>
  <c r="H213" i="6"/>
  <c r="H181" i="6"/>
  <c r="H127" i="6"/>
  <c r="F126" i="6"/>
  <c r="G126" i="6" s="1"/>
  <c r="H114" i="6"/>
  <c r="H111" i="6"/>
  <c r="F107" i="6"/>
  <c r="G107" i="6" s="1"/>
  <c r="F104" i="6"/>
  <c r="G104" i="6" s="1"/>
  <c r="H98" i="6"/>
  <c r="H90" i="6"/>
  <c r="H84" i="6"/>
  <c r="H76" i="6"/>
  <c r="H68" i="6"/>
  <c r="H60" i="6"/>
  <c r="H52" i="6"/>
  <c r="H44" i="6"/>
  <c r="H36" i="6"/>
  <c r="H28" i="6"/>
  <c r="H280" i="6"/>
  <c r="H265" i="6"/>
  <c r="H148" i="6"/>
  <c r="H144" i="6"/>
  <c r="H142" i="6"/>
  <c r="F139" i="6"/>
  <c r="G139" i="6" s="1"/>
  <c r="H132" i="6"/>
  <c r="H124" i="6"/>
  <c r="H108" i="6"/>
  <c r="F98" i="6"/>
  <c r="G98" i="6" s="1"/>
  <c r="H95" i="6"/>
  <c r="H85" i="6"/>
  <c r="H77" i="6"/>
  <c r="H69" i="6"/>
  <c r="H61" i="6"/>
  <c r="F59" i="6"/>
  <c r="G59" i="6" s="1"/>
  <c r="H53" i="6"/>
  <c r="H45" i="6"/>
  <c r="H37" i="6"/>
  <c r="H249" i="6"/>
  <c r="F235" i="6"/>
  <c r="G235" i="6" s="1"/>
  <c r="H221" i="6"/>
  <c r="H189" i="6"/>
  <c r="F146" i="6"/>
  <c r="G146" i="6" s="1"/>
  <c r="H135" i="6"/>
  <c r="H118" i="6"/>
  <c r="H102" i="6"/>
  <c r="H91" i="6"/>
  <c r="F90" i="6"/>
  <c r="G90" i="6" s="1"/>
  <c r="H86" i="6"/>
  <c r="H78" i="6"/>
  <c r="H70" i="6"/>
  <c r="H62" i="6"/>
  <c r="H54" i="6"/>
  <c r="H46" i="6"/>
  <c r="H38" i="6"/>
  <c r="H30" i="6"/>
  <c r="H158" i="6"/>
  <c r="H150" i="6"/>
  <c r="H140" i="6"/>
  <c r="H125" i="6"/>
  <c r="H112" i="6"/>
  <c r="H109" i="6"/>
  <c r="H96" i="6"/>
  <c r="H87" i="6"/>
  <c r="H79" i="6"/>
  <c r="F77" i="6"/>
  <c r="G77" i="6" s="1"/>
  <c r="H71" i="6"/>
  <c r="H63" i="6"/>
  <c r="H55" i="6"/>
  <c r="F53" i="6"/>
  <c r="G53" i="6" s="1"/>
  <c r="H47" i="6"/>
  <c r="H39" i="6"/>
  <c r="H31" i="6"/>
  <c r="F29" i="6"/>
  <c r="G29" i="6" s="1"/>
  <c r="H229" i="6"/>
  <c r="H32" i="6"/>
  <c r="H119" i="6"/>
  <c r="H80" i="6"/>
  <c r="H48" i="6"/>
  <c r="F35" i="6"/>
  <c r="G35" i="6" s="1"/>
  <c r="F99" i="6"/>
  <c r="G99" i="6" s="1"/>
  <c r="H29" i="6"/>
  <c r="H133" i="6"/>
  <c r="H128" i="6"/>
  <c r="H103" i="6"/>
  <c r="F70" i="6"/>
  <c r="G70" i="6" s="1"/>
  <c r="H56" i="6"/>
  <c r="H165" i="6"/>
  <c r="H122" i="6"/>
  <c r="H92" i="6"/>
  <c r="F78" i="6"/>
  <c r="G78" i="6" s="1"/>
  <c r="H64" i="6"/>
  <c r="J28" i="6"/>
  <c r="L28" i="6" s="1"/>
  <c r="H197" i="6"/>
  <c r="H106" i="6"/>
  <c r="H72" i="6"/>
  <c r="F30" i="6"/>
  <c r="G30" i="6" s="1"/>
  <c r="F54" i="6"/>
  <c r="G54" i="6" s="1"/>
  <c r="H40" i="6"/>
  <c r="I10" i="4"/>
  <c r="J36" i="6"/>
  <c r="L36" i="6" s="1"/>
  <c r="J66" i="6"/>
  <c r="L66" i="6" s="1"/>
  <c r="I18" i="4"/>
  <c r="F41" i="6" s="1"/>
  <c r="G41" i="6" s="1"/>
  <c r="J84" i="6"/>
  <c r="L84" i="6" s="1"/>
  <c r="J44" i="6"/>
  <c r="L44" i="6" s="1"/>
  <c r="I26" i="4"/>
  <c r="F49" i="6" s="1"/>
  <c r="G49" i="6" s="1"/>
  <c r="J52" i="6"/>
  <c r="L52" i="6" s="1"/>
  <c r="J92" i="6"/>
  <c r="L92" i="6" s="1"/>
  <c r="I34" i="4"/>
  <c r="L60" i="6"/>
  <c r="I42" i="4"/>
  <c r="I50" i="4"/>
  <c r="F72" i="6" s="1"/>
  <c r="G72" i="6" s="1"/>
  <c r="L76" i="6"/>
  <c r="I58" i="4"/>
  <c r="I66" i="4"/>
  <c r="B18" i="2" s="1"/>
  <c r="I74" i="4"/>
  <c r="L100" i="6"/>
  <c r="I82" i="4"/>
  <c r="F101" i="6" s="1"/>
  <c r="G101" i="6" s="1"/>
  <c r="L108" i="6"/>
  <c r="I90" i="4"/>
  <c r="L116" i="6"/>
  <c r="I98" i="4"/>
  <c r="J424" i="6"/>
  <c r="L424" i="6" s="1"/>
  <c r="J124" i="6"/>
  <c r="L124" i="6" s="1"/>
  <c r="I106" i="4"/>
  <c r="C17" i="2" s="1"/>
  <c r="J432" i="6"/>
  <c r="L432" i="6" s="1"/>
  <c r="J132" i="6"/>
  <c r="L132" i="6" s="1"/>
  <c r="I114" i="4"/>
  <c r="J440" i="6"/>
  <c r="L440" i="6" s="1"/>
  <c r="J140" i="6"/>
  <c r="L140" i="6" s="1"/>
  <c r="I122" i="4"/>
  <c r="C7" i="2" s="1"/>
  <c r="Y7" i="3" s="1"/>
  <c r="J448" i="6"/>
  <c r="L448" i="6" s="1"/>
  <c r="J148" i="6"/>
  <c r="L148" i="6" s="1"/>
  <c r="I130" i="4"/>
  <c r="J456" i="6"/>
  <c r="L456" i="6" s="1"/>
  <c r="J156" i="6"/>
  <c r="L156" i="6" s="1"/>
  <c r="I138" i="4"/>
  <c r="J464" i="6"/>
  <c r="L464" i="6" s="1"/>
  <c r="J164" i="6"/>
  <c r="L164" i="6" s="1"/>
  <c r="I146" i="4"/>
  <c r="J472" i="6"/>
  <c r="L472" i="6" s="1"/>
  <c r="J172" i="6"/>
  <c r="L172" i="6" s="1"/>
  <c r="I154" i="4"/>
  <c r="J480" i="6"/>
  <c r="L480" i="6" s="1"/>
  <c r="J180" i="6"/>
  <c r="L180" i="6" s="1"/>
  <c r="I162" i="4"/>
  <c r="F179" i="6" s="1"/>
  <c r="G179" i="6" s="1"/>
  <c r="J488" i="6"/>
  <c r="L488" i="6" s="1"/>
  <c r="J188" i="6"/>
  <c r="L188" i="6" s="1"/>
  <c r="I170" i="4"/>
  <c r="J496" i="6"/>
  <c r="L496" i="6" s="1"/>
  <c r="J196" i="6"/>
  <c r="L196" i="6" s="1"/>
  <c r="I178" i="4"/>
  <c r="D19" i="2" s="1"/>
  <c r="AK8" i="3" s="1"/>
  <c r="J504" i="6"/>
  <c r="L504" i="6" s="1"/>
  <c r="J204" i="6"/>
  <c r="L204" i="6" s="1"/>
  <c r="I186" i="4"/>
  <c r="F203" i="6" s="1"/>
  <c r="G203" i="6" s="1"/>
  <c r="J512" i="6"/>
  <c r="L512" i="6" s="1"/>
  <c r="J212" i="6"/>
  <c r="L212" i="6" s="1"/>
  <c r="I194" i="4"/>
  <c r="F211" i="6" s="1"/>
  <c r="G211" i="6" s="1"/>
  <c r="J520" i="6"/>
  <c r="L520" i="6" s="1"/>
  <c r="J220" i="6"/>
  <c r="L220" i="6" s="1"/>
  <c r="I202" i="4"/>
  <c r="F218" i="6" s="1"/>
  <c r="G218" i="6" s="1"/>
  <c r="J628" i="6"/>
  <c r="L628" i="6" s="1"/>
  <c r="J228" i="6"/>
  <c r="L228" i="6" s="1"/>
  <c r="I210" i="4"/>
  <c r="J636" i="6"/>
  <c r="L636" i="6" s="1"/>
  <c r="J236" i="6"/>
  <c r="L236" i="6" s="1"/>
  <c r="I218" i="4"/>
  <c r="J644" i="6"/>
  <c r="L644" i="6" s="1"/>
  <c r="J244" i="6"/>
  <c r="L244" i="6" s="1"/>
  <c r="I226" i="4"/>
  <c r="J652" i="6"/>
  <c r="L652" i="6" s="1"/>
  <c r="J252" i="6"/>
  <c r="L252" i="6" s="1"/>
  <c r="I234" i="4"/>
  <c r="F249" i="6" s="1"/>
  <c r="G249" i="6" s="1"/>
  <c r="J660" i="6"/>
  <c r="L660" i="6" s="1"/>
  <c r="J260" i="6"/>
  <c r="L260" i="6" s="1"/>
  <c r="I242" i="4"/>
  <c r="J668" i="6"/>
  <c r="L668" i="6" s="1"/>
  <c r="J268" i="6"/>
  <c r="L268" i="6" s="1"/>
  <c r="I250" i="4"/>
  <c r="F265" i="6" s="1"/>
  <c r="G265" i="6" s="1"/>
  <c r="J676" i="6"/>
  <c r="L676" i="6" s="1"/>
  <c r="J276" i="6"/>
  <c r="L276" i="6" s="1"/>
  <c r="I258" i="4"/>
  <c r="F273" i="6" s="1"/>
  <c r="G273" i="6" s="1"/>
  <c r="J684" i="6"/>
  <c r="L684" i="6" s="1"/>
  <c r="J284" i="6"/>
  <c r="L284" i="6" s="1"/>
  <c r="I266" i="4"/>
  <c r="J697" i="6"/>
  <c r="L697" i="6" s="1"/>
  <c r="J297" i="6"/>
  <c r="L297" i="6" s="1"/>
  <c r="I294" i="4"/>
  <c r="I13" i="4"/>
  <c r="F36" i="6" s="1"/>
  <c r="G36" i="6" s="1"/>
  <c r="J69" i="6"/>
  <c r="L69" i="6" s="1"/>
  <c r="J39" i="6"/>
  <c r="L39" i="6" s="1"/>
  <c r="I21" i="4"/>
  <c r="F44" i="6" s="1"/>
  <c r="G44" i="6" s="1"/>
  <c r="J87" i="6"/>
  <c r="L87" i="6" s="1"/>
  <c r="J47" i="6"/>
  <c r="L47" i="6" s="1"/>
  <c r="I29" i="4"/>
  <c r="L79" i="6"/>
  <c r="L95" i="6"/>
  <c r="L111" i="6"/>
  <c r="L119" i="6"/>
  <c r="J427" i="6"/>
  <c r="L427" i="6" s="1"/>
  <c r="J127" i="6"/>
  <c r="L127" i="6" s="1"/>
  <c r="J435" i="6"/>
  <c r="L435" i="6" s="1"/>
  <c r="J135" i="6"/>
  <c r="L135" i="6" s="1"/>
  <c r="J443" i="6"/>
  <c r="L443" i="6" s="1"/>
  <c r="J143" i="6"/>
  <c r="L143" i="6" s="1"/>
  <c r="J451" i="6"/>
  <c r="L451" i="6" s="1"/>
  <c r="J151" i="6"/>
  <c r="L151" i="6" s="1"/>
  <c r="J459" i="6"/>
  <c r="L459" i="6" s="1"/>
  <c r="J159" i="6"/>
  <c r="L159" i="6" s="1"/>
  <c r="J467" i="6"/>
  <c r="L467" i="6" s="1"/>
  <c r="J167" i="6"/>
  <c r="L167" i="6" s="1"/>
  <c r="J475" i="6"/>
  <c r="L475" i="6" s="1"/>
  <c r="J175" i="6"/>
  <c r="L175" i="6" s="1"/>
  <c r="J483" i="6"/>
  <c r="L483" i="6" s="1"/>
  <c r="J183" i="6"/>
  <c r="L183" i="6" s="1"/>
  <c r="J491" i="6"/>
  <c r="L491" i="6" s="1"/>
  <c r="J191" i="6"/>
  <c r="L191" i="6" s="1"/>
  <c r="J499" i="6"/>
  <c r="L499" i="6" s="1"/>
  <c r="J199" i="6"/>
  <c r="L199" i="6" s="1"/>
  <c r="J507" i="6"/>
  <c r="L507" i="6" s="1"/>
  <c r="J207" i="6"/>
  <c r="L207" i="6" s="1"/>
  <c r="J515" i="6"/>
  <c r="L515" i="6" s="1"/>
  <c r="J215" i="6"/>
  <c r="L215" i="6" s="1"/>
  <c r="J623" i="6"/>
  <c r="L623" i="6" s="1"/>
  <c r="J223" i="6"/>
  <c r="L223" i="6" s="1"/>
  <c r="J631" i="6"/>
  <c r="L631" i="6" s="1"/>
  <c r="J231" i="6"/>
  <c r="L231" i="6" s="1"/>
  <c r="J639" i="6"/>
  <c r="L639" i="6" s="1"/>
  <c r="J239" i="6"/>
  <c r="L239" i="6" s="1"/>
  <c r="J647" i="6"/>
  <c r="L647" i="6" s="1"/>
  <c r="J247" i="6"/>
  <c r="L247" i="6" s="1"/>
  <c r="J655" i="6"/>
  <c r="L655" i="6" s="1"/>
  <c r="J255" i="6"/>
  <c r="L255" i="6" s="1"/>
  <c r="J663" i="6"/>
  <c r="L663" i="6" s="1"/>
  <c r="J263" i="6"/>
  <c r="L263" i="6" s="1"/>
  <c r="J671" i="6"/>
  <c r="L671" i="6" s="1"/>
  <c r="J271" i="6"/>
  <c r="L271" i="6" s="1"/>
  <c r="J679" i="6"/>
  <c r="L679" i="6" s="1"/>
  <c r="J279" i="6"/>
  <c r="L279" i="6" s="1"/>
  <c r="J687" i="6"/>
  <c r="L687" i="6" s="1"/>
  <c r="J287" i="6"/>
  <c r="L287" i="6" s="1"/>
  <c r="J705" i="6"/>
  <c r="L705" i="6" s="1"/>
  <c r="J305" i="6"/>
  <c r="L305" i="6" s="1"/>
  <c r="J722" i="6"/>
  <c r="L722" i="6" s="1"/>
  <c r="J322" i="6"/>
  <c r="L322" i="6" s="1"/>
  <c r="L329" i="6"/>
  <c r="L338" i="6"/>
  <c r="L345" i="6"/>
  <c r="L354" i="6"/>
  <c r="L361" i="6"/>
  <c r="L370" i="6"/>
  <c r="L377" i="6"/>
  <c r="L386" i="6"/>
  <c r="L393" i="6"/>
  <c r="L402" i="6"/>
  <c r="L409" i="6"/>
  <c r="L418" i="6"/>
  <c r="J695" i="6"/>
  <c r="L695" i="6" s="1"/>
  <c r="J295" i="6"/>
  <c r="L295" i="6" s="1"/>
  <c r="J704" i="6"/>
  <c r="L704" i="6" s="1"/>
  <c r="J304" i="6"/>
  <c r="L304" i="6" s="1"/>
  <c r="J711" i="6"/>
  <c r="L711" i="6" s="1"/>
  <c r="J311" i="6"/>
  <c r="L311" i="6" s="1"/>
  <c r="J720" i="6"/>
  <c r="L720" i="6" s="1"/>
  <c r="J320" i="6"/>
  <c r="L320" i="6" s="1"/>
  <c r="L327" i="6"/>
  <c r="L336" i="6"/>
  <c r="L343" i="6"/>
  <c r="L352" i="6"/>
  <c r="L359" i="6"/>
  <c r="L368" i="6"/>
  <c r="L375" i="6"/>
  <c r="L384" i="6"/>
  <c r="L391" i="6"/>
  <c r="L400" i="6"/>
  <c r="L407" i="6"/>
  <c r="L416" i="6"/>
  <c r="I447" i="4"/>
  <c r="I479" i="4"/>
  <c r="L539" i="6"/>
  <c r="J702" i="6"/>
  <c r="L702" i="6" s="1"/>
  <c r="J302" i="6"/>
  <c r="L302" i="6" s="1"/>
  <c r="J709" i="6"/>
  <c r="L709" i="6" s="1"/>
  <c r="J309" i="6"/>
  <c r="L309" i="6" s="1"/>
  <c r="J718" i="6"/>
  <c r="L718" i="6" s="1"/>
  <c r="J318" i="6"/>
  <c r="L318" i="6" s="1"/>
  <c r="L325" i="6"/>
  <c r="L334" i="6"/>
  <c r="L341" i="6"/>
  <c r="L350" i="6"/>
  <c r="L357" i="6"/>
  <c r="L366" i="6"/>
  <c r="L373" i="6"/>
  <c r="L382" i="6"/>
  <c r="L389" i="6"/>
  <c r="L398" i="6"/>
  <c r="L405" i="6"/>
  <c r="L414" i="6"/>
  <c r="L532" i="6"/>
  <c r="J700" i="6"/>
  <c r="L700" i="6" s="1"/>
  <c r="J300" i="6"/>
  <c r="L300" i="6" s="1"/>
  <c r="J707" i="6"/>
  <c r="L707" i="6" s="1"/>
  <c r="J307" i="6"/>
  <c r="L307" i="6" s="1"/>
  <c r="J716" i="6"/>
  <c r="L716" i="6" s="1"/>
  <c r="J316" i="6"/>
  <c r="L316" i="6" s="1"/>
  <c r="L323" i="6"/>
  <c r="L332" i="6"/>
  <c r="L339" i="6"/>
  <c r="L348" i="6"/>
  <c r="L355" i="6"/>
  <c r="L364" i="6"/>
  <c r="L371" i="6"/>
  <c r="L380" i="6"/>
  <c r="L387" i="6"/>
  <c r="L396" i="6"/>
  <c r="L403" i="6"/>
  <c r="L412" i="6"/>
  <c r="L530" i="6"/>
  <c r="J721" i="6"/>
  <c r="L721" i="6" s="1"/>
  <c r="J321" i="6"/>
  <c r="L321" i="6" s="1"/>
  <c r="L330" i="6"/>
  <c r="L337" i="6"/>
  <c r="L346" i="6"/>
  <c r="L353" i="6"/>
  <c r="L362" i="6"/>
  <c r="L369" i="6"/>
  <c r="L378" i="6"/>
  <c r="L385" i="6"/>
  <c r="L394" i="6"/>
  <c r="L401" i="6"/>
  <c r="L410" i="6"/>
  <c r="L525" i="6"/>
  <c r="J696" i="6"/>
  <c r="L696" i="6" s="1"/>
  <c r="J296" i="6"/>
  <c r="L296" i="6" s="1"/>
  <c r="J703" i="6"/>
  <c r="L703" i="6" s="1"/>
  <c r="J303" i="6"/>
  <c r="L303" i="6" s="1"/>
  <c r="J712" i="6"/>
  <c r="L712" i="6" s="1"/>
  <c r="J312" i="6"/>
  <c r="L312" i="6" s="1"/>
  <c r="J719" i="6"/>
  <c r="L719" i="6" s="1"/>
  <c r="J319" i="6"/>
  <c r="L319" i="6" s="1"/>
  <c r="L328" i="6"/>
  <c r="L335" i="6"/>
  <c r="L344" i="6"/>
  <c r="L351" i="6"/>
  <c r="L360" i="6"/>
  <c r="L367" i="6"/>
  <c r="L376" i="6"/>
  <c r="L383" i="6"/>
  <c r="L392" i="6"/>
  <c r="L399" i="6"/>
  <c r="L408" i="6"/>
  <c r="I431" i="4"/>
  <c r="I463" i="4"/>
  <c r="L523" i="6"/>
  <c r="L555" i="6"/>
  <c r="J688" i="6"/>
  <c r="L688" i="6" s="1"/>
  <c r="J288" i="6"/>
  <c r="L288" i="6" s="1"/>
  <c r="J690" i="6"/>
  <c r="L690" i="6" s="1"/>
  <c r="J290" i="6"/>
  <c r="L290" i="6" s="1"/>
  <c r="J692" i="6"/>
  <c r="L692" i="6" s="1"/>
  <c r="J292" i="6"/>
  <c r="L292" i="6" s="1"/>
  <c r="J694" i="6"/>
  <c r="L694" i="6" s="1"/>
  <c r="J294" i="6"/>
  <c r="L294" i="6" s="1"/>
  <c r="J301" i="6"/>
  <c r="L301" i="6" s="1"/>
  <c r="J701" i="6"/>
  <c r="L701" i="6" s="1"/>
  <c r="J710" i="6"/>
  <c r="L710" i="6" s="1"/>
  <c r="J310" i="6"/>
  <c r="L310" i="6" s="1"/>
  <c r="J717" i="6"/>
  <c r="L717" i="6" s="1"/>
  <c r="J317" i="6"/>
  <c r="L317" i="6" s="1"/>
  <c r="L326" i="6"/>
  <c r="L333" i="6"/>
  <c r="L342" i="6"/>
  <c r="L349" i="6"/>
  <c r="L358" i="6"/>
  <c r="L365" i="6"/>
  <c r="L374" i="6"/>
  <c r="L381" i="6"/>
  <c r="L390" i="6"/>
  <c r="L397" i="6"/>
  <c r="L406" i="6"/>
  <c r="L422" i="6"/>
  <c r="J699" i="6"/>
  <c r="L699" i="6" s="1"/>
  <c r="J299" i="6"/>
  <c r="L299" i="6" s="1"/>
  <c r="J708" i="6"/>
  <c r="L708" i="6" s="1"/>
  <c r="J308" i="6"/>
  <c r="L308" i="6" s="1"/>
  <c r="J715" i="6"/>
  <c r="L715" i="6" s="1"/>
  <c r="J315" i="6"/>
  <c r="L315" i="6" s="1"/>
  <c r="L324" i="6"/>
  <c r="L331" i="6"/>
  <c r="L340" i="6"/>
  <c r="L347" i="6"/>
  <c r="L356" i="6"/>
  <c r="L363" i="6"/>
  <c r="L372" i="6"/>
  <c r="L379" i="6"/>
  <c r="L388" i="6"/>
  <c r="L395" i="6"/>
  <c r="L404" i="6"/>
  <c r="L420" i="6"/>
  <c r="L546" i="6"/>
  <c r="L526" i="6"/>
  <c r="L535" i="6"/>
  <c r="L542" i="6"/>
  <c r="L551" i="6"/>
  <c r="L558" i="6"/>
  <c r="L567" i="6"/>
  <c r="L574" i="6"/>
  <c r="L583" i="6"/>
  <c r="L590" i="6"/>
  <c r="L599" i="6"/>
  <c r="L606" i="6"/>
  <c r="L615" i="6"/>
  <c r="L622" i="6"/>
  <c r="L727" i="6"/>
  <c r="L734" i="6"/>
  <c r="L750" i="6"/>
  <c r="L759" i="6"/>
  <c r="L766" i="6"/>
  <c r="L775" i="6"/>
  <c r="L782" i="6"/>
  <c r="L791" i="6"/>
  <c r="L798" i="6"/>
  <c r="L807" i="6"/>
  <c r="L814" i="6"/>
  <c r="L823" i="6"/>
  <c r="L830" i="6"/>
  <c r="L839" i="6"/>
  <c r="L846" i="6"/>
  <c r="L855" i="6"/>
  <c r="L862" i="6"/>
  <c r="L871" i="6"/>
  <c r="L878" i="6"/>
  <c r="L887" i="6"/>
  <c r="L894" i="6"/>
  <c r="L903" i="6"/>
  <c r="L910" i="6"/>
  <c r="L919" i="6"/>
  <c r="L926" i="6"/>
  <c r="L935" i="6"/>
  <c r="L942" i="6"/>
  <c r="L951" i="6"/>
  <c r="L958" i="6"/>
  <c r="L967" i="6"/>
  <c r="L974" i="6"/>
  <c r="L983" i="6"/>
  <c r="L990" i="6"/>
  <c r="L999" i="6"/>
  <c r="L1006" i="6"/>
  <c r="L1015" i="6"/>
  <c r="L1022" i="6"/>
  <c r="L1031" i="6"/>
  <c r="L1038" i="6"/>
  <c r="L1047" i="6"/>
  <c r="L1054" i="6"/>
  <c r="L524" i="6"/>
  <c r="L533" i="6"/>
  <c r="L540" i="6"/>
  <c r="L549" i="6"/>
  <c r="L556" i="6"/>
  <c r="L565" i="6"/>
  <c r="L572" i="6"/>
  <c r="L581" i="6"/>
  <c r="L588" i="6"/>
  <c r="L597" i="6"/>
  <c r="L604" i="6"/>
  <c r="L613" i="6"/>
  <c r="L620" i="6"/>
  <c r="L725" i="6"/>
  <c r="L732" i="6"/>
  <c r="L741" i="6"/>
  <c r="L748" i="6"/>
  <c r="L757" i="6"/>
  <c r="L764" i="6"/>
  <c r="L773" i="6"/>
  <c r="L780" i="6"/>
  <c r="L789" i="6"/>
  <c r="L796" i="6"/>
  <c r="L805" i="6"/>
  <c r="L812" i="6"/>
  <c r="L821" i="6"/>
  <c r="L828" i="6"/>
  <c r="L837" i="6"/>
  <c r="L844" i="6"/>
  <c r="L853" i="6"/>
  <c r="L860" i="6"/>
  <c r="L869" i="6"/>
  <c r="L876" i="6"/>
  <c r="L885" i="6"/>
  <c r="L892" i="6"/>
  <c r="L901" i="6"/>
  <c r="L908" i="6"/>
  <c r="L917" i="6"/>
  <c r="L924" i="6"/>
  <c r="L933" i="6"/>
  <c r="L940" i="6"/>
  <c r="L949" i="6"/>
  <c r="L956" i="6"/>
  <c r="L965" i="6"/>
  <c r="L972" i="6"/>
  <c r="L981" i="6"/>
  <c r="L988" i="6"/>
  <c r="L997" i="6"/>
  <c r="L1004" i="6"/>
  <c r="L1013" i="6"/>
  <c r="L1020" i="6"/>
  <c r="L1029" i="6"/>
  <c r="L1036" i="6"/>
  <c r="L1045" i="6"/>
  <c r="L1052" i="6"/>
  <c r="L531" i="6"/>
  <c r="L538" i="6"/>
  <c r="L547" i="6"/>
  <c r="L554" i="6"/>
  <c r="L563" i="6"/>
  <c r="L570" i="6"/>
  <c r="L579" i="6"/>
  <c r="L586" i="6"/>
  <c r="L595" i="6"/>
  <c r="L602" i="6"/>
  <c r="L611" i="6"/>
  <c r="L618" i="6"/>
  <c r="L723" i="6"/>
  <c r="L730" i="6"/>
  <c r="L739" i="6"/>
  <c r="L746" i="6"/>
  <c r="L755" i="6"/>
  <c r="L762" i="6"/>
  <c r="L771" i="6"/>
  <c r="L778" i="6"/>
  <c r="L787" i="6"/>
  <c r="L794" i="6"/>
  <c r="L803" i="6"/>
  <c r="L810" i="6"/>
  <c r="L819" i="6"/>
  <c r="L826" i="6"/>
  <c r="L835" i="6"/>
  <c r="L842" i="6"/>
  <c r="L851" i="6"/>
  <c r="L858" i="6"/>
  <c r="L867" i="6"/>
  <c r="L874" i="6"/>
  <c r="L883" i="6"/>
  <c r="L890" i="6"/>
  <c r="L899" i="6"/>
  <c r="L906" i="6"/>
  <c r="L915" i="6"/>
  <c r="L922" i="6"/>
  <c r="L931" i="6"/>
  <c r="L938" i="6"/>
  <c r="L947" i="6"/>
  <c r="L954" i="6"/>
  <c r="L963" i="6"/>
  <c r="L970" i="6"/>
  <c r="L979" i="6"/>
  <c r="L986" i="6"/>
  <c r="L995" i="6"/>
  <c r="L1002" i="6"/>
  <c r="L1011" i="6"/>
  <c r="L1018" i="6"/>
  <c r="L1027" i="6"/>
  <c r="L1034" i="6"/>
  <c r="L1043" i="6"/>
  <c r="L1050" i="6"/>
  <c r="L411" i="6"/>
  <c r="L413" i="6"/>
  <c r="L415" i="6"/>
  <c r="L417" i="6"/>
  <c r="L419" i="6"/>
  <c r="L421" i="6"/>
  <c r="L529" i="6"/>
  <c r="L536" i="6"/>
  <c r="L545" i="6"/>
  <c r="L552" i="6"/>
  <c r="L561" i="6"/>
  <c r="L568" i="6"/>
  <c r="L577" i="6"/>
  <c r="L584" i="6"/>
  <c r="L593" i="6"/>
  <c r="L600" i="6"/>
  <c r="L609" i="6"/>
  <c r="L616" i="6"/>
  <c r="L728" i="6"/>
  <c r="L737" i="6"/>
  <c r="L744" i="6"/>
  <c r="L753" i="6"/>
  <c r="L760" i="6"/>
  <c r="L769" i="6"/>
  <c r="L776" i="6"/>
  <c r="L785" i="6"/>
  <c r="L792" i="6"/>
  <c r="L801" i="6"/>
  <c r="L808" i="6"/>
  <c r="L817" i="6"/>
  <c r="L824" i="6"/>
  <c r="L833" i="6"/>
  <c r="L840" i="6"/>
  <c r="L849" i="6"/>
  <c r="L856" i="6"/>
  <c r="L865" i="6"/>
  <c r="L872" i="6"/>
  <c r="L881" i="6"/>
  <c r="L888" i="6"/>
  <c r="L897" i="6"/>
  <c r="L904" i="6"/>
  <c r="L913" i="6"/>
  <c r="L920" i="6"/>
  <c r="L929" i="6"/>
  <c r="L936" i="6"/>
  <c r="L945" i="6"/>
  <c r="L952" i="6"/>
  <c r="L961" i="6"/>
  <c r="L968" i="6"/>
  <c r="L977" i="6"/>
  <c r="L984" i="6"/>
  <c r="L993" i="6"/>
  <c r="L1000" i="6"/>
  <c r="L1009" i="6"/>
  <c r="L1016" i="6"/>
  <c r="L1025" i="6"/>
  <c r="L1032" i="6"/>
  <c r="L1041" i="6"/>
  <c r="L1048" i="6"/>
  <c r="L527" i="6"/>
  <c r="L534" i="6"/>
  <c r="L543" i="6"/>
  <c r="L550" i="6"/>
  <c r="L559" i="6"/>
  <c r="L566" i="6"/>
  <c r="L575" i="6"/>
  <c r="L582" i="6"/>
  <c r="L591" i="6"/>
  <c r="L598" i="6"/>
  <c r="L607" i="6"/>
  <c r="L614" i="6"/>
  <c r="L726" i="6"/>
  <c r="L735" i="6"/>
  <c r="L742" i="6"/>
  <c r="L751" i="6"/>
  <c r="L758" i="6"/>
  <c r="L767" i="6"/>
  <c r="L774" i="6"/>
  <c r="L783" i="6"/>
  <c r="L790" i="6"/>
  <c r="L799" i="6"/>
  <c r="L806" i="6"/>
  <c r="L815" i="6"/>
  <c r="L822" i="6"/>
  <c r="L831" i="6"/>
  <c r="L838" i="6"/>
  <c r="L847" i="6"/>
  <c r="L854" i="6"/>
  <c r="L863" i="6"/>
  <c r="L870" i="6"/>
  <c r="L879" i="6"/>
  <c r="L886" i="6"/>
  <c r="L895" i="6"/>
  <c r="L902" i="6"/>
  <c r="L911" i="6"/>
  <c r="L918" i="6"/>
  <c r="L927" i="6"/>
  <c r="L934" i="6"/>
  <c r="L943" i="6"/>
  <c r="L950" i="6"/>
  <c r="L959" i="6"/>
  <c r="L966" i="6"/>
  <c r="L975" i="6"/>
  <c r="L982" i="6"/>
  <c r="L991" i="6"/>
  <c r="L998" i="6"/>
  <c r="L1007" i="6"/>
  <c r="L1014" i="6"/>
  <c r="L1023" i="6"/>
  <c r="L1030" i="6"/>
  <c r="L1039" i="6"/>
  <c r="L1046" i="6"/>
  <c r="L541" i="6"/>
  <c r="L548" i="6"/>
  <c r="L557" i="6"/>
  <c r="L564" i="6"/>
  <c r="L573" i="6"/>
  <c r="L580" i="6"/>
  <c r="L589" i="6"/>
  <c r="L596" i="6"/>
  <c r="L605" i="6"/>
  <c r="L612" i="6"/>
  <c r="L621" i="6"/>
  <c r="L724" i="6"/>
  <c r="L733" i="6"/>
  <c r="L740" i="6"/>
  <c r="L749" i="6"/>
  <c r="L756" i="6"/>
  <c r="L765" i="6"/>
  <c r="L772" i="6"/>
  <c r="L781" i="6"/>
  <c r="L788" i="6"/>
  <c r="L797" i="6"/>
  <c r="L804" i="6"/>
  <c r="L813" i="6"/>
  <c r="L820" i="6"/>
  <c r="L829" i="6"/>
  <c r="L836" i="6"/>
  <c r="L845" i="6"/>
  <c r="L852" i="6"/>
  <c r="L861" i="6"/>
  <c r="L868" i="6"/>
  <c r="L877" i="6"/>
  <c r="L884" i="6"/>
  <c r="L893" i="6"/>
  <c r="L900" i="6"/>
  <c r="L909" i="6"/>
  <c r="L916" i="6"/>
  <c r="L925" i="6"/>
  <c r="L932" i="6"/>
  <c r="L941" i="6"/>
  <c r="L948" i="6"/>
  <c r="L957" i="6"/>
  <c r="L964" i="6"/>
  <c r="L973" i="6"/>
  <c r="L980" i="6"/>
  <c r="L989" i="6"/>
  <c r="L996" i="6"/>
  <c r="L1005" i="6"/>
  <c r="L1012" i="6"/>
  <c r="L1021" i="6"/>
  <c r="L1028" i="6"/>
  <c r="L1037" i="6"/>
  <c r="L1044" i="6"/>
  <c r="L1053" i="6"/>
  <c r="L1060" i="6"/>
  <c r="L562" i="6"/>
  <c r="L571" i="6"/>
  <c r="L578" i="6"/>
  <c r="L587" i="6"/>
  <c r="L594" i="6"/>
  <c r="L603" i="6"/>
  <c r="L610" i="6"/>
  <c r="L619" i="6"/>
  <c r="L731" i="6"/>
  <c r="L738" i="6"/>
  <c r="L747" i="6"/>
  <c r="L754" i="6"/>
  <c r="L763" i="6"/>
  <c r="L770" i="6"/>
  <c r="L779" i="6"/>
  <c r="L786" i="6"/>
  <c r="L795" i="6"/>
  <c r="L802" i="6"/>
  <c r="L811" i="6"/>
  <c r="L818" i="6"/>
  <c r="L827" i="6"/>
  <c r="L834" i="6"/>
  <c r="L843" i="6"/>
  <c r="L850" i="6"/>
  <c r="L859" i="6"/>
  <c r="L866" i="6"/>
  <c r="L875" i="6"/>
  <c r="L882" i="6"/>
  <c r="L891" i="6"/>
  <c r="L898" i="6"/>
  <c r="L907" i="6"/>
  <c r="L914" i="6"/>
  <c r="L923" i="6"/>
  <c r="L930" i="6"/>
  <c r="L939" i="6"/>
  <c r="L946" i="6"/>
  <c r="L955" i="6"/>
  <c r="L962" i="6"/>
  <c r="L971" i="6"/>
  <c r="L978" i="6"/>
  <c r="L987" i="6"/>
  <c r="L994" i="6"/>
  <c r="L1003" i="6"/>
  <c r="L1010" i="6"/>
  <c r="L1019" i="6"/>
  <c r="L1026" i="6"/>
  <c r="L1035" i="6"/>
  <c r="L1042" i="6"/>
  <c r="L1051" i="6"/>
  <c r="L1058" i="6"/>
  <c r="L528" i="6"/>
  <c r="L537" i="6"/>
  <c r="L544" i="6"/>
  <c r="L553" i="6"/>
  <c r="L560" i="6"/>
  <c r="L569" i="6"/>
  <c r="L576" i="6"/>
  <c r="L585" i="6"/>
  <c r="L592" i="6"/>
  <c r="L601" i="6"/>
  <c r="L608" i="6"/>
  <c r="L617" i="6"/>
  <c r="L729" i="6"/>
  <c r="L736" i="6"/>
  <c r="L745" i="6"/>
  <c r="L752" i="6"/>
  <c r="L761" i="6"/>
  <c r="L768" i="6"/>
  <c r="L777" i="6"/>
  <c r="L784" i="6"/>
  <c r="L793" i="6"/>
  <c r="L800" i="6"/>
  <c r="L809" i="6"/>
  <c r="L816" i="6"/>
  <c r="L825" i="6"/>
  <c r="L832" i="6"/>
  <c r="L841" i="6"/>
  <c r="L848" i="6"/>
  <c r="L857" i="6"/>
  <c r="L864" i="6"/>
  <c r="L873" i="6"/>
  <c r="L880" i="6"/>
  <c r="L889" i="6"/>
  <c r="L896" i="6"/>
  <c r="L905" i="6"/>
  <c r="L912" i="6"/>
  <c r="L921" i="6"/>
  <c r="L928" i="6"/>
  <c r="L937" i="6"/>
  <c r="L944" i="6"/>
  <c r="L953" i="6"/>
  <c r="L960" i="6"/>
  <c r="L969" i="6"/>
  <c r="L976" i="6"/>
  <c r="L985" i="6"/>
  <c r="L992" i="6"/>
  <c r="L1001" i="6"/>
  <c r="L1008" i="6"/>
  <c r="L1017" i="6"/>
  <c r="L1024" i="6"/>
  <c r="L1033" i="6"/>
  <c r="L1040" i="6"/>
  <c r="L1049" i="6"/>
  <c r="L1056" i="6"/>
  <c r="L1062" i="6"/>
  <c r="L1055" i="6"/>
  <c r="L1057" i="6"/>
  <c r="L1059" i="6"/>
  <c r="L1061" i="6"/>
  <c r="L1063" i="6"/>
  <c r="L1065" i="6"/>
  <c r="L1067" i="6"/>
  <c r="L1069" i="6"/>
  <c r="L1071" i="6"/>
  <c r="L1073" i="6"/>
  <c r="L1075" i="6"/>
  <c r="I1360" i="4"/>
  <c r="I1372" i="4"/>
  <c r="I1380" i="4"/>
  <c r="I1388" i="4"/>
  <c r="I1396" i="4"/>
  <c r="I1404" i="4"/>
  <c r="I1412" i="4"/>
  <c r="I1420" i="4"/>
  <c r="I1428" i="4"/>
  <c r="I1436" i="4"/>
  <c r="I1444" i="4"/>
  <c r="I1452" i="4"/>
  <c r="I1460" i="4"/>
  <c r="I1468" i="4"/>
  <c r="I1476" i="4"/>
  <c r="I1484" i="4"/>
  <c r="I1492" i="4"/>
  <c r="I1500" i="4"/>
  <c r="I1370" i="4"/>
  <c r="I1378" i="4"/>
  <c r="I1386" i="4"/>
  <c r="I1394" i="4"/>
  <c r="I1402" i="4"/>
  <c r="I1410" i="4"/>
  <c r="I1418" i="4"/>
  <c r="I1426" i="4"/>
  <c r="I1434" i="4"/>
  <c r="I1442" i="4"/>
  <c r="I1450" i="4"/>
  <c r="I1458" i="4"/>
  <c r="I1466" i="4"/>
  <c r="I1474" i="4"/>
  <c r="I1482" i="4"/>
  <c r="I1490" i="4"/>
  <c r="I1498" i="4"/>
  <c r="L1064" i="6"/>
  <c r="L1066" i="6"/>
  <c r="L1068" i="6"/>
  <c r="L1070" i="6"/>
  <c r="L1072" i="6"/>
  <c r="L1074" i="6"/>
  <c r="I1368" i="4"/>
  <c r="I1376" i="4"/>
  <c r="I1384" i="4"/>
  <c r="I1392" i="4"/>
  <c r="I1400" i="4"/>
  <c r="I1408" i="4"/>
  <c r="I1416" i="4"/>
  <c r="I1424" i="4"/>
  <c r="I1432" i="4"/>
  <c r="I1440" i="4"/>
  <c r="I1448" i="4"/>
  <c r="I1456" i="4"/>
  <c r="I1464" i="4"/>
  <c r="I1472" i="4"/>
  <c r="I1480" i="4"/>
  <c r="I1488" i="4"/>
  <c r="I1496" i="4"/>
  <c r="I1504" i="4"/>
  <c r="I1366" i="4"/>
  <c r="I1371" i="4"/>
  <c r="I1379" i="4"/>
  <c r="I1387" i="4"/>
  <c r="I1395" i="4"/>
  <c r="I1403" i="4"/>
  <c r="I1411" i="4"/>
  <c r="I1419" i="4"/>
  <c r="I1427" i="4"/>
  <c r="I1435" i="4"/>
  <c r="I1443" i="4"/>
  <c r="I1451" i="4"/>
  <c r="I1459" i="4"/>
  <c r="I1467" i="4"/>
  <c r="I1475" i="4"/>
  <c r="I1483" i="4"/>
  <c r="I1491" i="4"/>
  <c r="I1499" i="4"/>
  <c r="L29" i="6"/>
  <c r="F577" i="6" l="1"/>
  <c r="G577" i="6" s="1"/>
  <c r="F407" i="6"/>
  <c r="G407" i="6" s="1"/>
  <c r="F213" i="6"/>
  <c r="G213" i="6" s="1"/>
  <c r="F168" i="6"/>
  <c r="G168" i="6" s="1"/>
  <c r="I168" i="6" s="1"/>
  <c r="F368" i="6"/>
  <c r="G368" i="6" s="1"/>
  <c r="E15" i="2"/>
  <c r="AG9" i="3" s="1"/>
  <c r="F664" i="6"/>
  <c r="G664" i="6" s="1"/>
  <c r="I664" i="6" s="1"/>
  <c r="F954" i="6"/>
  <c r="G954" i="6" s="1"/>
  <c r="I954" i="6" s="1"/>
  <c r="I1009" i="6"/>
  <c r="K11" i="2"/>
  <c r="AC15" i="3" s="1"/>
  <c r="F189" i="6"/>
  <c r="G189" i="6" s="1"/>
  <c r="I189" i="6" s="1"/>
  <c r="E18" i="2"/>
  <c r="AJ9" i="3" s="1"/>
  <c r="R4" i="2"/>
  <c r="V22" i="3" s="1"/>
  <c r="F741" i="6"/>
  <c r="G741" i="6" s="1"/>
  <c r="F4" i="2"/>
  <c r="V10" i="3" s="1"/>
  <c r="F635" i="6"/>
  <c r="G635" i="6" s="1"/>
  <c r="I635" i="6" s="1"/>
  <c r="H18" i="2"/>
  <c r="AJ12" i="3" s="1"/>
  <c r="F239" i="6"/>
  <c r="G239" i="6" s="1"/>
  <c r="I239" i="6" s="1"/>
  <c r="F51" i="6"/>
  <c r="G51" i="6" s="1"/>
  <c r="I51" i="6" s="1"/>
  <c r="F720" i="6"/>
  <c r="G720" i="6" s="1"/>
  <c r="I720" i="6" s="1"/>
  <c r="F633" i="6"/>
  <c r="G633" i="6" s="1"/>
  <c r="I633" i="6" s="1"/>
  <c r="F739" i="6"/>
  <c r="G739" i="6" s="1"/>
  <c r="I739" i="6" s="1"/>
  <c r="L14" i="2"/>
  <c r="AF16" i="3" s="1"/>
  <c r="F369" i="6"/>
  <c r="G369" i="6" s="1"/>
  <c r="I369" i="6" s="1"/>
  <c r="F840" i="6"/>
  <c r="G840" i="6" s="1"/>
  <c r="F999" i="6"/>
  <c r="G999" i="6" s="1"/>
  <c r="I999" i="6" s="1"/>
  <c r="R10" i="2"/>
  <c r="AB22" i="3" s="1"/>
  <c r="F367" i="6"/>
  <c r="G367" i="6" s="1"/>
  <c r="I367" i="6" s="1"/>
  <c r="F317" i="6"/>
  <c r="G317" i="6" s="1"/>
  <c r="F655" i="6"/>
  <c r="G655" i="6" s="1"/>
  <c r="I655" i="6" s="1"/>
  <c r="F740" i="6"/>
  <c r="G740" i="6" s="1"/>
  <c r="I740" i="6" s="1"/>
  <c r="F743" i="6"/>
  <c r="G743" i="6" s="1"/>
  <c r="I743" i="6" s="1"/>
  <c r="F1017" i="6"/>
  <c r="G1017" i="6" s="1"/>
  <c r="B15" i="2"/>
  <c r="R6" i="2"/>
  <c r="X22" i="3" s="1"/>
  <c r="F470" i="6"/>
  <c r="G470" i="6" s="1"/>
  <c r="I470" i="6" s="1"/>
  <c r="F366" i="6"/>
  <c r="G366" i="6" s="1"/>
  <c r="I366" i="6" s="1"/>
  <c r="C9" i="2"/>
  <c r="AA7" i="3" s="1"/>
  <c r="D6" i="2"/>
  <c r="X8" i="3" s="1"/>
  <c r="I738" i="6"/>
  <c r="F800" i="6"/>
  <c r="G800" i="6" s="1"/>
  <c r="I800" i="6" s="1"/>
  <c r="F280" i="6"/>
  <c r="G280" i="6" s="1"/>
  <c r="I280" i="6" s="1"/>
  <c r="F772" i="6"/>
  <c r="G772" i="6" s="1"/>
  <c r="I772" i="6" s="1"/>
  <c r="I535" i="6"/>
  <c r="F219" i="6"/>
  <c r="G219" i="6" s="1"/>
  <c r="I219" i="6" s="1"/>
  <c r="F316" i="6"/>
  <c r="G316" i="6" s="1"/>
  <c r="I316" i="6" s="1"/>
  <c r="F728" i="6"/>
  <c r="G728" i="6" s="1"/>
  <c r="I728" i="6" s="1"/>
  <c r="E14" i="2"/>
  <c r="AF9" i="3" s="1"/>
  <c r="N14" i="2"/>
  <c r="AF18" i="3" s="1"/>
  <c r="J19" i="2"/>
  <c r="AK14" i="3" s="1"/>
  <c r="F467" i="6"/>
  <c r="G467" i="6" s="1"/>
  <c r="I467" i="6" s="1"/>
  <c r="I223" i="6"/>
  <c r="E16" i="2"/>
  <c r="AH9" i="3" s="1"/>
  <c r="I521" i="6"/>
  <c r="F7" i="2"/>
  <c r="Y10" i="3" s="1"/>
  <c r="I489" i="6"/>
  <c r="F370" i="6"/>
  <c r="G370" i="6" s="1"/>
  <c r="F965" i="6"/>
  <c r="G965" i="6" s="1"/>
  <c r="I965" i="6" s="1"/>
  <c r="F730" i="6"/>
  <c r="G730" i="6" s="1"/>
  <c r="I730" i="6" s="1"/>
  <c r="F1033" i="6"/>
  <c r="G1033" i="6" s="1"/>
  <c r="I1033" i="6" s="1"/>
  <c r="I131" i="6"/>
  <c r="I652" i="6"/>
  <c r="I630" i="6"/>
  <c r="F18" i="2"/>
  <c r="AJ10" i="3" s="1"/>
  <c r="I384" i="6"/>
  <c r="I781" i="6"/>
  <c r="I825" i="6"/>
  <c r="I311" i="6"/>
  <c r="I393" i="6"/>
  <c r="I386" i="6"/>
  <c r="I499" i="6"/>
  <c r="I497" i="6"/>
  <c r="F699" i="6"/>
  <c r="G699" i="6" s="1"/>
  <c r="I699" i="6" s="1"/>
  <c r="I478" i="6"/>
  <c r="I957" i="6"/>
  <c r="I813" i="6"/>
  <c r="H11" i="2"/>
  <c r="AC12" i="3" s="1"/>
  <c r="D18" i="6"/>
  <c r="E18" i="6" s="1"/>
  <c r="I18" i="6" s="1"/>
  <c r="D14" i="6"/>
  <c r="E14" i="6" s="1"/>
  <c r="I14" i="6" s="1"/>
  <c r="C10" i="2"/>
  <c r="AB7" i="3" s="1"/>
  <c r="F953" i="6"/>
  <c r="G953" i="6" s="1"/>
  <c r="I953" i="6" s="1"/>
  <c r="I934" i="6"/>
  <c r="F703" i="6"/>
  <c r="G703" i="6" s="1"/>
  <c r="I703" i="6" s="1"/>
  <c r="I319" i="6"/>
  <c r="I438" i="6"/>
  <c r="F321" i="6"/>
  <c r="G321" i="6" s="1"/>
  <c r="I321" i="6" s="1"/>
  <c r="I802" i="6"/>
  <c r="I142" i="6"/>
  <c r="I105" i="6"/>
  <c r="I901" i="6"/>
  <c r="I985" i="6"/>
  <c r="I391" i="6"/>
  <c r="I376" i="6"/>
  <c r="I582" i="6"/>
  <c r="I279" i="6"/>
  <c r="I169" i="6"/>
  <c r="I636" i="6"/>
  <c r="I885" i="6"/>
  <c r="F1000" i="6"/>
  <c r="G1000" i="6" s="1"/>
  <c r="I1000" i="6" s="1"/>
  <c r="I99" i="6"/>
  <c r="I457" i="6"/>
  <c r="I1035" i="6"/>
  <c r="I139" i="6"/>
  <c r="I343" i="6"/>
  <c r="I382" i="6"/>
  <c r="I791" i="6"/>
  <c r="I928" i="6"/>
  <c r="I276" i="6"/>
  <c r="I379" i="6"/>
  <c r="I500" i="6"/>
  <c r="I682" i="6"/>
  <c r="I412" i="6"/>
  <c r="I844" i="6"/>
  <c r="I770" i="6"/>
  <c r="I372" i="6"/>
  <c r="I107" i="6"/>
  <c r="I351" i="6"/>
  <c r="I710" i="6"/>
  <c r="I977" i="6"/>
  <c r="I312" i="6"/>
  <c r="I796" i="6"/>
  <c r="I1022" i="6"/>
  <c r="I1029" i="6"/>
  <c r="F84" i="6"/>
  <c r="G84" i="6" s="1"/>
  <c r="I84" i="6" s="1"/>
  <c r="I201" i="6"/>
  <c r="I233" i="6"/>
  <c r="I152" i="6"/>
  <c r="I191" i="6"/>
  <c r="I531" i="6"/>
  <c r="I465" i="6"/>
  <c r="I532" i="6"/>
  <c r="I689" i="6"/>
  <c r="I846" i="6"/>
  <c r="I857" i="6"/>
  <c r="I433" i="6"/>
  <c r="I1025" i="6"/>
  <c r="I394" i="6"/>
  <c r="D12" i="6"/>
  <c r="E12" i="6" s="1"/>
  <c r="I12" i="6" s="1"/>
  <c r="I936" i="6"/>
  <c r="I137" i="6"/>
  <c r="I232" i="6"/>
  <c r="D17" i="6"/>
  <c r="E17" i="6" s="1"/>
  <c r="I17" i="6" s="1"/>
  <c r="I334" i="6"/>
  <c r="I163" i="6"/>
  <c r="I435" i="6"/>
  <c r="I344" i="6"/>
  <c r="F247" i="6"/>
  <c r="G247" i="6" s="1"/>
  <c r="I247" i="6" s="1"/>
  <c r="I184" i="6"/>
  <c r="O4" i="2"/>
  <c r="V19" i="3" s="1"/>
  <c r="I273" i="6"/>
  <c r="I138" i="6"/>
  <c r="I202" i="6"/>
  <c r="I375" i="6"/>
  <c r="I200" i="6"/>
  <c r="I256" i="6"/>
  <c r="I536" i="6"/>
  <c r="I315" i="6"/>
  <c r="I347" i="6"/>
  <c r="I584" i="6"/>
  <c r="I721" i="6"/>
  <c r="I803" i="6"/>
  <c r="I898" i="6"/>
  <c r="I1004" i="6"/>
  <c r="I335" i="6"/>
  <c r="I606" i="6"/>
  <c r="M16" i="2"/>
  <c r="AH17" i="3" s="1"/>
  <c r="F1007" i="6"/>
  <c r="G1007" i="6" s="1"/>
  <c r="I1007" i="6" s="1"/>
  <c r="F17" i="2"/>
  <c r="AI10" i="3" s="1"/>
  <c r="B9" i="2"/>
  <c r="AA6" i="3" s="1"/>
  <c r="I34" i="6"/>
  <c r="I265" i="6"/>
  <c r="I90" i="6"/>
  <c r="I235" i="6"/>
  <c r="I116" i="6"/>
  <c r="I507" i="6"/>
  <c r="I632" i="6"/>
  <c r="I838" i="6"/>
  <c r="I828" i="6"/>
  <c r="H12" i="2"/>
  <c r="AD12" i="3" s="1"/>
  <c r="I5" i="2"/>
  <c r="W13" i="3" s="1"/>
  <c r="B22" i="3"/>
  <c r="K12" i="2"/>
  <c r="AD15" i="3" s="1"/>
  <c r="D17" i="2"/>
  <c r="AI8" i="3" s="1"/>
  <c r="I156" i="6"/>
  <c r="F788" i="6"/>
  <c r="G788" i="6" s="1"/>
  <c r="I788" i="6" s="1"/>
  <c r="I941" i="6"/>
  <c r="F295" i="6"/>
  <c r="G295" i="6" s="1"/>
  <c r="I295" i="6" s="1"/>
  <c r="I267" i="6"/>
  <c r="I422" i="6"/>
  <c r="F932" i="6"/>
  <c r="G932" i="6" s="1"/>
  <c r="I932" i="6" s="1"/>
  <c r="Q15" i="2"/>
  <c r="AG21" i="3" s="1"/>
  <c r="O9" i="2"/>
  <c r="AA19" i="3" s="1"/>
  <c r="K8" i="2"/>
  <c r="Z15" i="3" s="1"/>
  <c r="F15" i="2"/>
  <c r="AG10" i="3" s="1"/>
  <c r="D10" i="6"/>
  <c r="E10" i="6" s="1"/>
  <c r="I10" i="6" s="1"/>
  <c r="D16" i="6"/>
  <c r="E16" i="6" s="1"/>
  <c r="I16" i="6" s="1"/>
  <c r="B12" i="2"/>
  <c r="AD6" i="3" s="1"/>
  <c r="I35" i="6"/>
  <c r="I170" i="6"/>
  <c r="I176" i="6"/>
  <c r="I208" i="6"/>
  <c r="I302" i="6"/>
  <c r="I502" i="6"/>
  <c r="I308" i="6"/>
  <c r="I580" i="6"/>
  <c r="I628" i="6"/>
  <c r="I764" i="6"/>
  <c r="R13" i="2"/>
  <c r="AE22" i="3" s="1"/>
  <c r="I12" i="2"/>
  <c r="AD13" i="3" s="1"/>
  <c r="C12" i="2"/>
  <c r="AD7" i="3" s="1"/>
  <c r="C18" i="2"/>
  <c r="AJ7" i="3" s="1"/>
  <c r="I494" i="6"/>
  <c r="I882" i="6"/>
  <c r="I918" i="6"/>
  <c r="Q18" i="2"/>
  <c r="AJ21" i="3" s="1"/>
  <c r="D16" i="2"/>
  <c r="AH8" i="3" s="1"/>
  <c r="I249" i="6"/>
  <c r="D8" i="2"/>
  <c r="Z8" i="3" s="1"/>
  <c r="F482" i="6"/>
  <c r="G482" i="6" s="1"/>
  <c r="I482" i="6" s="1"/>
  <c r="I973" i="6"/>
  <c r="I817" i="6"/>
  <c r="I596" i="6"/>
  <c r="K10" i="2"/>
  <c r="AB15" i="3" s="1"/>
  <c r="I404" i="6"/>
  <c r="I227" i="6"/>
  <c r="I371" i="6"/>
  <c r="I552" i="6"/>
  <c r="I340" i="6"/>
  <c r="I598" i="6"/>
  <c r="I409" i="6"/>
  <c r="I681" i="6"/>
  <c r="I902" i="6"/>
  <c r="I309" i="6"/>
  <c r="I915" i="6"/>
  <c r="I980" i="6"/>
  <c r="I763" i="6"/>
  <c r="I604" i="6"/>
  <c r="I810" i="6"/>
  <c r="D19" i="6"/>
  <c r="E19" i="6" s="1"/>
  <c r="I19" i="6" s="1"/>
  <c r="C6" i="2"/>
  <c r="X7" i="3" s="1"/>
  <c r="I77" i="6"/>
  <c r="F296" i="6"/>
  <c r="G296" i="6" s="1"/>
  <c r="I296" i="6" s="1"/>
  <c r="I527" i="6"/>
  <c r="I795" i="6"/>
  <c r="H17" i="2"/>
  <c r="AI12" i="3" s="1"/>
  <c r="H9" i="2"/>
  <c r="AA12" i="3" s="1"/>
  <c r="I251" i="6"/>
  <c r="I262" i="6"/>
  <c r="I475" i="6"/>
  <c r="I883" i="6"/>
  <c r="Q10" i="2"/>
  <c r="AB21" i="3" s="1"/>
  <c r="J11" i="2"/>
  <c r="AC14" i="3" s="1"/>
  <c r="I264" i="6"/>
  <c r="F574" i="6"/>
  <c r="G574" i="6" s="1"/>
  <c r="I574" i="6" s="1"/>
  <c r="I341" i="6"/>
  <c r="I373" i="6"/>
  <c r="I443" i="6"/>
  <c r="I339" i="6"/>
  <c r="I402" i="6"/>
  <c r="I676" i="6"/>
  <c r="I616" i="6"/>
  <c r="F727" i="6"/>
  <c r="G727" i="6" s="1"/>
  <c r="I727" i="6" s="1"/>
  <c r="I912" i="6"/>
  <c r="J9" i="2"/>
  <c r="AA14" i="3" s="1"/>
  <c r="G16" i="2"/>
  <c r="AH11" i="3" s="1"/>
  <c r="I8" i="2"/>
  <c r="Z13" i="3" s="1"/>
  <c r="E7" i="2"/>
  <c r="Y9" i="3" s="1"/>
  <c r="I441" i="6"/>
  <c r="I473" i="6"/>
  <c r="I505" i="6"/>
  <c r="I684" i="6"/>
  <c r="E17" i="2"/>
  <c r="AI9" i="3" s="1"/>
  <c r="P15" i="2"/>
  <c r="AG20" i="3" s="1"/>
  <c r="I879" i="6"/>
  <c r="I865" i="6"/>
  <c r="I771" i="6"/>
  <c r="I718" i="6"/>
  <c r="F136" i="6"/>
  <c r="G136" i="6" s="1"/>
  <c r="I136" i="6" s="1"/>
  <c r="I383" i="6"/>
  <c r="I492" i="6"/>
  <c r="I548" i="6"/>
  <c r="I750" i="6"/>
  <c r="I782" i="6"/>
  <c r="I926" i="6"/>
  <c r="I948" i="6"/>
  <c r="I858" i="6"/>
  <c r="M11" i="2"/>
  <c r="AC17" i="3" s="1"/>
  <c r="O5" i="2"/>
  <c r="W19" i="3" s="1"/>
  <c r="I649" i="6"/>
  <c r="I468" i="6"/>
  <c r="I612" i="6"/>
  <c r="I904" i="6"/>
  <c r="I814" i="6"/>
  <c r="I1021" i="6"/>
  <c r="I829" i="6"/>
  <c r="I558" i="6"/>
  <c r="I417" i="6"/>
  <c r="I449" i="6"/>
  <c r="I481" i="6"/>
  <c r="I513" i="6"/>
  <c r="I624" i="6"/>
  <c r="I651" i="6"/>
  <c r="I799" i="6"/>
  <c r="I749" i="6"/>
  <c r="F894" i="6"/>
  <c r="G894" i="6" s="1"/>
  <c r="I894" i="6" s="1"/>
  <c r="I893" i="6"/>
  <c r="I988" i="6"/>
  <c r="I283" i="6"/>
  <c r="N11" i="2"/>
  <c r="AC18" i="3" s="1"/>
  <c r="G8" i="2"/>
  <c r="Z11" i="3" s="1"/>
  <c r="I293" i="6"/>
  <c r="I634" i="6"/>
  <c r="F944" i="6"/>
  <c r="G944" i="6" s="1"/>
  <c r="I944" i="6" s="1"/>
  <c r="C8" i="2"/>
  <c r="Z7" i="3" s="1"/>
  <c r="F818" i="6"/>
  <c r="G818" i="6" s="1"/>
  <c r="I818" i="6" s="1"/>
  <c r="R5" i="2"/>
  <c r="W22" i="3" s="1"/>
  <c r="P13" i="2"/>
  <c r="AE20" i="3" s="1"/>
  <c r="H5" i="2"/>
  <c r="W12" i="3" s="1"/>
  <c r="B7" i="2"/>
  <c r="Y6" i="3" s="1"/>
  <c r="D15" i="6"/>
  <c r="E15" i="6" s="1"/>
  <c r="I15" i="6" s="1"/>
  <c r="F6" i="2"/>
  <c r="X10" i="3" s="1"/>
  <c r="D5" i="2"/>
  <c r="W8" i="3" s="1"/>
  <c r="I275" i="6"/>
  <c r="I428" i="6"/>
  <c r="I425" i="6"/>
  <c r="I590" i="6"/>
  <c r="I657" i="6"/>
  <c r="F729" i="6"/>
  <c r="G729" i="6" s="1"/>
  <c r="I729" i="6" s="1"/>
  <c r="I1005" i="6"/>
  <c r="F996" i="6"/>
  <c r="G996" i="6" s="1"/>
  <c r="I996" i="6" s="1"/>
  <c r="R7" i="2"/>
  <c r="Y22" i="3" s="1"/>
  <c r="M17" i="2"/>
  <c r="AI17" i="3" s="1"/>
  <c r="I74" i="6"/>
  <c r="I177" i="6"/>
  <c r="I209" i="6"/>
  <c r="I241" i="6"/>
  <c r="I400" i="6"/>
  <c r="I303" i="6"/>
  <c r="I259" i="6"/>
  <c r="I348" i="6"/>
  <c r="I380" i="6"/>
  <c r="I692" i="6"/>
  <c r="I534" i="6"/>
  <c r="I539" i="6"/>
  <c r="F622" i="6"/>
  <c r="G622" i="6" s="1"/>
  <c r="I622" i="6" s="1"/>
  <c r="I709" i="6"/>
  <c r="I725" i="6"/>
  <c r="I751" i="6"/>
  <c r="I867" i="6"/>
  <c r="I1001" i="6"/>
  <c r="I958" i="6"/>
  <c r="F1023" i="6"/>
  <c r="G1023" i="6" s="1"/>
  <c r="I1023" i="6" s="1"/>
  <c r="Q4" i="2"/>
  <c r="V21" i="3" s="1"/>
  <c r="O15" i="2"/>
  <c r="AG19" i="3" s="1"/>
  <c r="L17" i="2"/>
  <c r="AI16" i="3" s="1"/>
  <c r="H15" i="2"/>
  <c r="AG12" i="3" s="1"/>
  <c r="I36" i="6"/>
  <c r="I30" i="6"/>
  <c r="I78" i="6"/>
  <c r="I325" i="6"/>
  <c r="I357" i="6"/>
  <c r="I542" i="6"/>
  <c r="I731" i="6"/>
  <c r="I773" i="6"/>
  <c r="I805" i="6"/>
  <c r="F862" i="6"/>
  <c r="G862" i="6" s="1"/>
  <c r="I862" i="6" s="1"/>
  <c r="F923" i="6"/>
  <c r="G923" i="6" s="1"/>
  <c r="I923" i="6" s="1"/>
  <c r="I852" i="6"/>
  <c r="I989" i="6"/>
  <c r="I927" i="6"/>
  <c r="C16" i="2"/>
  <c r="AH7" i="3" s="1"/>
  <c r="M4" i="2"/>
  <c r="V17" i="3" s="1"/>
  <c r="I13" i="2"/>
  <c r="AE13" i="3" s="1"/>
  <c r="I16" i="2"/>
  <c r="AH13" i="3" s="1"/>
  <c r="G14" i="2"/>
  <c r="AF11" i="3" s="1"/>
  <c r="H14" i="2"/>
  <c r="AF12" i="3" s="1"/>
  <c r="I253" i="6"/>
  <c r="I660" i="6"/>
  <c r="I665" i="6"/>
  <c r="I783" i="6"/>
  <c r="I998" i="6"/>
  <c r="I1032" i="6"/>
  <c r="N10" i="2"/>
  <c r="AB18" i="3" s="1"/>
  <c r="M10" i="2"/>
  <c r="AB17" i="3" s="1"/>
  <c r="J12" i="2"/>
  <c r="AD14" i="3" s="1"/>
  <c r="J8" i="2"/>
  <c r="Z14" i="3" s="1"/>
  <c r="I203" i="6"/>
  <c r="I252" i="6"/>
  <c r="I399" i="6"/>
  <c r="F786" i="6"/>
  <c r="G786" i="6" s="1"/>
  <c r="I786" i="6" s="1"/>
  <c r="I833" i="6"/>
  <c r="I861" i="6"/>
  <c r="F910" i="6"/>
  <c r="G910" i="6" s="1"/>
  <c r="I910" i="6" s="1"/>
  <c r="F942" i="6"/>
  <c r="G942" i="6" s="1"/>
  <c r="I942" i="6" s="1"/>
  <c r="Q13" i="2"/>
  <c r="AE21" i="3" s="1"/>
  <c r="M13" i="2"/>
  <c r="AE17" i="3" s="1"/>
  <c r="H6" i="2"/>
  <c r="X12" i="3" s="1"/>
  <c r="I697" i="6"/>
  <c r="I903" i="6"/>
  <c r="I964" i="6"/>
  <c r="O6" i="2"/>
  <c r="X19" i="3" s="1"/>
  <c r="M7" i="2"/>
  <c r="Y17" i="3" s="1"/>
  <c r="C13" i="2"/>
  <c r="AE7" i="3" s="1"/>
  <c r="O18" i="2"/>
  <c r="AJ19" i="3" s="1"/>
  <c r="I14" i="2"/>
  <c r="AF13" i="3" s="1"/>
  <c r="I132" i="6"/>
  <c r="I134" i="6"/>
  <c r="I186" i="6"/>
  <c r="I230" i="6"/>
  <c r="I331" i="6"/>
  <c r="I363" i="6"/>
  <c r="I875" i="6"/>
  <c r="E9" i="2"/>
  <c r="AA9" i="3" s="1"/>
  <c r="E8" i="2"/>
  <c r="Z9" i="3" s="1"/>
  <c r="I94" i="6"/>
  <c r="I81" i="6"/>
  <c r="I270" i="6"/>
  <c r="I284" i="6"/>
  <c r="I143" i="6"/>
  <c r="I175" i="6"/>
  <c r="I207" i="6"/>
  <c r="I166" i="6"/>
  <c r="I198" i="6"/>
  <c r="I462" i="6"/>
  <c r="F299" i="6"/>
  <c r="G299" i="6" s="1"/>
  <c r="I299" i="6" s="1"/>
  <c r="I614" i="6"/>
  <c r="I571" i="6"/>
  <c r="I603" i="6"/>
  <c r="I907" i="6"/>
  <c r="I1017" i="6"/>
  <c r="I1020" i="6"/>
  <c r="K18" i="2"/>
  <c r="AJ15" i="3" s="1"/>
  <c r="I6" i="2"/>
  <c r="X13" i="3" s="1"/>
  <c r="I715" i="6"/>
  <c r="I775" i="6"/>
  <c r="I714" i="6"/>
  <c r="I748" i="6"/>
  <c r="I780" i="6"/>
  <c r="I812" i="6"/>
  <c r="I854" i="6"/>
  <c r="I981" i="6"/>
  <c r="I993" i="6"/>
  <c r="I949" i="6"/>
  <c r="I115" i="6"/>
  <c r="I742" i="6"/>
  <c r="I774" i="6"/>
  <c r="I806" i="6"/>
  <c r="I869" i="6"/>
  <c r="I877" i="6"/>
  <c r="N16" i="2"/>
  <c r="AH18" i="3" s="1"/>
  <c r="M8" i="2"/>
  <c r="Z17" i="3" s="1"/>
  <c r="I4" i="2"/>
  <c r="V13" i="3" s="1"/>
  <c r="K13" i="2"/>
  <c r="AE15" i="3" s="1"/>
  <c r="R8" i="2"/>
  <c r="Z22" i="3" s="1"/>
  <c r="I38" i="6"/>
  <c r="I488" i="6"/>
  <c r="I723" i="6"/>
  <c r="I807" i="6"/>
  <c r="I765" i="6"/>
  <c r="I797" i="6"/>
  <c r="I756" i="6"/>
  <c r="I755" i="6"/>
  <c r="G15" i="2"/>
  <c r="AG11" i="3" s="1"/>
  <c r="I101" i="6"/>
  <c r="I96" i="6"/>
  <c r="I29" i="6"/>
  <c r="I648" i="6"/>
  <c r="I639" i="6"/>
  <c r="I671" i="6"/>
  <c r="P10" i="2"/>
  <c r="AB20" i="3" s="1"/>
  <c r="N12" i="2"/>
  <c r="AD18" i="3" s="1"/>
  <c r="G9" i="2"/>
  <c r="AA11" i="3" s="1"/>
  <c r="I248" i="6"/>
  <c r="I746" i="6"/>
  <c r="I778" i="6"/>
  <c r="R18" i="2"/>
  <c r="AJ22" i="3" s="1"/>
  <c r="I118" i="6"/>
  <c r="I178" i="6"/>
  <c r="I210" i="6"/>
  <c r="I359" i="6"/>
  <c r="I216" i="6"/>
  <c r="I323" i="6"/>
  <c r="I355" i="6"/>
  <c r="I931" i="6"/>
  <c r="I899" i="6"/>
  <c r="R15" i="2"/>
  <c r="AG22" i="3" s="1"/>
  <c r="I15" i="2"/>
  <c r="AG13" i="3" s="1"/>
  <c r="D9" i="6"/>
  <c r="E9" i="6" s="1"/>
  <c r="I9" i="6" s="1"/>
  <c r="I146" i="6"/>
  <c r="I147" i="6"/>
  <c r="I432" i="6"/>
  <c r="I563" i="6"/>
  <c r="I595" i="6"/>
  <c r="I627" i="6"/>
  <c r="I680" i="6"/>
  <c r="I1013" i="6"/>
  <c r="I1012" i="6"/>
  <c r="K9" i="2"/>
  <c r="AA15" i="3" s="1"/>
  <c r="F9" i="2"/>
  <c r="AA10" i="3" s="1"/>
  <c r="K5" i="2"/>
  <c r="W15" i="3" s="1"/>
  <c r="H13" i="2"/>
  <c r="AE12" i="3" s="1"/>
  <c r="G5" i="2"/>
  <c r="W11" i="3" s="1"/>
  <c r="I102" i="6"/>
  <c r="I76" i="6"/>
  <c r="I121" i="6"/>
  <c r="I860" i="6"/>
  <c r="I940" i="6"/>
  <c r="I896" i="6"/>
  <c r="I935" i="6"/>
  <c r="I972" i="6"/>
  <c r="I726" i="6"/>
  <c r="I922" i="6"/>
  <c r="I179" i="6"/>
  <c r="I112" i="6"/>
  <c r="I89" i="6"/>
  <c r="I260" i="6"/>
  <c r="I360" i="6"/>
  <c r="I559" i="6"/>
  <c r="I591" i="6"/>
  <c r="I623" i="6"/>
  <c r="I841" i="6"/>
  <c r="I974" i="6"/>
  <c r="P9" i="2"/>
  <c r="AA20" i="3" s="1"/>
  <c r="Q12" i="2"/>
  <c r="AD21" i="3" s="1"/>
  <c r="I39" i="6"/>
  <c r="I71" i="6"/>
  <c r="I106" i="6"/>
  <c r="I408" i="6"/>
  <c r="I522" i="6"/>
  <c r="I837" i="6"/>
  <c r="S20" i="2"/>
  <c r="J16" i="2"/>
  <c r="AH14" i="3" s="1"/>
  <c r="G10" i="2"/>
  <c r="AB11" i="3" s="1"/>
  <c r="I59" i="6"/>
  <c r="I66" i="6"/>
  <c r="I126" i="6"/>
  <c r="I272" i="6"/>
  <c r="I318" i="6"/>
  <c r="I350" i="6"/>
  <c r="J10" i="2"/>
  <c r="AB14" i="3" s="1"/>
  <c r="I17" i="2"/>
  <c r="AI13" i="3" s="1"/>
  <c r="I243" i="6"/>
  <c r="I108" i="6"/>
  <c r="I104" i="6"/>
  <c r="I238" i="6"/>
  <c r="I787" i="6"/>
  <c r="I816" i="6"/>
  <c r="I845" i="6"/>
  <c r="I211" i="6"/>
  <c r="I148" i="6"/>
  <c r="I67" i="6"/>
  <c r="I396" i="6"/>
  <c r="I328" i="6"/>
  <c r="I174" i="6"/>
  <c r="I206" i="6"/>
  <c r="I666" i="6"/>
  <c r="I698" i="6"/>
  <c r="I961" i="6"/>
  <c r="L4" i="2"/>
  <c r="V16" i="3" s="1"/>
  <c r="J6" i="2"/>
  <c r="X14" i="3" s="1"/>
  <c r="K15" i="2"/>
  <c r="AG15" i="3" s="1"/>
  <c r="O16" i="2"/>
  <c r="AH19" i="3" s="1"/>
  <c r="I289" i="6"/>
  <c r="H16" i="2"/>
  <c r="AH12" i="3" s="1"/>
  <c r="D13" i="6"/>
  <c r="E13" i="6" s="1"/>
  <c r="I13" i="6" s="1"/>
  <c r="I124" i="6"/>
  <c r="I50" i="6"/>
  <c r="I185" i="6"/>
  <c r="I217" i="6"/>
  <c r="I159" i="6"/>
  <c r="I459" i="6"/>
  <c r="I292" i="6"/>
  <c r="I324" i="6"/>
  <c r="I356" i="6"/>
  <c r="I557" i="6"/>
  <c r="I589" i="6"/>
  <c r="I621" i="6"/>
  <c r="I888" i="6"/>
  <c r="I866" i="6"/>
  <c r="I870" i="6"/>
  <c r="I123" i="6"/>
  <c r="I254" i="6"/>
  <c r="I182" i="6"/>
  <c r="F165" i="6"/>
  <c r="G165" i="6" s="1"/>
  <c r="I165" i="6" s="1"/>
  <c r="I197" i="6"/>
  <c r="I229" i="6"/>
  <c r="I427" i="6"/>
  <c r="I454" i="6"/>
  <c r="I390" i="6"/>
  <c r="I540" i="6"/>
  <c r="I556" i="6"/>
  <c r="I551" i="6"/>
  <c r="I581" i="6"/>
  <c r="I613" i="6"/>
  <c r="F759" i="6"/>
  <c r="G759" i="6" s="1"/>
  <c r="I759" i="6" s="1"/>
  <c r="I890" i="6"/>
  <c r="I886" i="6"/>
  <c r="I952" i="6"/>
  <c r="I982" i="6"/>
  <c r="I1014" i="6"/>
  <c r="I986" i="6"/>
  <c r="I1018" i="6"/>
  <c r="M15" i="2"/>
  <c r="AG17" i="3" s="1"/>
  <c r="O12" i="2"/>
  <c r="AD19" i="3" s="1"/>
  <c r="I18" i="2"/>
  <c r="AJ13" i="3" s="1"/>
  <c r="H8" i="2"/>
  <c r="Z12" i="3" s="1"/>
  <c r="D10" i="2"/>
  <c r="AB8" i="3" s="1"/>
  <c r="F8" i="2"/>
  <c r="Z10" i="3" s="1"/>
  <c r="I353" i="6"/>
  <c r="O10" i="2"/>
  <c r="AB19" i="3" s="1"/>
  <c r="I98" i="6"/>
  <c r="I161" i="6"/>
  <c r="I193" i="6"/>
  <c r="I225" i="6"/>
  <c r="I167" i="6"/>
  <c r="I199" i="6"/>
  <c r="I231" i="6"/>
  <c r="I583" i="6"/>
  <c r="I615" i="6"/>
  <c r="I555" i="6"/>
  <c r="I587" i="6"/>
  <c r="I619" i="6"/>
  <c r="I895" i="6"/>
  <c r="C4" i="2"/>
  <c r="V7" i="3" s="1"/>
  <c r="N13" i="2"/>
  <c r="AE18" i="3" s="1"/>
  <c r="H4" i="2"/>
  <c r="V12" i="3" s="1"/>
  <c r="D11" i="6"/>
  <c r="E11" i="6" s="1"/>
  <c r="I11" i="6" s="1"/>
  <c r="I91" i="6"/>
  <c r="I70" i="6"/>
  <c r="F187" i="6"/>
  <c r="G187" i="6" s="1"/>
  <c r="I187" i="6" s="1"/>
  <c r="I97" i="6"/>
  <c r="I129" i="6"/>
  <c r="I263" i="6"/>
  <c r="I285" i="6"/>
  <c r="I304" i="6"/>
  <c r="I368" i="6"/>
  <c r="I550" i="6"/>
  <c r="I491" i="6"/>
  <c r="I300" i="6"/>
  <c r="I332" i="6"/>
  <c r="I364" i="6"/>
  <c r="I403" i="6"/>
  <c r="I291" i="6"/>
  <c r="F257" i="6"/>
  <c r="G257" i="6" s="1"/>
  <c r="I257" i="6" s="1"/>
  <c r="I460" i="6"/>
  <c r="I514" i="6"/>
  <c r="I562" i="6"/>
  <c r="I672" i="6"/>
  <c r="I704" i="6"/>
  <c r="I647" i="6"/>
  <c r="I679" i="6"/>
  <c r="I859" i="6"/>
  <c r="I956" i="6"/>
  <c r="F1028" i="6"/>
  <c r="G1028" i="6" s="1"/>
  <c r="I1028" i="6" s="1"/>
  <c r="P12" i="2"/>
  <c r="AD20" i="3" s="1"/>
  <c r="K16" i="2"/>
  <c r="AH15" i="3" s="1"/>
  <c r="H10" i="2"/>
  <c r="AB12" i="3" s="1"/>
  <c r="I9" i="2"/>
  <c r="AA13" i="3" s="1"/>
  <c r="I62" i="6"/>
  <c r="I100" i="6"/>
  <c r="I154" i="6"/>
  <c r="I278" i="6"/>
  <c r="I523" i="6"/>
  <c r="I287" i="6"/>
  <c r="I486" i="6"/>
  <c r="I496" i="6"/>
  <c r="I564" i="6"/>
  <c r="I673" i="6"/>
  <c r="I565" i="6"/>
  <c r="I597" i="6"/>
  <c r="I629" i="6"/>
  <c r="I758" i="6"/>
  <c r="I790" i="6"/>
  <c r="I836" i="6"/>
  <c r="F808" i="6"/>
  <c r="G808" i="6" s="1"/>
  <c r="I808" i="6" s="1"/>
  <c r="I911" i="6"/>
  <c r="I920" i="6"/>
  <c r="I887" i="6"/>
  <c r="I874" i="6"/>
  <c r="I1030" i="6"/>
  <c r="I970" i="6"/>
  <c r="F1002" i="6"/>
  <c r="G1002" i="6" s="1"/>
  <c r="I1002" i="6" s="1"/>
  <c r="I1034" i="6"/>
  <c r="F1016" i="6"/>
  <c r="G1016" i="6" s="1"/>
  <c r="I1016" i="6" s="1"/>
  <c r="C14" i="2"/>
  <c r="M9" i="2"/>
  <c r="AA17" i="3" s="1"/>
  <c r="F16" i="2"/>
  <c r="AH10" i="3" s="1"/>
  <c r="L16" i="2"/>
  <c r="AH16" i="3" s="1"/>
  <c r="J15" i="2"/>
  <c r="AG14" i="3" s="1"/>
  <c r="G4" i="2"/>
  <c r="J7" i="2"/>
  <c r="Y14" i="3" s="1"/>
  <c r="F12" i="2"/>
  <c r="AD10" i="3" s="1"/>
  <c r="F117" i="6"/>
  <c r="G117" i="6" s="1"/>
  <c r="I117" i="6" s="1"/>
  <c r="I82" i="6"/>
  <c r="I65" i="6"/>
  <c r="I261" i="6"/>
  <c r="F242" i="6"/>
  <c r="G242" i="6" s="1"/>
  <c r="I242" i="6" s="1"/>
  <c r="I327" i="6"/>
  <c r="I398" i="6"/>
  <c r="I250" i="6"/>
  <c r="I282" i="6"/>
  <c r="I314" i="6"/>
  <c r="I346" i="6"/>
  <c r="I378" i="6"/>
  <c r="I588" i="6"/>
  <c r="I620" i="6"/>
  <c r="I668" i="6"/>
  <c r="I804" i="6"/>
  <c r="I840" i="6"/>
  <c r="F925" i="6"/>
  <c r="G925" i="6" s="1"/>
  <c r="I925" i="6" s="1"/>
  <c r="F850" i="6"/>
  <c r="G850" i="6" s="1"/>
  <c r="I850" i="6" s="1"/>
  <c r="F848" i="6"/>
  <c r="G848" i="6" s="1"/>
  <c r="I848" i="6" s="1"/>
  <c r="I943" i="6"/>
  <c r="O13" i="2"/>
  <c r="AE19" i="3" s="1"/>
  <c r="Q16" i="2"/>
  <c r="AH21" i="3" s="1"/>
  <c r="N9" i="2"/>
  <c r="AA18" i="3" s="1"/>
  <c r="L10" i="2"/>
  <c r="AB16" i="3" s="1"/>
  <c r="J13" i="2"/>
  <c r="AE14" i="3" s="1"/>
  <c r="L15" i="2"/>
  <c r="AG16" i="3" s="1"/>
  <c r="L12" i="2"/>
  <c r="AD16" i="3" s="1"/>
  <c r="I218" i="6"/>
  <c r="I83" i="6"/>
  <c r="F64" i="6"/>
  <c r="G64" i="6" s="1"/>
  <c r="I64" i="6" s="1"/>
  <c r="I268" i="6"/>
  <c r="I317" i="6"/>
  <c r="I349" i="6"/>
  <c r="I385" i="6"/>
  <c r="I518" i="6"/>
  <c r="I508" i="6"/>
  <c r="I640" i="6"/>
  <c r="I735" i="6"/>
  <c r="I821" i="6"/>
  <c r="I853" i="6"/>
  <c r="I880" i="6"/>
  <c r="F969" i="6"/>
  <c r="G969" i="6" s="1"/>
  <c r="I969" i="6" s="1"/>
  <c r="F1006" i="6"/>
  <c r="G1006" i="6" s="1"/>
  <c r="I1006" i="6" s="1"/>
  <c r="I277" i="6"/>
  <c r="I214" i="6"/>
  <c r="I153" i="6"/>
  <c r="B6" i="2"/>
  <c r="N4" i="2"/>
  <c r="L9" i="2"/>
  <c r="AA16" i="3" s="1"/>
  <c r="L6" i="2"/>
  <c r="X16" i="3" s="1"/>
  <c r="L13" i="2"/>
  <c r="AE16" i="3" s="1"/>
  <c r="F13" i="2"/>
  <c r="AE10" i="3" s="1"/>
  <c r="I72" i="6"/>
  <c r="I155" i="6"/>
  <c r="I58" i="6"/>
  <c r="I120" i="6"/>
  <c r="I32" i="6"/>
  <c r="I113" i="6"/>
  <c r="I145" i="6"/>
  <c r="I172" i="6"/>
  <c r="I204" i="6"/>
  <c r="I236" i="6"/>
  <c r="I336" i="6"/>
  <c r="I294" i="6"/>
  <c r="I326" i="6"/>
  <c r="I358" i="6"/>
  <c r="I395" i="6"/>
  <c r="I436" i="6"/>
  <c r="I426" i="6"/>
  <c r="I416" i="6"/>
  <c r="I476" i="6"/>
  <c r="I466" i="6"/>
  <c r="I498" i="6"/>
  <c r="I554" i="6"/>
  <c r="I570" i="6"/>
  <c r="I423" i="6"/>
  <c r="I455" i="6"/>
  <c r="I487" i="6"/>
  <c r="I519" i="6"/>
  <c r="I641" i="6"/>
  <c r="I700" i="6"/>
  <c r="I642" i="6"/>
  <c r="I578" i="6"/>
  <c r="I610" i="6"/>
  <c r="I658" i="6"/>
  <c r="I690" i="6"/>
  <c r="I656" i="6"/>
  <c r="I688" i="6"/>
  <c r="I663" i="6"/>
  <c r="I695" i="6"/>
  <c r="I767" i="6"/>
  <c r="I757" i="6"/>
  <c r="I789" i="6"/>
  <c r="I820" i="6"/>
  <c r="I716" i="6"/>
  <c r="I747" i="6"/>
  <c r="I779" i="6"/>
  <c r="I811" i="6"/>
  <c r="I762" i="6"/>
  <c r="I794" i="6"/>
  <c r="I737" i="6"/>
  <c r="I769" i="6"/>
  <c r="I801" i="6"/>
  <c r="I891" i="6"/>
  <c r="I959" i="6"/>
  <c r="I843" i="6"/>
  <c r="I997" i="6"/>
  <c r="I917" i="6"/>
  <c r="I856" i="6"/>
  <c r="I831" i="6"/>
  <c r="I863" i="6"/>
  <c r="I881" i="6"/>
  <c r="I913" i="6"/>
  <c r="I945" i="6"/>
  <c r="I955" i="6"/>
  <c r="I987" i="6"/>
  <c r="I1019" i="6"/>
  <c r="I991" i="6"/>
  <c r="D13" i="2"/>
  <c r="AE8" i="3" s="1"/>
  <c r="AI22" i="3"/>
  <c r="D21" i="6"/>
  <c r="E21" i="6" s="1"/>
  <c r="I21" i="6" s="1"/>
  <c r="R11" i="2"/>
  <c r="D20" i="6"/>
  <c r="E20" i="6" s="1"/>
  <c r="I20" i="6" s="1"/>
  <c r="Q11" i="2"/>
  <c r="O7" i="2"/>
  <c r="N5" i="2"/>
  <c r="W18" i="3" s="1"/>
  <c r="L5" i="2"/>
  <c r="W16" i="3" s="1"/>
  <c r="K4" i="2"/>
  <c r="J5" i="2"/>
  <c r="G13" i="2"/>
  <c r="AE11" i="3" s="1"/>
  <c r="F10" i="2"/>
  <c r="AB10" i="3" s="1"/>
  <c r="I717" i="6"/>
  <c r="I28" i="6"/>
  <c r="F195" i="6"/>
  <c r="G195" i="6" s="1"/>
  <c r="I195" i="6" s="1"/>
  <c r="F109" i="6"/>
  <c r="G109" i="6" s="1"/>
  <c r="I109" i="6" s="1"/>
  <c r="I288" i="6"/>
  <c r="I111" i="6"/>
  <c r="I434" i="6"/>
  <c r="I547" i="6"/>
  <c r="F307" i="6"/>
  <c r="G307" i="6" s="1"/>
  <c r="I307" i="6" s="1"/>
  <c r="I420" i="6"/>
  <c r="I381" i="6"/>
  <c r="I413" i="6"/>
  <c r="I445" i="6"/>
  <c r="I477" i="6"/>
  <c r="I509" i="6"/>
  <c r="I452" i="6"/>
  <c r="F484" i="6"/>
  <c r="G484" i="6" s="1"/>
  <c r="I484" i="6" s="1"/>
  <c r="I516" i="6"/>
  <c r="I592" i="6"/>
  <c r="I512" i="6"/>
  <c r="I575" i="6"/>
  <c r="I607" i="6"/>
  <c r="I549" i="6"/>
  <c r="I579" i="6"/>
  <c r="I611" i="6"/>
  <c r="I553" i="6"/>
  <c r="I585" i="6"/>
  <c r="I617" i="6"/>
  <c r="I683" i="6"/>
  <c r="I638" i="6"/>
  <c r="I670" i="6"/>
  <c r="I702" i="6"/>
  <c r="I661" i="6"/>
  <c r="I693" i="6"/>
  <c r="I760" i="6"/>
  <c r="I792" i="6"/>
  <c r="I830" i="6"/>
  <c r="I951" i="6"/>
  <c r="I884" i="6"/>
  <c r="I916" i="6"/>
  <c r="I968" i="6"/>
  <c r="I53" i="6"/>
  <c r="F85" i="6"/>
  <c r="G85" i="6" s="1"/>
  <c r="I85" i="6" s="1"/>
  <c r="I130" i="6"/>
  <c r="F133" i="6"/>
  <c r="G133" i="6" s="1"/>
  <c r="I133" i="6" s="1"/>
  <c r="I79" i="6"/>
  <c r="I173" i="6"/>
  <c r="I205" i="6"/>
  <c r="I237" i="6"/>
  <c r="I180" i="6"/>
  <c r="I212" i="6"/>
  <c r="I244" i="6"/>
  <c r="I352" i="6"/>
  <c r="I407" i="6"/>
  <c r="I472" i="6"/>
  <c r="I258" i="6"/>
  <c r="I290" i="6"/>
  <c r="I322" i="6"/>
  <c r="I354" i="6"/>
  <c r="I388" i="6"/>
  <c r="I297" i="6"/>
  <c r="I329" i="6"/>
  <c r="I361" i="6"/>
  <c r="I392" i="6"/>
  <c r="I442" i="6"/>
  <c r="I608" i="6"/>
  <c r="I474" i="6"/>
  <c r="I506" i="6"/>
  <c r="I431" i="6"/>
  <c r="I463" i="6"/>
  <c r="I495" i="6"/>
  <c r="I528" i="6"/>
  <c r="I572" i="6"/>
  <c r="I586" i="6"/>
  <c r="I618" i="6"/>
  <c r="I713" i="6"/>
  <c r="I696" i="6"/>
  <c r="I733" i="6"/>
  <c r="I724" i="6"/>
  <c r="I745" i="6"/>
  <c r="I777" i="6"/>
  <c r="I809" i="6"/>
  <c r="I819" i="6"/>
  <c r="I851" i="6"/>
  <c r="I834" i="6"/>
  <c r="I930" i="6"/>
  <c r="I864" i="6"/>
  <c r="I839" i="6"/>
  <c r="I889" i="6"/>
  <c r="I921" i="6"/>
  <c r="I963" i="6"/>
  <c r="I995" i="6"/>
  <c r="I1027" i="6"/>
  <c r="I1031" i="6"/>
  <c r="B4" i="2"/>
  <c r="V8" i="3"/>
  <c r="C5" i="2"/>
  <c r="B10" i="2"/>
  <c r="E10" i="2"/>
  <c r="AB9" i="3" s="1"/>
  <c r="AI7" i="3"/>
  <c r="I68" i="6"/>
  <c r="K7" i="6"/>
  <c r="I57" i="6"/>
  <c r="F93" i="6"/>
  <c r="G93" i="6" s="1"/>
  <c r="I93" i="6" s="1"/>
  <c r="I122" i="6"/>
  <c r="I144" i="6"/>
  <c r="F240" i="6"/>
  <c r="G240" i="6" s="1"/>
  <c r="I240" i="6" s="1"/>
  <c r="I119" i="6"/>
  <c r="I151" i="6"/>
  <c r="I183" i="6"/>
  <c r="I215" i="6"/>
  <c r="I246" i="6"/>
  <c r="I430" i="6"/>
  <c r="I448" i="6"/>
  <c r="I389" i="6"/>
  <c r="I421" i="6"/>
  <c r="I453" i="6"/>
  <c r="I485" i="6"/>
  <c r="I517" i="6"/>
  <c r="I576" i="6"/>
  <c r="I560" i="6"/>
  <c r="I520" i="6"/>
  <c r="I525" i="6"/>
  <c r="I529" i="6"/>
  <c r="I561" i="6"/>
  <c r="I593" i="6"/>
  <c r="I625" i="6"/>
  <c r="I659" i="6"/>
  <c r="I691" i="6"/>
  <c r="I646" i="6"/>
  <c r="I678" i="6"/>
  <c r="I711" i="6"/>
  <c r="I637" i="6"/>
  <c r="I669" i="6"/>
  <c r="I701" i="6"/>
  <c r="I826" i="6"/>
  <c r="I736" i="6"/>
  <c r="I768" i="6"/>
  <c r="I871" i="6"/>
  <c r="I966" i="6"/>
  <c r="I990" i="6"/>
  <c r="I892" i="6"/>
  <c r="I924" i="6"/>
  <c r="I962" i="6"/>
  <c r="I994" i="6"/>
  <c r="I1026" i="6"/>
  <c r="I976" i="6"/>
  <c r="I1008" i="6"/>
  <c r="D6" i="6"/>
  <c r="E6" i="6" s="1"/>
  <c r="D15" i="2"/>
  <c r="AG8" i="3" s="1"/>
  <c r="C15" i="2"/>
  <c r="AG7" i="3" s="1"/>
  <c r="E6" i="2"/>
  <c r="X9" i="3" s="1"/>
  <c r="B13" i="2"/>
  <c r="B8" i="2"/>
  <c r="F80" i="6"/>
  <c r="G80" i="6" s="1"/>
  <c r="I80" i="6" s="1"/>
  <c r="I55" i="6"/>
  <c r="I87" i="6"/>
  <c r="F125" i="6"/>
  <c r="G125" i="6" s="1"/>
  <c r="I125" i="6" s="1"/>
  <c r="I162" i="6"/>
  <c r="I194" i="6"/>
  <c r="F226" i="6"/>
  <c r="G226" i="6" s="1"/>
  <c r="I226" i="6" s="1"/>
  <c r="F149" i="6"/>
  <c r="G149" i="6" s="1"/>
  <c r="I149" i="6" s="1"/>
  <c r="I181" i="6"/>
  <c r="I213" i="6"/>
  <c r="I245" i="6"/>
  <c r="I188" i="6"/>
  <c r="I220" i="6"/>
  <c r="I255" i="6"/>
  <c r="I301" i="6"/>
  <c r="I333" i="6"/>
  <c r="I365" i="6"/>
  <c r="I464" i="6"/>
  <c r="I266" i="6"/>
  <c r="I298" i="6"/>
  <c r="I330" i="6"/>
  <c r="I362" i="6"/>
  <c r="I305" i="6"/>
  <c r="I337" i="6"/>
  <c r="I401" i="6"/>
  <c r="I530" i="6"/>
  <c r="I450" i="6"/>
  <c r="I600" i="6"/>
  <c r="I439" i="6"/>
  <c r="I471" i="6"/>
  <c r="I503" i="6"/>
  <c r="I594" i="6"/>
  <c r="I626" i="6"/>
  <c r="I674" i="6"/>
  <c r="I705" i="6"/>
  <c r="I824" i="6"/>
  <c r="I741" i="6"/>
  <c r="I732" i="6"/>
  <c r="I753" i="6"/>
  <c r="I785" i="6"/>
  <c r="I872" i="6"/>
  <c r="I906" i="6"/>
  <c r="I878" i="6"/>
  <c r="I827" i="6"/>
  <c r="I842" i="6"/>
  <c r="I815" i="6"/>
  <c r="I847" i="6"/>
  <c r="I950" i="6"/>
  <c r="I897" i="6"/>
  <c r="I929" i="6"/>
  <c r="I939" i="6"/>
  <c r="I971" i="6"/>
  <c r="I1003" i="6"/>
  <c r="I975" i="6"/>
  <c r="B16" i="2"/>
  <c r="B19" i="3" s="1"/>
  <c r="E4" i="2"/>
  <c r="D5" i="6"/>
  <c r="I271" i="6"/>
  <c r="AJ6" i="3"/>
  <c r="I86" i="6"/>
  <c r="F33" i="6"/>
  <c r="G33" i="6" s="1"/>
  <c r="I33" i="6" s="1"/>
  <c r="I95" i="6"/>
  <c r="I127" i="6"/>
  <c r="I150" i="6"/>
  <c r="I451" i="6"/>
  <c r="I310" i="6"/>
  <c r="I342" i="6"/>
  <c r="I374" i="6"/>
  <c r="I418" i="6"/>
  <c r="F440" i="6"/>
  <c r="G440" i="6" s="1"/>
  <c r="I440" i="6" s="1"/>
  <c r="I480" i="6"/>
  <c r="I397" i="6"/>
  <c r="I429" i="6"/>
  <c r="I461" i="6"/>
  <c r="I493" i="6"/>
  <c r="I524" i="6"/>
  <c r="I544" i="6"/>
  <c r="I533" i="6"/>
  <c r="I537" i="6"/>
  <c r="I569" i="6"/>
  <c r="I601" i="6"/>
  <c r="I667" i="6"/>
  <c r="I654" i="6"/>
  <c r="I686" i="6"/>
  <c r="I645" i="6"/>
  <c r="I677" i="6"/>
  <c r="I707" i="6"/>
  <c r="I712" i="6"/>
  <c r="I744" i="6"/>
  <c r="I776" i="6"/>
  <c r="I909" i="6"/>
  <c r="I933" i="6"/>
  <c r="I967" i="6"/>
  <c r="I868" i="6"/>
  <c r="I900" i="6"/>
  <c r="I938" i="6"/>
  <c r="I984" i="6"/>
  <c r="D9" i="2"/>
  <c r="AA8" i="3" s="1"/>
  <c r="AC6" i="3"/>
  <c r="E5" i="2"/>
  <c r="W9" i="3" s="1"/>
  <c r="AG6" i="3"/>
  <c r="F37" i="6"/>
  <c r="G37" i="6" s="1"/>
  <c r="I37" i="6" s="1"/>
  <c r="I69" i="6"/>
  <c r="I75" i="6"/>
  <c r="F141" i="6"/>
  <c r="G141" i="6" s="1"/>
  <c r="I141" i="6" s="1"/>
  <c r="F56" i="6"/>
  <c r="G56" i="6" s="1"/>
  <c r="I56" i="6" s="1"/>
  <c r="I88" i="6"/>
  <c r="I31" i="6"/>
  <c r="I140" i="6"/>
  <c r="F234" i="6"/>
  <c r="G234" i="6" s="1"/>
  <c r="I234" i="6" s="1"/>
  <c r="F157" i="6"/>
  <c r="G157" i="6" s="1"/>
  <c r="I157" i="6" s="1"/>
  <c r="I221" i="6"/>
  <c r="I387" i="6"/>
  <c r="I164" i="6"/>
  <c r="I196" i="6"/>
  <c r="I228" i="6"/>
  <c r="I320" i="6"/>
  <c r="F456" i="6"/>
  <c r="G456" i="6" s="1"/>
  <c r="I456" i="6" s="1"/>
  <c r="I419" i="6"/>
  <c r="I515" i="6"/>
  <c r="I274" i="6"/>
  <c r="I306" i="6"/>
  <c r="I338" i="6"/>
  <c r="I370" i="6"/>
  <c r="I411" i="6"/>
  <c r="I281" i="6"/>
  <c r="I313" i="6"/>
  <c r="I345" i="6"/>
  <c r="I377" i="6"/>
  <c r="I406" i="6"/>
  <c r="I510" i="6"/>
  <c r="I543" i="6"/>
  <c r="I458" i="6"/>
  <c r="I490" i="6"/>
  <c r="I566" i="6"/>
  <c r="I415" i="6"/>
  <c r="I447" i="6"/>
  <c r="I479" i="6"/>
  <c r="I511" i="6"/>
  <c r="I722" i="6"/>
  <c r="I602" i="6"/>
  <c r="I650" i="6"/>
  <c r="I719" i="6"/>
  <c r="I687" i="6"/>
  <c r="I708" i="6"/>
  <c r="I754" i="6"/>
  <c r="I761" i="6"/>
  <c r="I793" i="6"/>
  <c r="I835" i="6"/>
  <c r="I823" i="6"/>
  <c r="I855" i="6"/>
  <c r="I914" i="6"/>
  <c r="I873" i="6"/>
  <c r="I905" i="6"/>
  <c r="I947" i="6"/>
  <c r="I979" i="6"/>
  <c r="I1011" i="6"/>
  <c r="I983" i="6"/>
  <c r="I1015" i="6"/>
  <c r="D8" i="6"/>
  <c r="E8" i="6" s="1"/>
  <c r="I8" i="6" s="1"/>
  <c r="K4" i="6"/>
  <c r="D7" i="6"/>
  <c r="E7" i="6" s="1"/>
  <c r="I7" i="6" s="1"/>
  <c r="I54" i="6"/>
  <c r="F52" i="6"/>
  <c r="G52" i="6" s="1"/>
  <c r="I52" i="6" s="1"/>
  <c r="F171" i="6"/>
  <c r="G171" i="6" s="1"/>
  <c r="I171" i="6" s="1"/>
  <c r="I114" i="6"/>
  <c r="I110" i="6"/>
  <c r="I73" i="6"/>
  <c r="I92" i="6"/>
  <c r="I128" i="6"/>
  <c r="I160" i="6"/>
  <c r="I192" i="6"/>
  <c r="I224" i="6"/>
  <c r="I103" i="6"/>
  <c r="I135" i="6"/>
  <c r="I269" i="6"/>
  <c r="I158" i="6"/>
  <c r="I190" i="6"/>
  <c r="I222" i="6"/>
  <c r="I414" i="6"/>
  <c r="I446" i="6"/>
  <c r="I483" i="6"/>
  <c r="I286" i="6"/>
  <c r="I424" i="6"/>
  <c r="I410" i="6"/>
  <c r="I405" i="6"/>
  <c r="I437" i="6"/>
  <c r="F469" i="6"/>
  <c r="G469" i="6" s="1"/>
  <c r="I469" i="6" s="1"/>
  <c r="I501" i="6"/>
  <c r="I444" i="6"/>
  <c r="I546" i="6"/>
  <c r="I526" i="6"/>
  <c r="I568" i="6"/>
  <c r="I504" i="6"/>
  <c r="I538" i="6"/>
  <c r="I567" i="6"/>
  <c r="I599" i="6"/>
  <c r="I631" i="6"/>
  <c r="I643" i="6"/>
  <c r="I541" i="6"/>
  <c r="I573" i="6"/>
  <c r="I605" i="6"/>
  <c r="I545" i="6"/>
  <c r="I577" i="6"/>
  <c r="I609" i="6"/>
  <c r="I644" i="6"/>
  <c r="I675" i="6"/>
  <c r="I706" i="6"/>
  <c r="I662" i="6"/>
  <c r="I694" i="6"/>
  <c r="I653" i="6"/>
  <c r="I685" i="6"/>
  <c r="I734" i="6"/>
  <c r="I766" i="6"/>
  <c r="I798" i="6"/>
  <c r="I832" i="6"/>
  <c r="I822" i="6"/>
  <c r="I752" i="6"/>
  <c r="I784" i="6"/>
  <c r="I937" i="6"/>
  <c r="I849" i="6"/>
  <c r="I919" i="6"/>
  <c r="I876" i="6"/>
  <c r="I908" i="6"/>
  <c r="I946" i="6"/>
  <c r="I978" i="6"/>
  <c r="I1010" i="6"/>
  <c r="I960" i="6"/>
  <c r="I992" i="6"/>
  <c r="I1024" i="6"/>
  <c r="E13" i="2"/>
  <c r="AE9" i="3" s="1"/>
  <c r="D12" i="2"/>
  <c r="AD8" i="3" s="1"/>
  <c r="S19" i="2" l="1"/>
  <c r="I44" i="6"/>
  <c r="I47" i="6"/>
  <c r="I45" i="6"/>
  <c r="I43" i="6"/>
  <c r="I46" i="6"/>
  <c r="I48" i="6"/>
  <c r="I40" i="6"/>
  <c r="B10" i="3"/>
  <c r="B21" i="3"/>
  <c r="I42" i="6"/>
  <c r="I49" i="6"/>
  <c r="B13" i="3"/>
  <c r="B8" i="3"/>
  <c r="B7" i="3"/>
  <c r="B9" i="3"/>
  <c r="B11" i="3"/>
  <c r="X6" i="3"/>
  <c r="S11" i="2"/>
  <c r="B16" i="3"/>
  <c r="B20" i="3"/>
  <c r="B15" i="3"/>
  <c r="B12" i="3"/>
  <c r="S7" i="2"/>
  <c r="S18" i="2"/>
  <c r="AF7" i="3"/>
  <c r="B17" i="3"/>
  <c r="B18" i="3"/>
  <c r="S14" i="2"/>
  <c r="P25" i="2"/>
  <c r="I25" i="2"/>
  <c r="S17" i="2"/>
  <c r="H25" i="2"/>
  <c r="I60" i="6"/>
  <c r="S6" i="2"/>
  <c r="I61" i="6"/>
  <c r="B14" i="3"/>
  <c r="AC22" i="3"/>
  <c r="F25" i="2"/>
  <c r="W14" i="3"/>
  <c r="J25" i="2"/>
  <c r="K25" i="2"/>
  <c r="V15" i="3"/>
  <c r="R25" i="2"/>
  <c r="M25" i="2"/>
  <c r="I41" i="6"/>
  <c r="Y19" i="3"/>
  <c r="O25" i="2"/>
  <c r="AC21" i="3"/>
  <c r="Q25" i="2"/>
  <c r="V18" i="3"/>
  <c r="N25" i="2"/>
  <c r="V11" i="3"/>
  <c r="G25" i="2"/>
  <c r="L25" i="2"/>
  <c r="AB6" i="3"/>
  <c r="S10" i="2"/>
  <c r="Z6" i="3"/>
  <c r="S8" i="2"/>
  <c r="W7" i="3"/>
  <c r="S5" i="2"/>
  <c r="K5" i="6"/>
  <c r="E5" i="6"/>
  <c r="D23" i="6"/>
  <c r="S13" i="2"/>
  <c r="AE6" i="3"/>
  <c r="S9" i="2"/>
  <c r="C25" i="2"/>
  <c r="D25" i="2"/>
  <c r="S15" i="2"/>
  <c r="B25" i="2"/>
  <c r="S4" i="2"/>
  <c r="V6" i="3"/>
  <c r="E25" i="2"/>
  <c r="V9" i="3"/>
  <c r="S12" i="2"/>
  <c r="AH6" i="3"/>
  <c r="S16" i="2"/>
  <c r="C19" i="3" l="1"/>
  <c r="C12" i="3"/>
  <c r="C15" i="3"/>
  <c r="C8" i="3"/>
  <c r="C13" i="3"/>
  <c r="C18" i="3"/>
  <c r="C16" i="3"/>
  <c r="C17" i="3"/>
  <c r="C14" i="3"/>
  <c r="C21" i="3"/>
  <c r="C20" i="3"/>
  <c r="C11" i="3"/>
  <c r="C10" i="3"/>
  <c r="C9" i="3"/>
  <c r="C7" i="3"/>
  <c r="C23" i="3"/>
  <c r="C22" i="3"/>
  <c r="E23" i="6"/>
  <c r="I5" i="6"/>
  <c r="S25" i="2"/>
  <c r="I23" i="6" l="1"/>
  <c r="I63" i="6"/>
</calcChain>
</file>

<file path=xl/sharedStrings.xml><?xml version="1.0" encoding="utf-8"?>
<sst xmlns="http://schemas.openxmlformats.org/spreadsheetml/2006/main" count="6500" uniqueCount="3179">
  <si>
    <t>Tópicos do curso — numeração baseada nas listas</t>
  </si>
  <si>
    <t>Código</t>
  </si>
  <si>
    <t>Tópico</t>
  </si>
  <si>
    <t>Categoria</t>
  </si>
  <si>
    <t>Rótulo completo</t>
  </si>
  <si>
    <t>01</t>
  </si>
  <si>
    <t>Contas Nacionais</t>
  </si>
  <si>
    <t>Lista</t>
  </si>
  <si>
    <t>01 — Contas Nacionais</t>
  </si>
  <si>
    <t>02</t>
  </si>
  <si>
    <t>Balanço de Pagamentos</t>
  </si>
  <si>
    <t>02 — Balanço de Pagamentos</t>
  </si>
  <si>
    <t>03</t>
  </si>
  <si>
    <t>Sistema Monetário</t>
  </si>
  <si>
    <t>03 — Sistema Monetário</t>
  </si>
  <si>
    <t>04</t>
  </si>
  <si>
    <t>Demanda por Moeda</t>
  </si>
  <si>
    <t>04 — Demanda por Moeda</t>
  </si>
  <si>
    <t>05</t>
  </si>
  <si>
    <t>IS-LM</t>
  </si>
  <si>
    <t>05 — IS-LM</t>
  </si>
  <si>
    <t>06</t>
  </si>
  <si>
    <t>IS-LM-BP</t>
  </si>
  <si>
    <t>06 — IS-LM-BP</t>
  </si>
  <si>
    <t>07a</t>
  </si>
  <si>
    <t>Paridades</t>
  </si>
  <si>
    <t>07a — Paridades</t>
  </si>
  <si>
    <t>07b</t>
  </si>
  <si>
    <t>OA-DA</t>
  </si>
  <si>
    <t>07b — OA-DA</t>
  </si>
  <si>
    <t>08</t>
  </si>
  <si>
    <t>Curva de Phillips</t>
  </si>
  <si>
    <t>08 — Curva de Phillips</t>
  </si>
  <si>
    <t>09</t>
  </si>
  <si>
    <t>Expectativas, Novos Clássicos e Novos Keynesianos</t>
  </si>
  <si>
    <t>09 — Expectativas, Novos Clássicos e Novos Keynesianos</t>
  </si>
  <si>
    <t>10</t>
  </si>
  <si>
    <t>Ciclos Reais de Negócios (RBC)</t>
  </si>
  <si>
    <t>10 — Ciclos Reais de Negócios (RBC)</t>
  </si>
  <si>
    <t>11</t>
  </si>
  <si>
    <t>Crescimento Econômico</t>
  </si>
  <si>
    <t>11 — Crescimento Econômico</t>
  </si>
  <si>
    <t>12</t>
  </si>
  <si>
    <t>Consumo</t>
  </si>
  <si>
    <t>12 — Consumo</t>
  </si>
  <si>
    <t>13</t>
  </si>
  <si>
    <t>Investimento</t>
  </si>
  <si>
    <t>13 — Investimento</t>
  </si>
  <si>
    <t>14</t>
  </si>
  <si>
    <t>Dívida Pública e Senhoriagem</t>
  </si>
  <si>
    <t>14 — Dívida Pública e Senhoriagem</t>
  </si>
  <si>
    <t>E1</t>
  </si>
  <si>
    <t>Mercados Financeiros</t>
  </si>
  <si>
    <t>Extra</t>
  </si>
  <si>
    <t>E1 — Mercados Financeiros</t>
  </si>
  <si>
    <t>E2</t>
  </si>
  <si>
    <t>Demanda de Bens e Complementaridade</t>
  </si>
  <si>
    <t>E2 — Demanda de Bens e Complementaridade</t>
  </si>
  <si>
    <t>Taxonomia atualizada: 07a separa Paridades; 07b separa OA-DA. E1, E2, E3 e E5 foram incorporados conforme a metodologia.</t>
  </si>
  <si>
    <t>Quantidade de itens equivalentes por tópico e prova — ANPEC Macro 2010–2026</t>
  </si>
  <si>
    <t>Levantamento item a item concluído: 17 provas, 2010–2026. Valores em itens equivalentes; confira a aba Validação.</t>
  </si>
  <si>
    <t>Total</t>
  </si>
  <si>
    <t>TOTAL POR PROVA</t>
  </si>
  <si>
    <t>Dashboard — incidência de tópicos nas provas de Macroeconomia da ANPEC</t>
  </si>
  <si>
    <t>Ano selecionado</t>
  </si>
  <si>
    <t>Altere B3 para filtrar o gráfico de barras por ano. A Base_Itens alimenta automaticamente a matriz e os dois gráficos.</t>
  </si>
  <si>
    <t>Ano</t>
  </si>
  <si>
    <t>Quantidade</t>
  </si>
  <si>
    <t>Filtro de tópicos — série temporal</t>
  </si>
  <si>
    <t>Incluir?</t>
  </si>
  <si>
    <t>Sim</t>
  </si>
  <si>
    <t>Base detalhada — classificação item a item</t>
  </si>
  <si>
    <t>Regra de peso: item V/F = 1; questão aberta/numérica = 5 itens equivalentes. Se um mesmo item pertencer a n tópicos, repita o mesmo Item_ID em n linhas (uma por tópico): cada linha recebe Peso base/n.</t>
  </si>
  <si>
    <t>Questão</t>
  </si>
  <si>
    <t>Item</t>
  </si>
  <si>
    <t>Tipo</t>
  </si>
  <si>
    <t>Item_ID</t>
  </si>
  <si>
    <t>Peso base</t>
  </si>
  <si>
    <t>n tópicos</t>
  </si>
  <si>
    <t>Pontos do tópico</t>
  </si>
  <si>
    <t>Observação</t>
  </si>
  <si>
    <t>Fonte/URL</t>
  </si>
  <si>
    <t>V/F</t>
  </si>
  <si>
    <t>Identidade do produto e absorção em economia aberta.</t>
  </si>
  <si>
    <t>Prova  Macroeconomia 2010.pdf — p. 5 — Q1 item 0</t>
  </si>
  <si>
    <t>Identidade poupança-investimento e saldo corrente.</t>
  </si>
  <si>
    <t>Prova  Macroeconomia 2010.pdf — p. 5 — Q1 item 1</t>
  </si>
  <si>
    <t>Consumo público versus transferências nas contas nacionais.</t>
  </si>
  <si>
    <t>Prova  Macroeconomia 2010.pdf — p. 5 — Q1 item 2</t>
  </si>
  <si>
    <t>PIB nominal, PIB real e deflator.</t>
  </si>
  <si>
    <t>Prova  Macroeconomia 2010.pdf — p. 5 — Q1 item 3</t>
  </si>
  <si>
    <t>PIB, renda nacional líquida e depreciação.</t>
  </si>
  <si>
    <t>Prova  Macroeconomia 2010.pdf — p. 5 — Q1 item 4</t>
  </si>
  <si>
    <t>IS-LM com meta de juros: choque de demanda por moeda.</t>
  </si>
  <si>
    <t>Prova  Macroeconomia 2010.pdf — p. 6 — Q2 item 0</t>
  </si>
  <si>
    <t>IS-LM: escolha do instrumento e estabilização diante de choques.</t>
  </si>
  <si>
    <t>Prova  Macroeconomia 2010.pdf — p. 6 — Q2 item 1</t>
  </si>
  <si>
    <t>Multiplicador fiscal com juros fixos versus moeda fixa.</t>
  </si>
  <si>
    <t>Prova  Macroeconomia 2010.pdf — p. 6 — Q2 item 2</t>
  </si>
  <si>
    <t>Acomodação monetária para manter os juros no IS-LM.</t>
  </si>
  <si>
    <t>Prova  Macroeconomia 2010.pdf — p. 6 — Q2 item 3</t>
  </si>
  <si>
    <t>Composição de M1, multiplicador e compensação via mercado aberto.</t>
  </si>
  <si>
    <t>Prova  Macroeconomia 2010.pdf — p. 6 — Q2 item 4</t>
  </si>
  <si>
    <t>PIB real a preços constantes.</t>
  </si>
  <si>
    <t>Prova  Macroeconomia 2010.pdf — p. 7 — Q3 item 0</t>
  </si>
  <si>
    <t>Valoração da produção a preços do ano-base.</t>
  </si>
  <si>
    <t>Prova  Macroeconomia 2010.pdf — p. 7 — Q3 item 1</t>
  </si>
  <si>
    <t>PIB real per capita.</t>
  </si>
  <si>
    <t>Prova  Macroeconomia 2010.pdf — p. 7 — Q3 item 2</t>
  </si>
  <si>
    <t>Deflator implícito do PIB.</t>
  </si>
  <si>
    <t>Prova  Macroeconomia 2010.pdf — p. 7 — Q3 item 3</t>
  </si>
  <si>
    <t>Sensibilidade do crescimento real à escolha do ano-base.</t>
  </si>
  <si>
    <t>Prova  Macroeconomia 2010.pdf — p. 7 — Q3 item 4</t>
  </si>
  <si>
    <t>Compulsório, base monetária e meios de pagamento.</t>
  </si>
  <si>
    <t>Prova  Macroeconomia 2010.pdf — p. 8 — Q4 item 0</t>
  </si>
  <si>
    <t>Redesconto e teto dos juros interbancários.</t>
  </si>
  <si>
    <t>Prova  Macroeconomia 2010.pdf — p. 8 — Q4 item 1</t>
  </si>
  <si>
    <t>Multiplicador monetário e retenção de papel-moeda.</t>
  </si>
  <si>
    <t>Prova  Macroeconomia 2010.pdf — p. 8 — Q4 item 2</t>
  </si>
  <si>
    <t>Depósitos e criação/destruição de M1.</t>
  </si>
  <si>
    <t>Prova  Macroeconomia 2010.pdf — p. 8 — Q4 item 3</t>
  </si>
  <si>
    <t>Mercado aberto e balanço do Banco Central.</t>
  </si>
  <si>
    <t>Prova  Macroeconomia 2010.pdf — p. 8 — Q4 item 4</t>
  </si>
  <si>
    <t>Equivalência ricardiana e resposta da poupança privada.</t>
  </si>
  <si>
    <t>Prova  Macroeconomia 2010.pdf — p. 9 — Q5 item 0</t>
  </si>
  <si>
    <t>Renda permanente e propensão média a consumir.</t>
  </si>
  <si>
    <t>Prova  Macroeconomia 2010.pdf — p. 9 — Q5 item 1</t>
  </si>
  <si>
    <t>Ciclo de vida e consumo agregado no longo prazo.</t>
  </si>
  <si>
    <t>Prova  Macroeconomia 2010.pdf — p. 9 — Q5 item 2</t>
  </si>
  <si>
    <t>RBC e papel da política monetária.</t>
  </si>
  <si>
    <t>Prova  Macroeconomia 2010.pdf — p. 9 — Q5 item 3</t>
  </si>
  <si>
    <t>Novo-keynesianos: imperfeições e rigidez nominal.</t>
  </si>
  <si>
    <t>Prova  Macroeconomia 2010.pdf — p. 9 — Q5 item 4</t>
  </si>
  <si>
    <t>Câmbio real versus nominal.</t>
  </si>
  <si>
    <t>Prova  Macroeconomia 2010.pdf — p. 10 — Q6 item 0</t>
  </si>
  <si>
    <t>Paridade descoberta de juros e equação de Fisher.</t>
  </si>
  <si>
    <t>Prova  Macroeconomia 2010.pdf — p. 10 — Q6 item 1</t>
  </si>
  <si>
    <t>Item misto: teoria quantitativa e paridade do poder de compra.</t>
  </si>
  <si>
    <t>Prova  Macroeconomia 2010.pdf — p. 10 — Q6 item 2</t>
  </si>
  <si>
    <t>Mundell-Fleming: câmbio fixo e autonomia monetária.</t>
  </si>
  <si>
    <t>Prova  Macroeconomia 2010.pdf — p. 10 — Q6 item 3</t>
  </si>
  <si>
    <t>Mundell-Fleming: mercado aberto sob câmbio flutuante.</t>
  </si>
  <si>
    <t>Prova  Macroeconomia 2010.pdf — p. 10 — Q6 item 4</t>
  </si>
  <si>
    <t>Poupança privada no equilíbrio IS-LM.</t>
  </si>
  <si>
    <t>Prova  Macroeconomia 2010.pdf — p. 11 — Q7 item 0</t>
  </si>
  <si>
    <t>Produto de equilíbrio IS-LM.</t>
  </si>
  <si>
    <t>Prova  Macroeconomia 2010.pdf — p. 11 — Q7 item 1</t>
  </si>
  <si>
    <t>Juros de equilíbrio IS-LM.</t>
  </si>
  <si>
    <t>Prova  Macroeconomia 2010.pdf — p. 11 — Q7 item 2</t>
  </si>
  <si>
    <t>Expansão monetária e produto.</t>
  </si>
  <si>
    <t>Prova  Macroeconomia 2010.pdf — p. 11 — Q7 item 3</t>
  </si>
  <si>
    <t>Redução de imposto proporcional no IS-LM.</t>
  </si>
  <si>
    <t>Prova  Macroeconomia 2010.pdf — p. 11 — Q7 item 4</t>
  </si>
  <si>
    <t>Phillips: desinflação com expectativas racionais e credibilidade.</t>
  </si>
  <si>
    <t>Prova  Macroeconomia 2010.pdf — p. 12 — Q8 item 0</t>
  </si>
  <si>
    <t>Phillips adaptativa e razão de sacrifício.</t>
  </si>
  <si>
    <t>Prova  Macroeconomia 2010.pdf — p. 12 — Q8 item 1</t>
  </si>
  <si>
    <t>Phillips com expectativas parcialmente ancoradas.</t>
  </si>
  <si>
    <t>Prova  Macroeconomia 2010.pdf — p. 12 — Q8 item 2</t>
  </si>
  <si>
    <t>Custo de desinflação imediata.</t>
  </si>
  <si>
    <t>Prova  Macroeconomia 2010.pdf — p. 12 — Q8 item 3</t>
  </si>
  <si>
    <t>Velocidade da desinflação e sacrifício acumulado.</t>
  </si>
  <si>
    <t>Prova  Macroeconomia 2010.pdf — p. 12 — Q8 item 4</t>
  </si>
  <si>
    <t>Compromisso crível no modelo de inconsistência temporal.</t>
  </si>
  <si>
    <t>Prova  Macroeconomia 2010.pdf — p. 14 — Q9 item 0</t>
  </si>
  <si>
    <t>Discricionariedade e equilíbrio com expectativas racionais.</t>
  </si>
  <si>
    <t>Prova  Macroeconomia 2010.pdf — p. 14 — Q9 item 1</t>
  </si>
  <si>
    <t>Bem-estar sob compromisso versus discricionariedade.</t>
  </si>
  <si>
    <t>Prova  Macroeconomia 2010.pdf — p. 14 — Q9 item 2</t>
  </si>
  <si>
    <t>Meta de desemprego e origem do viés inflacionário.</t>
  </si>
  <si>
    <t>Prova  Macroeconomia 2010.pdf — p. 14 — Q9 item 3</t>
  </si>
  <si>
    <t>Banco Central conservador e viés inflacionário.</t>
  </si>
  <si>
    <t>Prova  Macroeconomia 2010.pdf — p. 14 — Q9 item 4</t>
  </si>
  <si>
    <t>Solow: taxa de poupança na trajetória equilibrada.</t>
  </si>
  <si>
    <t>Prova  Macroeconomia 2010.pdf — p. 15 — Q10 item 0</t>
  </si>
  <si>
    <t>Solow: produto por trabalhador efetivo.</t>
  </si>
  <si>
    <t>Prova  Macroeconomia 2010.pdf — p. 15 — Q10 item 1</t>
  </si>
  <si>
    <t>Solow: regra de ouro.</t>
  </si>
  <si>
    <t>Prova  Macroeconomia 2010.pdf — p. 15 — Q10 item 2</t>
  </si>
  <si>
    <t>Solow: poupança e consumo de longo prazo.</t>
  </si>
  <si>
    <t>Prova  Macroeconomia 2010.pdf — p. 15 — Q10 item 3</t>
  </si>
  <si>
    <t>Solow: depreciação e crescimento do salário real.</t>
  </si>
  <si>
    <t>Prova  Macroeconomia 2010.pdf — p. 15 — Q10 item 4</t>
  </si>
  <si>
    <t>Crescimento com produção de conhecimento sem efeito de escala.</t>
  </si>
  <si>
    <t>Prova  Macroeconomia 2010.pdf — p. 16 — Q11 item 0</t>
  </si>
  <si>
    <t>Pesquisa, população e aceleração do progresso técnico.</t>
  </si>
  <si>
    <t>Prova  Macroeconomia 2010.pdf — p. 16 — Q11 item 1</t>
  </si>
  <si>
    <t>Crescimento endógeno com população constante.</t>
  </si>
  <si>
    <t>Prova  Macroeconomia 2010.pdf — p. 16 — Q11 item 2</t>
  </si>
  <si>
    <t>Alocação de trabalho à pesquisa e crescimento.</t>
  </si>
  <si>
    <t>Prova  Macroeconomia 2010.pdf — p. 16 — Q11 item 3</t>
  </si>
  <si>
    <t>Crescimento semiendógeno e trajetória equilibrada.</t>
  </si>
  <si>
    <t>Prova  Macroeconomia 2010.pdf — p. 16 — Q11 item 4</t>
  </si>
  <si>
    <t>Aberta/numérica</t>
  </si>
  <si>
    <t>Paridade descoberta de juros e valor de resgate em moeda estrangeira.</t>
  </si>
  <si>
    <t>Prova  Macroeconomia 2010.pdf — p. 17 — Q12 — Tipo B</t>
  </si>
  <si>
    <t>Item misto: demanda agregada monetária, Phillips e lei de Okun.</t>
  </si>
  <si>
    <t>Prova  Macroeconomia 2010.pdf — p. 18 — Q13 — Tipo B</t>
  </si>
  <si>
    <t>Item misto: multiplicador monetário, teoria quantitativa e receita de senhoriagem/PIB.</t>
  </si>
  <si>
    <t>Prova  Macroeconomia 2010.pdf — p. 19 — Q14 — Tipo B</t>
  </si>
  <si>
    <t>Mundell-Fleming com câmbio fixo: contração fiscal e exportações líquidas.</t>
  </si>
  <si>
    <t>Prova  Macroeconomia 2010.pdf — p. 20 — Q15 — Tipo B</t>
  </si>
  <si>
    <t>Produto líquido a custo de fatores versus PIB a preços de mercado.</t>
  </si>
  <si>
    <t>Prova  Macroeconomia 2011.doc — Q1 item 0</t>
  </si>
  <si>
    <t>Investimento público a partir das contas do governo.</t>
  </si>
  <si>
    <t>Prova  Macroeconomia 2011.doc — Q1 item 1</t>
  </si>
  <si>
    <t>Poupança privada nas contas nacionais.</t>
  </si>
  <si>
    <t>Prova  Macroeconomia 2011.doc — Q1 item 2</t>
  </si>
  <si>
    <t>Investimento bruto versus líquido.</t>
  </si>
  <si>
    <t>Prova  Macroeconomia 2011.doc — Q1 item 3</t>
  </si>
  <si>
    <t>Poupança externa e déficit corrente.</t>
  </si>
  <si>
    <t>Prova  Macroeconomia 2011.doc — Q1 item 4</t>
  </si>
  <si>
    <t>Composição dos meios de pagamento.</t>
  </si>
  <si>
    <t>Prova  Macroeconomia 2011.doc — Q2 item 0</t>
  </si>
  <si>
    <t>Aplicação financeira e contração de M1.</t>
  </si>
  <si>
    <t>Prova  Macroeconomia 2011.doc — Q2 item 1</t>
  </si>
  <si>
    <t>Reservas voluntárias e multiplicador monetário.</t>
  </si>
  <si>
    <t>Prova  Macroeconomia 2011.doc — Q2 item 2</t>
  </si>
  <si>
    <t>Depósitos do Tesouro e base monetária.</t>
  </si>
  <si>
    <t>Prova  Macroeconomia 2011.doc — Q2 item 3</t>
  </si>
  <si>
    <t>Cálculo de M1 a partir do multiplicador.</t>
  </si>
  <si>
    <t>Prova  Macroeconomia 2011.doc — Q2 item 4</t>
  </si>
  <si>
    <t>Transações correntes e passivo externo líquido.</t>
  </si>
  <si>
    <t>Prova  Macroeconomia 2011.doc — Q3 item 0</t>
  </si>
  <si>
    <t>Dívida externa bruta versus passivo externo.</t>
  </si>
  <si>
    <t>Prova  Macroeconomia 2011.doc — Q3 item 1</t>
  </si>
  <si>
    <t>Conta capital e financeira e acumulação de reservas.</t>
  </si>
  <si>
    <t>Prova  Macroeconomia 2011.doc — Q3 item 2</t>
  </si>
  <si>
    <t>Renda líquida enviada ao exterior no BP.</t>
  </si>
  <si>
    <t>Prova  Macroeconomia 2011.doc — Q3 item 3</t>
  </si>
  <si>
    <t>Saldo do balanço de pagamentos e reservas.</t>
  </si>
  <si>
    <t>Prova  Macroeconomia 2011.doc — Q3 item 4</t>
  </si>
  <si>
    <t>Inclinação da IS e elasticidades.</t>
  </si>
  <si>
    <t>Prova  Macroeconomia 2011.doc — Q4 item 0</t>
  </si>
  <si>
    <t>Crowding out e inclinação da LM.</t>
  </si>
  <si>
    <t>Prova  Macroeconomia 2011.doc — Q4 item 1</t>
  </si>
  <si>
    <t>Contração monetária e arrecadação endógena no IS-LM.</t>
  </si>
  <si>
    <t>Prova  Macroeconomia 2011.doc — Q4 item 2</t>
  </si>
  <si>
    <t>Combinação fiscal-monetária para estabilizar o produto.</t>
  </si>
  <si>
    <t>Prova  Macroeconomia 2011.doc — Q4 item 3</t>
  </si>
  <si>
    <t>Eficácia relativa das políticas no IS-LM.</t>
  </si>
  <si>
    <t>Prova  Macroeconomia 2011.doc — Q4 item 4</t>
  </si>
  <si>
    <t>Mundell-Fleming: contração fiscal com câmbio fixo.</t>
  </si>
  <si>
    <t>Prova  Macroeconomia 2011.doc — Q5 item 0</t>
  </si>
  <si>
    <t>Expansão monetária com câmbio flutuante.</t>
  </si>
  <si>
    <t>Prova  Macroeconomia 2011.doc — Q5 item 1</t>
  </si>
  <si>
    <t>Tarifas de importação com câmbio flutuante.</t>
  </si>
  <si>
    <t>Prova  Macroeconomia 2011.doc — Q5 item 2</t>
  </si>
  <si>
    <t>Tarifas e acomodação monetária com câmbio fixo.</t>
  </si>
  <si>
    <t>Prova  Macroeconomia 2011.doc — Q5 item 3</t>
  </si>
  <si>
    <t>Expansão fiscal e exportações líquidas com câmbio flutuante.</t>
  </si>
  <si>
    <t>Prova  Macroeconomia 2011.doc — Q5 item 4</t>
  </si>
  <si>
    <t>RBC: flutuações do produto natural e estabilização.</t>
  </si>
  <si>
    <t>Prova  Macroeconomia 2011.doc — Q6 item 0</t>
  </si>
  <si>
    <t>RBC: substituição intertemporal do trabalho.</t>
  </si>
  <si>
    <t>Prova  Macroeconomia 2011.doc — Q6 item 1</t>
  </si>
  <si>
    <t>RBC: moeda e neutralidade.</t>
  </si>
  <si>
    <t>Prova  Macroeconomia 2011.doc — Q6 item 2</t>
  </si>
  <si>
    <t>RBC: choques monetários anunciados.</t>
  </si>
  <si>
    <t>Prova  Macroeconomia 2011.doc — Q6 item 3</t>
  </si>
  <si>
    <t>RBC: choques tecnológicos adversos.</t>
  </si>
  <si>
    <t>Prova  Macroeconomia 2011.doc — Q6 item 4</t>
  </si>
  <si>
    <t>Variação da taxa de câmbio real bilateral.</t>
  </si>
  <si>
    <t>Prova  Macroeconomia 2011.doc — Q7 item 0</t>
  </si>
  <si>
    <t>Paridade do poder de compra no curto e longo prazo.</t>
  </si>
  <si>
    <t>Prova  Macroeconomia 2011.doc — Q7 item 1</t>
  </si>
  <si>
    <t>Taxa de câmbio efetiva real.</t>
  </si>
  <si>
    <t>Prova  Macroeconomia 2011.doc — Q7 item 2</t>
  </si>
  <si>
    <t>Condição de Marshall-Lerner e exportações líquidas.</t>
  </si>
  <si>
    <t>Prova  Macroeconomia 2011.doc — Q7 item 3</t>
  </si>
  <si>
    <t>Paridade descoberta de juros entre moedas.</t>
  </si>
  <si>
    <t>Prova  Macroeconomia 2011.doc — Q7 item 4</t>
  </si>
  <si>
    <t>Função consumo keynesiana e propensões.</t>
  </si>
  <si>
    <t>Prova  Macroeconomia 2011.doc — Q8 item 0</t>
  </si>
  <si>
    <t>Escolha intertemporal: juros e poupança.</t>
  </si>
  <si>
    <t>Prova  Macroeconomia 2011.doc — Q8 item 1</t>
  </si>
  <si>
    <t>Renda permanente com expectativas racionais.</t>
  </si>
  <si>
    <t>Prova  Macroeconomia 2011.doc — Q8 item 2</t>
  </si>
  <si>
    <t>q de Tobin e valor de mercado da firma.</t>
  </si>
  <si>
    <t>Prova  Macroeconomia 2011.doc — Q8 item 3</t>
  </si>
  <si>
    <t>q de Tobin e tributação temporária do investimento.</t>
  </si>
  <si>
    <t>Prova  Macroeconomia 2011.doc — Q8 item 4</t>
  </si>
  <si>
    <t>Equivalência ricardiana com entrada de novas gerações.</t>
  </si>
  <si>
    <t>Prova  Macroeconomia 2011.doc — Q9 item 0</t>
  </si>
  <si>
    <t>Altruísmo intergeracional e equivalência ricardiana.</t>
  </si>
  <si>
    <t>Prova  Macroeconomia 2011.doc — Q9 item 1</t>
  </si>
  <si>
    <t>Horizonte de um período e financiamento da dívida.</t>
  </si>
  <si>
    <t>Prova  Macroeconomia 2011.doc — Q9 item 2</t>
  </si>
  <si>
    <t>Horizonte finito sem altruísmo.</t>
  </si>
  <si>
    <t>Prova  Macroeconomia 2011.doc — Q9 item 3</t>
  </si>
  <si>
    <t>Heranças e equivalência ricardiana.</t>
  </si>
  <si>
    <t>Prova  Macroeconomia 2011.doc — Q9 item 4</t>
  </si>
  <si>
    <t>Oferta de Lucas e surpresa de preços.</t>
  </si>
  <si>
    <t>Prova  Macroeconomia 2011.doc — Q10 item 0</t>
  </si>
  <si>
    <t>Lei de Okun: produto e desemprego.</t>
  </si>
  <si>
    <t>Prova  Macroeconomia 2011.doc — Q10 item 1</t>
  </si>
  <si>
    <t>Phillips e taxa natural de desemprego.</t>
  </si>
  <si>
    <t>Prova  Macroeconomia 2011.doc — Q10 item 2</t>
  </si>
  <si>
    <t>Rigidez nominal nos modelos novo-keynesianos.</t>
  </si>
  <si>
    <t>Prova  Macroeconomia 2011.doc — Q10 item 3</t>
  </si>
  <si>
    <t>Inclinação da oferta agregada com todos os preços fixos.</t>
  </si>
  <si>
    <t>Prova  Macroeconomia 2011.doc — Q10 item 4</t>
  </si>
  <si>
    <t>Princípio de Taylor: reação dos juros nominais à inflação.</t>
  </si>
  <si>
    <t>Prova  Macroeconomia 2011.doc — Q11 item 0</t>
  </si>
  <si>
    <t>Princípio de Brainard: incerteza e intensidade da política.</t>
  </si>
  <si>
    <t>Prova  Macroeconomia 2011.doc — Q11 item 1</t>
  </si>
  <si>
    <t>Teoria quantitativa e efeito Fisher.</t>
  </si>
  <si>
    <t>Prova  Macroeconomia 2011.doc — Q11 item 2</t>
  </si>
  <si>
    <t>Modelo monetário de Cagan e determinação dos preços.</t>
  </si>
  <si>
    <t>Prova  Macroeconomia 2011.doc — Q11 item 3</t>
  </si>
  <si>
    <t>Baumol-Tobin: custo de oportunidade e frequência de saques.</t>
  </si>
  <si>
    <t>Prova  Macroeconomia 2011.doc — Q11 item 4</t>
  </si>
  <si>
    <t>Solow: depreciação e retorno do capital.</t>
  </si>
  <si>
    <t>Prova  Macroeconomia 2011.doc — Q12 item 0</t>
  </si>
  <si>
    <t>Solow: regra de ouro e crescimento populacional.</t>
  </si>
  <si>
    <t>Prova  Macroeconomia 2011.doc — Q12 item 1</t>
  </si>
  <si>
    <t>Solow: razão capital-produto equilibrada.</t>
  </si>
  <si>
    <t>Prova  Macroeconomia 2011.doc — Q12 item 2</t>
  </si>
  <si>
    <t>Modelo AK: poupança e crescimento positivo.</t>
  </si>
  <si>
    <t>Prova  Macroeconomia 2011.doc — Q12 item 3</t>
  </si>
  <si>
    <t>Externalidade do capital e crescimento endógeno.</t>
  </si>
  <si>
    <t>Prova  Macroeconomia 2011.doc — Q12 item 4</t>
  </si>
  <si>
    <t>Expansão da base e receita de senhoriagem.</t>
  </si>
  <si>
    <t>Prova  Macroeconomia 2011.doc — Q13 item 0</t>
  </si>
  <si>
    <t>Conceito de déficit operacional.</t>
  </si>
  <si>
    <t>Prova  Macroeconomia 2011.doc — Q13 item 1</t>
  </si>
  <si>
    <t>Déficit real, operacional e imposto inflacionário.</t>
  </si>
  <si>
    <t>Prova  Macroeconomia 2011.doc — Q13 item 2</t>
  </si>
  <si>
    <t>Déficit primário versus nominal.</t>
  </si>
  <si>
    <t>Prova  Macroeconomia 2011.doc — Q13 item 3</t>
  </si>
  <si>
    <t>Dinâmica da dívida/PIB com saldo primário nulo.</t>
  </si>
  <si>
    <t>Prova  Macroeconomia 2011.doc — Q13 item 4</t>
  </si>
  <si>
    <t>Produto de equilíbrio no modelo IS-LM fechado.</t>
  </si>
  <si>
    <t>Prova  Macroeconomia 2011.doc — Q14 — Tipo B</t>
  </si>
  <si>
    <t>Solow: salário real no estado estacionário.</t>
  </si>
  <si>
    <t>Prova  Macroeconomia 2011.doc — Q15 — Tipo B</t>
  </si>
  <si>
    <t>Renda permanente: antecipação de renda temporária.</t>
  </si>
  <si>
    <t>Prova  Macroeconomia 2012.pdf — p. 5 — Q1 item 0</t>
  </si>
  <si>
    <t>Restrição de crédito e equivalência ricardiana.</t>
  </si>
  <si>
    <t>Prova  Macroeconomia 2012.pdf — p. 5 — Q1 item 1</t>
  </si>
  <si>
    <t>Valor presente dos lucros e viabilidade do investimento.</t>
  </si>
  <si>
    <t>Prova  Macroeconomia 2012.pdf — p. 5 — Q1 item 2</t>
  </si>
  <si>
    <t>Acelerador e investimento em estoques.</t>
  </si>
  <si>
    <t>Prova  Macroeconomia 2012.pdf — p. 5 — Q1 item 3</t>
  </si>
  <si>
    <t>Custos de ajuste e sensibilidade ao q de Tobin.</t>
  </si>
  <si>
    <t>Prova  Macroeconomia 2012.pdf — p. 5 — Q1 item 4</t>
  </si>
  <si>
    <t>Ajustamento externo sob câmbio flutuante.</t>
  </si>
  <si>
    <t>Prova  Macroeconomia 2012.pdf — p. 6 — Q2 item 0</t>
  </si>
  <si>
    <t>Câmbio fixo e endogeneidade monetária.</t>
  </si>
  <si>
    <t>Prova  Macroeconomia 2012.pdf — p. 6 — Q2 item 1</t>
  </si>
  <si>
    <t>Comparação dos regimes cambiais.</t>
  </si>
  <si>
    <t>Prova  Macroeconomia 2012.pdf — p. 6 — Q2 item 2</t>
  </si>
  <si>
    <t>Mobilidade de capitais e inclinação da BP.</t>
  </si>
  <si>
    <t>Prova  Macroeconomia 2012.pdf — p. 6 — Q2 item 3</t>
  </si>
  <si>
    <t>Desequilíbrio externo acima/abaixo da BP.</t>
  </si>
  <si>
    <t>Prova  Macroeconomia 2012.pdf — p. 6 — Q2 item 4</t>
  </si>
  <si>
    <t>Fechamento das contas externas e exportações.</t>
  </si>
  <si>
    <t>Prova  Macroeconomia 2012.pdf — p. 7 — Q3 item 0</t>
  </si>
  <si>
    <t>Capitais compensatórios e variação de reservas.</t>
  </si>
  <si>
    <t>Prova  Macroeconomia 2012.pdf — p. 7 — Q3 item 1</t>
  </si>
  <si>
    <t>Transferência líquida de recursos.</t>
  </si>
  <si>
    <t>Prova  Macroeconomia 2012.pdf — p. 7 — Q3 item 2</t>
  </si>
  <si>
    <t>Item misto: renda externa no BP e diferença PIB-PNB.</t>
  </si>
  <si>
    <t>Prova  Macroeconomia 2012.pdf — p. 7 — Q3 item 3</t>
  </si>
  <si>
    <t>Item misto: apuração do saldo corrente e identidade poupança-investimento.</t>
  </si>
  <si>
    <t>Prova  Macroeconomia 2012.pdf — p. 7 — Q3 item 4</t>
  </si>
  <si>
    <t>Composição de M1 e depósito a prazo.</t>
  </si>
  <si>
    <t>Prova  Macroeconomia 2012.pdf — p. 8 — Q4 item 0</t>
  </si>
  <si>
    <t>Compulsório, base e multiplicador.</t>
  </si>
  <si>
    <t>Prova  Macroeconomia 2012.pdf — p. 8 — Q4 item 1</t>
  </si>
  <si>
    <t>Preferência por papel-moeda versus base monetária.</t>
  </si>
  <si>
    <t>Prova  Macroeconomia 2012.pdf — p. 8 — Q4 item 2</t>
  </si>
  <si>
    <t>Balanço do sistema monetário e criação de meios de pagamento.</t>
  </si>
  <si>
    <t>Prova  Macroeconomia 2012.pdf — p. 8 — Q4 item 3</t>
  </si>
  <si>
    <t>Intervenção cambial e operações com títulos.</t>
  </si>
  <si>
    <t>Prova  Macroeconomia 2012.pdf — p. 8 — Q4 item 4</t>
  </si>
  <si>
    <t>Funções institucionais do Banco Central.</t>
  </si>
  <si>
    <t>Prova  Macroeconomia 2012.pdf — p. 9 — Q5 item 0</t>
  </si>
  <si>
    <t>Objetivo de estabilidade de preços do Banco Central.</t>
  </si>
  <si>
    <t>Prova  Macroeconomia 2012.pdf — p. 9 — Q5 item 1</t>
  </si>
  <si>
    <t>Instrumentos de controle monetário.</t>
  </si>
  <si>
    <t>Prova  Macroeconomia 2012.pdf — p. 9 — Q5 item 2</t>
  </si>
  <si>
    <t>Resultado nominal versus primário.</t>
  </si>
  <si>
    <t>Prova  Macroeconomia 2012.pdf — p. 9 — Q5 item 3</t>
  </si>
  <si>
    <t>Reavaliação das reservas versus emissão de base monetária.</t>
  </si>
  <si>
    <t>Prova  Macroeconomia 2012.pdf — p. 9 — Q5 item 4</t>
  </si>
  <si>
    <t>Mundell-Fleming com preços de importados: expansão fiscal e câmbio fixo.</t>
  </si>
  <si>
    <t>Prova  Macroeconomia 2012.pdf — p. 10 — Q6 item 0</t>
  </si>
  <si>
    <t>Repasse cambial e eficácia monetária com câmbio flutuante.</t>
  </si>
  <si>
    <t>Prova  Macroeconomia 2012.pdf — p. 10 — Q6 item 1</t>
  </si>
  <si>
    <t>Eficácia fiscal com preços de importados e câmbio flutuante.</t>
  </si>
  <si>
    <t>Prova  Macroeconomia 2012.pdf — p. 10 — Q6 item 2</t>
  </si>
  <si>
    <t>Inoperância monetária sob câmbio fixo.</t>
  </si>
  <si>
    <t>Prova  Macroeconomia 2012.pdf — p. 10 — Q6 item 3</t>
  </si>
  <si>
    <t>Crowding out externo com índice de preços sensível ao câmbio.</t>
  </si>
  <si>
    <t>Prova  Macroeconomia 2012.pdf — p. 10 — Q6 item 4</t>
  </si>
  <si>
    <t>Deslocamento da LM e sensibilidade à renda.</t>
  </si>
  <si>
    <t>Prova  Macroeconomia 2012.pdf — p. 11 — Q7 item 0</t>
  </si>
  <si>
    <t>Tributação proporcional e inclinação/deslocamento da IS.</t>
  </si>
  <si>
    <t>Prova  Macroeconomia 2012.pdf — p. 11 — Q7 item 1</t>
  </si>
  <si>
    <t>Eficácia relativa fiscal-monetária e propensão a consumir.</t>
  </si>
  <si>
    <t>Prova  Macroeconomia 2012.pdf — p. 11 — Q7 item 2</t>
  </si>
  <si>
    <t>Eficácia relativa fiscal-monetária e elasticidade da moeda.</t>
  </si>
  <si>
    <t>Prova  Macroeconomia 2012.pdf — p. 11 — Q7 item 3</t>
  </si>
  <si>
    <t>Efeito fiscal sobre os juros e demanda de moeda.</t>
  </si>
  <si>
    <t>Prova  Macroeconomia 2012.pdf — p. 12 — Q7 item 4</t>
  </si>
  <si>
    <t>OA-DA com preço esperado exógeno: choque monetário.</t>
  </si>
  <si>
    <t>Prova  Macroeconomia 2012.pdf — p. 13 — Q8 item 0</t>
  </si>
  <si>
    <t>Previsão perfeita e neutralidade monetária.</t>
  </si>
  <si>
    <t>Prova  Macroeconomia 2012.pdf — p. 13 — Q8 item 1</t>
  </si>
  <si>
    <t>Oferta de Lucas: surpresa monetária.</t>
  </si>
  <si>
    <t>Prova  Macroeconomia 2012.pdf — p. 13 — Q8 item 2</t>
  </si>
  <si>
    <t>Oferta de Lucas: moeda antecipada.</t>
  </si>
  <si>
    <t>Prova  Macroeconomia 2012.pdf — p. 13 — Q8 item 3</t>
  </si>
  <si>
    <t>Expectativas racionais versus previsão perfeita.</t>
  </si>
  <si>
    <t>Prova  Macroeconomia 2012.pdf — p. 13 — Q8 item 4</t>
  </si>
  <si>
    <t>Paridades de juros e poder de compra: juros reais ex ante.</t>
  </si>
  <si>
    <t>Prova  Macroeconomia 2012.pdf — p. 14 — Q9 item 0</t>
  </si>
  <si>
    <t>Estrutura a termo: arbitragem entre títulos de um e dois anos.</t>
  </si>
  <si>
    <t>Prova  Macroeconomia 2012.pdf — p. 14 — Q9 item 1</t>
  </si>
  <si>
    <t>Câmbio fixo e paridade absoluta do poder de compra.</t>
  </si>
  <si>
    <t>Prova  Macroeconomia 2012.pdf — p. 14 — Q9 item 2</t>
  </si>
  <si>
    <t>Paridade coberta e câmbio futuro.</t>
  </si>
  <si>
    <t>Prova  Macroeconomia 2012.pdf — p. 14 — Q9 item 3</t>
  </si>
  <si>
    <t>Câmbio efetivo real e pesos do comércio.</t>
  </si>
  <si>
    <t>Prova  Macroeconomia 2012.pdf — p. 14 — Q9 item 4</t>
  </si>
  <si>
    <t>Mundell-Fleming: acomodação monetária da expansão fiscal.</t>
  </si>
  <si>
    <t>Prova  Macroeconomia 2012.pdf — p. 15 — Q10 item 0</t>
  </si>
  <si>
    <t>Câmbio fixo e determinação externa dos juros.</t>
  </si>
  <si>
    <t>Prova  Macroeconomia 2012.pdf — p. 15 — Q10 item 1</t>
  </si>
  <si>
    <t>Ajustamento pela LM sob câmbio fixo.</t>
  </si>
  <si>
    <t>Prova  Macroeconomia 2012.pdf — p. 15 — Q10 item 2</t>
  </si>
  <si>
    <t>Trindade impossível.</t>
  </si>
  <si>
    <t>Prova  Macroeconomia 2012.pdf — p. 15 — Q10 item 3</t>
  </si>
  <si>
    <t>Intervenções cambiais e oferta monetária.</t>
  </si>
  <si>
    <t>Prova  Macroeconomia 2012.pdf — p. 15 — Q10 item 4</t>
  </si>
  <si>
    <t>Crescimento endógeno com externalidade e efeito de escala.</t>
  </si>
  <si>
    <t>Prova  Macroeconomia 2012.pdf — p. 16 — Q11 item 0</t>
  </si>
  <si>
    <t>Externalidade que elimina efeito de escala.</t>
  </si>
  <si>
    <t>Prova  Macroeconomia 2012.pdf — p. 16 — Q11 item 1</t>
  </si>
  <si>
    <t>Produto agregado e crescimento populacional.</t>
  </si>
  <si>
    <t>Prova  Macroeconomia 2012.pdf — p. 16 — Q11 item 2</t>
  </si>
  <si>
    <t>Poupança e crescimento endógeno per capita.</t>
  </si>
  <si>
    <t>Prova  Macroeconomia 2012.pdf — p. 16 — Q11 item 3</t>
  </si>
  <si>
    <t>Externalidade e crescimento da população.</t>
  </si>
  <si>
    <t>Prova  Macroeconomia 2012.pdf — p. 16 — Q11 item 4</t>
  </si>
  <si>
    <t>Phillips aceleracionista e formação das expectativas.</t>
  </si>
  <si>
    <t>Prova  Macroeconomia 2012.pdf — p. 17 — Q12 item 0</t>
  </si>
  <si>
    <t>Equação de Phillips e desvio do desemprego natural.</t>
  </si>
  <si>
    <t>Prova  Macroeconomia 2012.pdf — p. 17 — Q12 item 1</t>
  </si>
  <si>
    <t>Phillips de longo prazo e neutralidade.</t>
  </si>
  <si>
    <t>Prova  Macroeconomia 2012.pdf — p. 17 — Q12 item 2</t>
  </si>
  <si>
    <t>Phillips adaptativa: curto versus longo prazo.</t>
  </si>
  <si>
    <t>Prova  Macroeconomia 2012.pdf — p. 17 — Q12 item 3</t>
  </si>
  <si>
    <t>Item misto: comparação Phillips aceleracionista e oferta de Lucas.</t>
  </si>
  <si>
    <t>Prova  Macroeconomia 2012.pdf — p. 17 — Q12 item 4</t>
  </si>
  <si>
    <t>Solow: participação do trabalho na renda.</t>
  </si>
  <si>
    <t>Prova  Macroeconomia 2012.pdf — p. 18 — Q13 item 0</t>
  </si>
  <si>
    <t>Solow: participação do capital na renda.</t>
  </si>
  <si>
    <t>Prova  Macroeconomia 2012.pdf — p. 18 — Q13 item 1</t>
  </si>
  <si>
    <t>Solow: remuneração do capital na trajetória equilibrada.</t>
  </si>
  <si>
    <t>Prova  Macroeconomia 2012.pdf — p. 18 — Q13 item 2</t>
  </si>
  <si>
    <t>Solow: progresso técnico e salário.</t>
  </si>
  <si>
    <t>Prova  Macroeconomia 2012.pdf — p. 18 — Q13 item 3</t>
  </si>
  <si>
    <t>Solow: razão capital-produto.</t>
  </si>
  <si>
    <t>Prova  Macroeconomia 2012.pdf — p. 18 — Q13 item 4</t>
  </si>
  <si>
    <t>Cagan com expectativas racionais: transição para menor expansão monetária.</t>
  </si>
  <si>
    <t>Prova  Macroeconomia 2012.pdf — p. 19 — Q14 — Tipo B</t>
  </si>
  <si>
    <t>Inconsistência temporal: inflação discricionária com expectativas racionais.</t>
  </si>
  <si>
    <t>Prova  Macroeconomia 2012.pdf — p. 20 — Q15 — Tipo B</t>
  </si>
  <si>
    <t>IS-LM com demanda de moeda dependente da renda disponível.</t>
  </si>
  <si>
    <t>Prova  Macroeconomia 2013.pdf — p. 5 — Q1 item 0</t>
  </si>
  <si>
    <t>Multiplicador de orçamento equilibrado no IS-LM.</t>
  </si>
  <si>
    <t>Prova  Macroeconomia 2013.pdf — p. 5 — Q1 item 1</t>
  </si>
  <si>
    <t>Distribuição da redução tributária e multiplicador fiscal.</t>
  </si>
  <si>
    <t>Prova  Macroeconomia 2013.pdf — p. 5 — Q1 item 2</t>
  </si>
  <si>
    <t>LM horizontal e eficácia fiscal.</t>
  </si>
  <si>
    <t>Prova  Macroeconomia 2013.pdf — p. 5 — Q1 item 3</t>
  </si>
  <si>
    <t>Propensão a consumir e equilíbrio IS-LM.</t>
  </si>
  <si>
    <t>Prova  Macroeconomia 2013.pdf — p. 5 — Q1 item 4</t>
  </si>
  <si>
    <t>Poupança-investimento e câmbio real em pequena economia aberta.</t>
  </si>
  <si>
    <t>Prova  Macroeconomia 2013.pdf — p. 6 — Q2 item 0</t>
  </si>
  <si>
    <t>Expansão fiscal externa e câmbio real.</t>
  </si>
  <si>
    <t>Prova  Macroeconomia 2013.pdf — p. 6 — Q2 item 1</t>
  </si>
  <si>
    <t>Determinação do câmbio nominal versus real.</t>
  </si>
  <si>
    <t>Prova  Macroeconomia 2013.pdf — p. 6 — Q2 item 2</t>
  </si>
  <si>
    <t>Paridade descoberta e retorno esperado de títulos.</t>
  </si>
  <si>
    <t>Prova  Macroeconomia 2013.pdf — p. 6 — Q2 item 3</t>
  </si>
  <si>
    <t>Overshooting cambial e ajuste de preços.</t>
  </si>
  <si>
    <t>Prova  Macroeconomia 2013.pdf — p. 6 — Q2 item 4</t>
  </si>
  <si>
    <t>Dívida pública e resultado nominal.</t>
  </si>
  <si>
    <t>Prova  Macroeconomia 2013.pdf — p. 7 — Q3 item 0</t>
  </si>
  <si>
    <t>Compra de divisas por banco comercial e criação de moeda.</t>
  </si>
  <si>
    <t>Prova  Macroeconomia 2013.pdf — p. 7 — Q3 item 1</t>
  </si>
  <si>
    <t>Equivalência ricardiana e poupança.</t>
  </si>
  <si>
    <t>Prova  Macroeconomia 2013.pdf — p. 7 — Q3 item 2</t>
  </si>
  <si>
    <t>Alcance da equivalência ricardiana para a política fiscal.</t>
  </si>
  <si>
    <t>Prova  Macroeconomia 2013.pdf — p. 7 — Q3 item 3</t>
  </si>
  <si>
    <t>Saldo primário necessário à estabilidade da dívida/PIB.</t>
  </si>
  <si>
    <t>Prova  Macroeconomia 2013.pdf — p. 7 — Q3 item 4</t>
  </si>
  <si>
    <t>Oferta de Lucas: informação imperfeita e preços relativos.</t>
  </si>
  <si>
    <t>Prova  Macroeconomia 2013.pdf — p. 8 — Q4 item 0</t>
  </si>
  <si>
    <t>RBC: natureza e persistência dos choques.</t>
  </si>
  <si>
    <t>Prova  Macroeconomia 2013.pdf — p. 8 — Q4 item 1</t>
  </si>
  <si>
    <t>Novo-keynesianos: expectativas racionais e rigidez.</t>
  </si>
  <si>
    <t>Prova  Macroeconomia 2013.pdf — p. 8 — Q4 item 2</t>
  </si>
  <si>
    <t>Desinflação crível e custo em produto.</t>
  </si>
  <si>
    <t>Prova  Macroeconomia 2013.pdf — p. 8 — Q4 item 3</t>
  </si>
  <si>
    <t>RBC: neutralidade de política antecipada.</t>
  </si>
  <si>
    <t>Prova  Macroeconomia 2013.pdf — p. 8 — Q4 item 4</t>
  </si>
  <si>
    <t>Solow: investimento igual à depreciação.</t>
  </si>
  <si>
    <t>Prova  Macroeconomia 2013.pdf — p. 9 — Q5 item 0</t>
  </si>
  <si>
    <t>Solow: condições iniciais e estado estacionário.</t>
  </si>
  <si>
    <t>Prova  Macroeconomia 2013.pdf — p. 9 — Q5 item 1</t>
  </si>
  <si>
    <t>Solow: efeito de nível versus efeito de crescimento.</t>
  </si>
  <si>
    <t>Prova  Macroeconomia 2013.pdf — p. 9 — Q5 item 2</t>
  </si>
  <si>
    <t>Crescimento endógeno e explicação do progresso técnico.</t>
  </si>
  <si>
    <t>Prova  Macroeconomia 2013.pdf — p. 9 — Q5 item 3</t>
  </si>
  <si>
    <t>Contabilidade do crescimento e resíduo de Solow.</t>
  </si>
  <si>
    <t>Prova  Macroeconomia 2013.pdf — p. 9 — Q5 item 4</t>
  </si>
  <si>
    <t>Identidade da poupança e saldo corrente; gasto público não fixa os demais componentes.</t>
  </si>
  <si>
    <t>Prova  Macroeconomia 2013.pdf — p. 10 — Q6 item 0</t>
  </si>
  <si>
    <t>Item misto: poupança externa versus saldo total do BP.</t>
  </si>
  <si>
    <t>Prova  Macroeconomia 2013.pdf — p. 10 — Q6 item 1</t>
  </si>
  <si>
    <t>Prova  Macroeconomia 2013.pdf — p. 10 — Q6 item 2</t>
  </si>
  <si>
    <t>Conceito de PIB e bens finais.</t>
  </si>
  <si>
    <t>Prova  Macroeconomia 2013.pdf — p. 10 — Q6 item 3</t>
  </si>
  <si>
    <t>Apreciação real e competitividade das exportações.</t>
  </si>
  <si>
    <t>Prova  Macroeconomia 2013.pdf — p. 10 — Q6 item 4</t>
  </si>
  <si>
    <t>Renda permanente versus transitória.</t>
  </si>
  <si>
    <t>Prova  Macroeconomia 2013.pdf — p. 11 — Q7 item 0</t>
  </si>
  <si>
    <t>Ciclo de vida: renda e riqueza.</t>
  </si>
  <si>
    <t>Prova  Macroeconomia 2013.pdf — p. 11 — Q7 item 1</t>
  </si>
  <si>
    <t>Restrição de liquidez e suavização do consumo.</t>
  </si>
  <si>
    <t>Prova  Macroeconomia 2013.pdf — p. 11 — Q7 item 2</t>
  </si>
  <si>
    <t>q de Tobin e políticas futuras.</t>
  </si>
  <si>
    <t>Prova  Macroeconomia 2013.pdf — p. 11 — Q7 item 3</t>
  </si>
  <si>
    <t>q de Tobin e lucros esperados.</t>
  </si>
  <si>
    <t>Prova  Macroeconomia 2013.pdf — p. 11 — Q7 item 4</t>
  </si>
  <si>
    <t>Baumol-Tobin e estabilidade da demanda de moeda.</t>
  </si>
  <si>
    <t>Prova  Macroeconomia 2013.pdf — p. 12 — Q8 item 0</t>
  </si>
  <si>
    <t>Demanda transacional versus teorias de carteira.</t>
  </si>
  <si>
    <t>Prova  Macroeconomia 2013.pdf — p. 12 — Q8 item 1</t>
  </si>
  <si>
    <t>Lucas: extração de sinal e preços relativos.</t>
  </si>
  <si>
    <t>Prova  Macroeconomia 2013.pdf — p. 12 — Q8 item 2</t>
  </si>
  <si>
    <t>Índices de preços e viés de substituição.</t>
  </si>
  <si>
    <t>Prova  Macroeconomia 2013.pdf — p. 12 — Q8 item 3</t>
  </si>
  <si>
    <t>Índices de Laspeyres/Paasche e deflator.</t>
  </si>
  <si>
    <t>Prova  Macroeconomia 2013.pdf — p. 12 — Q8 item 4</t>
  </si>
  <si>
    <t>PPC absoluta e nível do câmbio real.</t>
  </si>
  <si>
    <t>Prova  Macroeconomia 2013.pdf — p. 13 — Q9 item 0</t>
  </si>
  <si>
    <t>PPC relativa e variação cambial.</t>
  </si>
  <si>
    <t>Prova  Macroeconomia 2013.pdf — p. 13 — Q9 item 1</t>
  </si>
  <si>
    <t>Definições de câmbio real e nominal.</t>
  </si>
  <si>
    <t>Prova  Macroeconomia 2013.pdf — p. 13 — Q9 item 2</t>
  </si>
  <si>
    <t>Correção cambial pelo diferencial de inflação.</t>
  </si>
  <si>
    <t>Prova  Macroeconomia 2013.pdf — p. 13 — Q9 item 3</t>
  </si>
  <si>
    <t>Relação entre PPC relativa e absoluta.</t>
  </si>
  <si>
    <t>Prova  Macroeconomia 2013.pdf — p. 13 — Q9 item 4</t>
  </si>
  <si>
    <t>Definição da taxa de redesconto.</t>
  </si>
  <si>
    <t>Prova  Macroeconomia 2013.pdf — p. 14 — Q10 item 0</t>
  </si>
  <si>
    <t>Equilíbrio monetário sob meta de juros.</t>
  </si>
  <si>
    <t>Prova  Macroeconomia 2013.pdf — p. 14 — Q10 item 1</t>
  </si>
  <si>
    <t>Compulsório e multiplicador monetário.</t>
  </si>
  <si>
    <t>Prova  Macroeconomia 2013.pdf — p. 14 — Q10 item 2</t>
  </si>
  <si>
    <t>Encaixes bancários versus meios de pagamento.</t>
  </si>
  <si>
    <t>Prova  Macroeconomia 2013.pdf — p. 14 — Q10 item 3</t>
  </si>
  <si>
    <t>Inovações financeiras e elasticidade da demanda por moeda.</t>
  </si>
  <si>
    <t>Prova  Macroeconomia 2013.pdf — p. 14 — Q10 item 4</t>
  </si>
  <si>
    <t>Expectativas racionais e condições para neutralidade.</t>
  </si>
  <si>
    <t>Prova  Macroeconomia 2013.pdf — p. 15 — Q11 item 0</t>
  </si>
  <si>
    <t>RBC e produto natural.</t>
  </si>
  <si>
    <t>Prova  Macroeconomia 2013.pdf — p. 15 — Q11 item 1</t>
  </si>
  <si>
    <t>Custos de menu nos modelos novo-keynesianos.</t>
  </si>
  <si>
    <t>Prova  Macroeconomia 2013.pdf — p. 15 — Q11 item 2</t>
  </si>
  <si>
    <t>Rigidez nominal e política monetária antecipada.</t>
  </si>
  <si>
    <t>Prova  Macroeconomia 2013.pdf — p. 15 — Q11 item 3</t>
  </si>
  <si>
    <t>OA-DA: determinantes da inflação de longo prazo.</t>
  </si>
  <si>
    <t>Prova  Macroeconomia 2013.pdf — p. 15 — Q11 item 4</t>
  </si>
  <si>
    <t>Registro de importações com e sem cobertura cambial.</t>
  </si>
  <si>
    <t>Prova  Macroeconomia 2013.pdf — p. 16 — Q12 item 0</t>
  </si>
  <si>
    <t>Apuração do saldo em transações correntes.</t>
  </si>
  <si>
    <t>Prova  Macroeconomia 2013.pdf — p. 16 — Q12 item 1</t>
  </si>
  <si>
    <t>Item misto: rendas externas e diferença PIB-PNB.</t>
  </si>
  <si>
    <t>Prova  Macroeconomia 2013.pdf — p. 16 — Q12 item 2</t>
  </si>
  <si>
    <t>Variação das reservas a partir das transações.</t>
  </si>
  <si>
    <t>Prova  Macroeconomia 2013.pdf — p. 16 — Q12 item 3</t>
  </si>
  <si>
    <t>Item misto: saldo corrente apurado e poupança-investimento.</t>
  </si>
  <si>
    <t>Prova  Macroeconomia 2013.pdf — p. 16 — Q12 item 4</t>
  </si>
  <si>
    <t>IS-LM-BP: mercado aberto e reservas sob câmbio fixo.</t>
  </si>
  <si>
    <t>Prova  Macroeconomia 2013.pdf — p. 18 — Q13 item 0</t>
  </si>
  <si>
    <t>Expansão fiscal e balança comercial com câmbio fixo.</t>
  </si>
  <si>
    <t>Prova  Macroeconomia 2013.pdf — p. 18 — Q13 item 1</t>
  </si>
  <si>
    <t>Expansão monetária com câmbio flexível.</t>
  </si>
  <si>
    <t>Prova  Macroeconomia 2013.pdf — p. 18 — Q13 item 2</t>
  </si>
  <si>
    <t>Expansão fiscal e juros com mobilidade perfeita.</t>
  </si>
  <si>
    <t>Prova  Macroeconomia 2013.pdf — p. 18 — Q13 item 3</t>
  </si>
  <si>
    <t>Renda externa e apreciação sob câmbio flexível.</t>
  </si>
  <si>
    <t>Prova  Macroeconomia 2013.pdf — p. 18 — Q13 item 4</t>
  </si>
  <si>
    <t>Solow: capital por trabalhador no estado estacionário.</t>
  </si>
  <si>
    <t>Prova  Macroeconomia 2013.pdf — p. 20 — Q14 — Tipo B</t>
  </si>
  <si>
    <t>Suavização do consumo diante de recessão.</t>
  </si>
  <si>
    <t>Prova  Macroeconomia 2013.pdf — p. 21 — Q15 item 0</t>
  </si>
  <si>
    <t>Definição do q de Tobin.</t>
  </si>
  <si>
    <t>Prova  Macroeconomia 2013.pdf — p. 21 — Q15 item 1</t>
  </si>
  <si>
    <t>Preços de importados versus deflator do PIB.</t>
  </si>
  <si>
    <t>Prova  Macroeconomia 2013.pdf — p. 21 — Q15 item 2</t>
  </si>
  <si>
    <t>Ciclo de vida e estabilização do consumo.</t>
  </si>
  <si>
    <t>Prova  Macroeconomia 2013.pdf — p. 21 — Q15 item 3</t>
  </si>
  <si>
    <t>Renda permanente e transitória.</t>
  </si>
  <si>
    <t>Prova  Macroeconomia 2013.pdf — p. 21 — Q15 item 4</t>
  </si>
  <si>
    <t>Renda líquida externa e diferença PNB-PIB.</t>
  </si>
  <si>
    <t>Prova  Macroeconomia 2014.docx — Q1 item 0</t>
  </si>
  <si>
    <t>Aluguel imputado de moradia própria.</t>
  </si>
  <si>
    <t>Prova  Macroeconomia 2014.docx — Q1 item 1</t>
  </si>
  <si>
    <t>Renda nacional, depreciação e impostos.</t>
  </si>
  <si>
    <t>Prova  Macroeconomia 2014.docx — Q1 item 2</t>
  </si>
  <si>
    <t>Fechamento das transações correntes.</t>
  </si>
  <si>
    <t>Prova  Macroeconomia 2014.docx — Q1 item 3</t>
  </si>
  <si>
    <t>Deflator versus índice de cesta fixa.</t>
  </si>
  <si>
    <t>Prova  Macroeconomia 2014.docx — Q1 item 4</t>
  </si>
  <si>
    <t>Orçamento equilibrado e poupança privada no modelo keynesiano simples. Classificação para revisão.</t>
  </si>
  <si>
    <t>Prova  Macroeconomia 2014.docx — Q2 item 0</t>
  </si>
  <si>
    <t>Princípio de Taylor e juros reais/nominais.</t>
  </si>
  <si>
    <t>Prova  Macroeconomia 2014.docx — Q2 item 1</t>
  </si>
  <si>
    <t>Saldo primário e constância da dívida real.</t>
  </si>
  <si>
    <t>Prova  Macroeconomia 2014.docx — Q2 item 2</t>
  </si>
  <si>
    <t>Equivalência ricardiana e nível de atividade.</t>
  </si>
  <si>
    <t>Prova  Macroeconomia 2014.docx — Q2 item 3</t>
  </si>
  <si>
    <t>Equivalência ricardiana: impostos versus endividamento.</t>
  </si>
  <si>
    <t>Prova  Macroeconomia 2014.docx — Q2 item 4</t>
  </si>
  <si>
    <t>IS-LM-BP: mobilidade de capitais e multiplicador fiscal.</t>
  </si>
  <si>
    <t>Prova  Macroeconomia 2014.docx — Q3 item 0</t>
  </si>
  <si>
    <t>Câmbio fixo sem mobilidade: contração monetária e comércio.</t>
  </si>
  <si>
    <t>Prova  Macroeconomia 2014.docx — Q3 item 1</t>
  </si>
  <si>
    <t>Tarifas com câmbio flutuante e mobilidade perfeita.</t>
  </si>
  <si>
    <t>Prova  Macroeconomia 2014.docx — Q3 item 2</t>
  </si>
  <si>
    <t>Eficácia monetária sob câmbio fixo.</t>
  </si>
  <si>
    <t>Prova  Macroeconomia 2014.docx — Q3 item 3</t>
  </si>
  <si>
    <t>Redução tarifária sob câmbio fixo.</t>
  </si>
  <si>
    <t>Prova  Macroeconomia 2014.docx — Q3 item 4</t>
  </si>
  <si>
    <t>Compra de títulos e base monetária.</t>
  </si>
  <si>
    <t>Prova  Macroeconomia 2014.docx — Q4 item 0</t>
  </si>
  <si>
    <t>Demanda especulativa por moeda.</t>
  </si>
  <si>
    <t>Prova  Macroeconomia 2014.docx — Q4 item 1</t>
  </si>
  <si>
    <t>Controle da base versus meios de pagamento.</t>
  </si>
  <si>
    <t>Prova  Macroeconomia 2014.docx — Q4 item 2</t>
  </si>
  <si>
    <t>Compulsório e criação bancária de moeda.</t>
  </si>
  <si>
    <t>Prova  Macroeconomia 2014.docx — Q4 item 3</t>
  </si>
  <si>
    <t>Mercado aberto e juros das reservas bancárias.</t>
  </si>
  <si>
    <t>Prova  Macroeconomia 2014.docx — Q4 item 4</t>
  </si>
  <si>
    <t>Expectativas racionais: novos clássicos versus novos keynesianos.</t>
  </si>
  <si>
    <t>Prova  Macroeconomia 2014.docx — Q5 item 0</t>
  </si>
  <si>
    <t>Choque monetário não antecipado no modelo novo-clássico.</t>
  </si>
  <si>
    <t>Prova  Macroeconomia 2014.docx — Q5 item 1</t>
  </si>
  <si>
    <t>Credibilidade e desinflação anunciada.</t>
  </si>
  <si>
    <t>Prova  Macroeconomia 2014.docx — Q5 item 2</t>
  </si>
  <si>
    <t>Rigidez nominal e não neutralidade novo-keynesiana.</t>
  </si>
  <si>
    <t>Prova  Macroeconomia 2014.docx — Q5 item 3</t>
  </si>
  <si>
    <t>Componentes friccional e estrutural do desemprego natural.</t>
  </si>
  <si>
    <t>Prova  Macroeconomia 2014.docx — Q5 item 4</t>
  </si>
  <si>
    <t>Item misto: comparação das fontes dos ciclos em RBC e novos keynesianos.</t>
  </si>
  <si>
    <t>Prova  Macroeconomia 2014.docx — Q6 item 0</t>
  </si>
  <si>
    <t>Expectativas racionais e conjunto de informação.</t>
  </si>
  <si>
    <t>Prova  Macroeconomia 2014.docx — Q6 item 1</t>
  </si>
  <si>
    <t>Formação prospectiva de expectativas.</t>
  </si>
  <si>
    <t>Prova  Macroeconomia 2014.docx — Q6 item 2</t>
  </si>
  <si>
    <t>Phillips de Friedman e ilusão monetária.</t>
  </si>
  <si>
    <t>Prova  Macroeconomia 2014.docx — Q6 item 3</t>
  </si>
  <si>
    <t>Quase moeda e instabilidade da velocidade.</t>
  </si>
  <si>
    <t>Prova  Macroeconomia 2014.docx — Q6 item 4</t>
  </si>
  <si>
    <t>Solow: crescimento equilibrado do produto.</t>
  </si>
  <si>
    <t>Prova  Macroeconomia 2014.docx — Q7 item 0</t>
  </si>
  <si>
    <t>Solow: capital agregado versus por trabalhador.</t>
  </si>
  <si>
    <t>Prova  Macroeconomia 2014.docx — Q7 item 1</t>
  </si>
  <si>
    <t>Determinantes do crescimento endógeno.</t>
  </si>
  <si>
    <t>Prova  Macroeconomia 2014.docx — Q7 item 2</t>
  </si>
  <si>
    <t>Capital humano e conhecimento endógenos.</t>
  </si>
  <si>
    <t>Prova  Macroeconomia 2014.docx — Q7 item 3</t>
  </si>
  <si>
    <t>Solow: poupança e crescimento de longo prazo.</t>
  </si>
  <si>
    <t>Prova  Macroeconomia 2014.docx — Q7 item 4</t>
  </si>
  <si>
    <t>IS-LM: elasticidade do investimento e eficácia das políticas.</t>
  </si>
  <si>
    <t>Prova  Macroeconomia 2014.docx — Q8 item 0</t>
  </si>
  <si>
    <t>Armadilha da liquidez no IS-LM.</t>
  </si>
  <si>
    <t>Prova  Macroeconomia 2014.docx — Q8 item 1</t>
  </si>
  <si>
    <t>Mundell-Fleming: proteção comercial e câmbio flexível.</t>
  </si>
  <si>
    <t>Prova  Macroeconomia 2014.docx — Q8 item 2</t>
  </si>
  <si>
    <t>Curva J e resposta temporal do comércio ao câmbio.</t>
  </si>
  <si>
    <t>Prova  Macroeconomia 2014.docx — Q8 item 3</t>
  </si>
  <si>
    <t>Poupança-investimento e câmbio real.</t>
  </si>
  <si>
    <t>Prova  Macroeconomia 2014.docx — Q8 item 4</t>
  </si>
  <si>
    <t>Consumo de renda permanente versus transitória.</t>
  </si>
  <si>
    <t>Prova  Macroeconomia 2014.docx — Q9 item 0</t>
  </si>
  <si>
    <t>Ciclo de vida versus renda permanente.</t>
  </si>
  <si>
    <t>Prova  Macroeconomia 2014.docx — Q9 item 1</t>
  </si>
  <si>
    <t>Suavização do consumo diante de renda transitória.</t>
  </si>
  <si>
    <t>Prova  Macroeconomia 2014.docx — Q9 item 2</t>
  </si>
  <si>
    <t>Definição de q de Tobin.</t>
  </si>
  <si>
    <t>Prova  Macroeconomia 2014.docx — Q9 item 3</t>
  </si>
  <si>
    <t>q de Tobin e decisão de investir/repor capital.</t>
  </si>
  <si>
    <t>Prova  Macroeconomia 2014.docx — Q9 item 4</t>
  </si>
  <si>
    <t>Superávit primário estabilizador da dívida/PIB.</t>
  </si>
  <si>
    <t>Prova  Macroeconomia 2014.docx — Q10 — Tipo B</t>
  </si>
  <si>
    <t>Phillips adaptativa: duração da desinflação com desemprego acima do natural.</t>
  </si>
  <si>
    <t>Prova  Macroeconomia 2014.docx — Q11 — Tipo B</t>
  </si>
  <si>
    <t>Inconsistência temporal: peso do produto na função objetivo.</t>
  </si>
  <si>
    <t>Prova  Macroeconomia 2014.docx — Q12 item 0</t>
  </si>
  <si>
    <t>Incentivo à surpresa e viés inflacionário.</t>
  </si>
  <si>
    <t>Prova  Macroeconomia 2014.docx — Q12 item 1</t>
  </si>
  <si>
    <t>Discricionariedade sem ganho permanente de produto.</t>
  </si>
  <si>
    <t>Prova  Macroeconomia 2014.docx — Q12 item 2</t>
  </si>
  <si>
    <t>Delegação a banqueiro central conservador.</t>
  </si>
  <si>
    <t>Prova  Macroeconomia 2014.docx — Q12 item 3</t>
  </si>
  <si>
    <t>Compromisso com meta e inconsistência temporal.</t>
  </si>
  <si>
    <t>Prova  Macroeconomia 2014.docx — Q12 item 4</t>
  </si>
  <si>
    <t>Expansão fiscal externa e câmbio real da pequena economia.</t>
  </si>
  <si>
    <t>Prova  Macroeconomia 2014.docx — Q13 item 0</t>
  </si>
  <si>
    <t>Expansão fiscal doméstica e exportações líquidas.</t>
  </si>
  <si>
    <t>Prova  Macroeconomia 2014.docx — Q13 item 1</t>
  </si>
  <si>
    <t>PPC relativa versus lei do preço único.</t>
  </si>
  <si>
    <t>Prova  Macroeconomia 2014.docx — Q13 item 2</t>
  </si>
  <si>
    <t>Definição e interpretação da taxa real de câmbio.</t>
  </si>
  <si>
    <t>Prova  Macroeconomia 2014.docx — Q13 item 3</t>
  </si>
  <si>
    <t>Paridade descoberta: juros domésticos e câmbio corrente.</t>
  </si>
  <si>
    <t>Prova  Macroeconomia 2014.docx — Q13 item 4</t>
  </si>
  <si>
    <t>Poole no IS-LM: choques monetários e escolha de instrumento.</t>
  </si>
  <si>
    <t>Prova  Macroeconomia 2014.docx — Q14 item 0</t>
  </si>
  <si>
    <t>Poole no IS-LM: meta de juros diante de choques na LM.</t>
  </si>
  <si>
    <t>Prova  Macroeconomia 2014.docx — Q14 item 1</t>
  </si>
  <si>
    <t>Rigidez salarial nominal e ajuste do salário real pela inflação.</t>
  </si>
  <si>
    <t>Prova  Macroeconomia 2014.docx — Q14 item 2</t>
  </si>
  <si>
    <t>Lucas: volatilidade agregada e extração de sinal.</t>
  </si>
  <si>
    <t>Prova  Macroeconomia 2014.docx — Q14 item 3</t>
  </si>
  <si>
    <t>Equação dinâmica da dívida/PIB.</t>
  </si>
  <si>
    <t>Prova  Macroeconomia 2014.docx — Q14 item 4</t>
  </si>
  <si>
    <t>Modelo AK com capital amplo e população constante.</t>
  </si>
  <si>
    <t>Prova  Macroeconomia 2014.docx — Q15 — Tipo B</t>
  </si>
  <si>
    <t>Saldo da balança comercial.</t>
  </si>
  <si>
    <t>Prova  Macroeconomia 2015.pdf — p. 5 — Q1 item 0</t>
  </si>
  <si>
    <t>Saldo em transações correntes.</t>
  </si>
  <si>
    <t>Prova  Macroeconomia 2015.pdf — p. 5 — Q1 item 1</t>
  </si>
  <si>
    <t>Saldo global do balanço de pagamentos.</t>
  </si>
  <si>
    <t>Prova  Macroeconomia 2015.pdf — p. 5 — Q1 item 2</t>
  </si>
  <si>
    <t>Conta de serviços: fretes internacionais.</t>
  </si>
  <si>
    <t>Prova  Macroeconomia 2015.pdf — p. 5 — Q1 item 3</t>
  </si>
  <si>
    <t>Variação das reservas internacionais.</t>
  </si>
  <si>
    <t>Prova  Macroeconomia 2015.pdf — p. 5 — Q1 item 4</t>
  </si>
  <si>
    <t>IS-LM: expansão monetária.</t>
  </si>
  <si>
    <t>Prova  Macroeconomia 2015.pdf — p. 6 — Q2 item 0</t>
  </si>
  <si>
    <t>Crowding out total.</t>
  </si>
  <si>
    <t>Prova  Macroeconomia 2015.pdf — p. 6 — Q2 item 1</t>
  </si>
  <si>
    <t>Sensibilidade do investimento e inclinação da IS.</t>
  </si>
  <si>
    <t>Prova  Macroeconomia 2015.pdf — p. 6 — Q2 item 2</t>
  </si>
  <si>
    <t>Inclinação da IS e transmissão monetária.</t>
  </si>
  <si>
    <t>Prova  Macroeconomia 2015.pdf — p. 6 — Q2 item 3</t>
  </si>
  <si>
    <t>Armadilha da liquidez e eficácia monetária.</t>
  </si>
  <si>
    <t>Prova  Macroeconomia 2015.pdf — p. 6 — Q2 item 4</t>
  </si>
  <si>
    <t>Renda permanente versus renda corrente.</t>
  </si>
  <si>
    <t>Prova  Macroeconomia 2015.pdf — p. 6 — Q3 item 0</t>
  </si>
  <si>
    <t>Item misto: IS ampliada por expectativas de renda e juros futuros.</t>
  </si>
  <si>
    <t>Prova  Macroeconomia 2015.pdf — p. 6 — Q3 item 1</t>
  </si>
  <si>
    <t>Item misto: expectativas futuras e especificação da LM.</t>
  </si>
  <si>
    <t>Prova  Macroeconomia 2015.pdf — p. 6 — Q3 item 2</t>
  </si>
  <si>
    <t>Item misto: transmissão monetária no IS-LM com expectativas.</t>
  </si>
  <si>
    <t>Prova  Macroeconomia 2015.pdf — p. 6 — Q3 item 3</t>
  </si>
  <si>
    <t>q de Tobin: valor de mercado versus custo de reposição.</t>
  </si>
  <si>
    <t>Prova  Macroeconomia 2015.pdf — p. 6 — Q3 item 4</t>
  </si>
  <si>
    <t>Operações de destruição de meios de pagamento.</t>
  </si>
  <si>
    <t>Prova  Macroeconomia 2015.pdf — p. 7 — Q4 item 0</t>
  </si>
  <si>
    <t>Consumo e choques temporários de renda.</t>
  </si>
  <si>
    <t>Prova  Macroeconomia 2015.pdf — p. 7 — Q4 item 1</t>
  </si>
  <si>
    <t>Expectativas e consumo com renda corrente constante.</t>
  </si>
  <si>
    <t>Prova  Macroeconomia 2015.pdf — p. 7 — Q4 item 2</t>
  </si>
  <si>
    <t>Ciclo de vida: poupança e renda média.</t>
  </si>
  <si>
    <t>Prova  Macroeconomia 2015.pdf — p. 7 — Q4 item 3</t>
  </si>
  <si>
    <t>Restrição de crédito e suavização do consumo.</t>
  </si>
  <si>
    <t>Prova  Macroeconomia 2015.pdf — p. 7 — Q4 item 4</t>
  </si>
  <si>
    <t>Equilíbrio clássico de longo prazo: juros reais e fundos emprestáveis.</t>
  </si>
  <si>
    <t>Prova  Macroeconomia 2015.pdf — p. 7 — Q5 item 0</t>
  </si>
  <si>
    <t>Equação de Fisher e taxa real de juros.</t>
  </si>
  <si>
    <t>Prova  Macroeconomia 2015.pdf — p. 7 — Q5 item 1</t>
  </si>
  <si>
    <t>Persistência do produto e interpretação de choques reais.</t>
  </si>
  <si>
    <t>Prova  Macroeconomia 2015.pdf — p. 7 — Q5 item 2</t>
  </si>
  <si>
    <t>Novo-keynesianos: rigidez e não neutralidade.</t>
  </si>
  <si>
    <t>Prova  Macroeconomia 2015.pdf — p. 7 — Q5 item 3</t>
  </si>
  <si>
    <t>RBC: natureza dos choques que geram flutuações.</t>
  </si>
  <si>
    <t>Prova  Macroeconomia 2015.pdf — p. 7 — Q5 item 4</t>
  </si>
  <si>
    <t>Solow: crescimento do produto por trabalhador.</t>
  </si>
  <si>
    <t>Prova  Macroeconomia 2015.pdf — p. 8 — Q6 item 0</t>
  </si>
  <si>
    <t>Solow sem progresso técnico.</t>
  </si>
  <si>
    <t>Prova  Macroeconomia 2015.pdf — p. 8 — Q6 item 1</t>
  </si>
  <si>
    <t>Exogeneidade do progresso técnico em Solow.</t>
  </si>
  <si>
    <t>Prova  Macroeconomia 2015.pdf — p. 8 — Q6 item 2</t>
  </si>
  <si>
    <t>Poupança e crescimento equilibrado.</t>
  </si>
  <si>
    <t>Prova  Macroeconomia 2015.pdf — p. 8 — Q6 item 3</t>
  </si>
  <si>
    <t>Crescimento per capita com e sem progresso técnico.</t>
  </si>
  <si>
    <t>Prova  Macroeconomia 2015.pdf — p. 8 — Q6 item 4</t>
  </si>
  <si>
    <t>Inconsistência temporal: política ótima sob compromisso.</t>
  </si>
  <si>
    <t>Prova  Macroeconomia 2015.pdf — p. 9 — Q7 item 0</t>
  </si>
  <si>
    <t>Inflação discricionária com expectativas racionais.</t>
  </si>
  <si>
    <t>Prova  Macroeconomia 2015.pdf — p. 9 — Q7 item 1</t>
  </si>
  <si>
    <t>Regra fixa e inflação esperada.</t>
  </si>
  <si>
    <t>Prova  Macroeconomia 2015.pdf — p. 9 — Q7 item 2</t>
  </si>
  <si>
    <t>Incentivo à surpresa inflacionária.</t>
  </si>
  <si>
    <t>Prova  Macroeconomia 2015.pdf — p. 9 — Q7 item 3</t>
  </si>
  <si>
    <t>Conservadorismo do Banco Central e viés inflacionário.</t>
  </si>
  <si>
    <t>Prova  Macroeconomia 2015.pdf — p. 9 — Q7 item 4</t>
  </si>
  <si>
    <t>Mundell-Fleming: protecionismo e câmbio flutuante.</t>
  </si>
  <si>
    <t>Prova  Macroeconomia 2015.pdf — p. 10 — Q8 item 0</t>
  </si>
  <si>
    <t>Políticas fiscal e monetária sob câmbio flutuante.</t>
  </si>
  <si>
    <t>Prova  Macroeconomia 2015.pdf — p. 10 — Q8 item 1</t>
  </si>
  <si>
    <t>Expansão fiscal sob câmbio fixo.</t>
  </si>
  <si>
    <t>Prova  Macroeconomia 2015.pdf — p. 10 — Q8 item 2</t>
  </si>
  <si>
    <t>Limites da autonomia monetária sob câmbio fixo.</t>
  </si>
  <si>
    <t>Prova  Macroeconomia 2015.pdf — p. 10 — Q8 item 3</t>
  </si>
  <si>
    <t>Desvalorização oficial e saldo comercial.</t>
  </si>
  <si>
    <t>Prova  Macroeconomia 2015.pdf — p. 10 — Q8 item 4</t>
  </si>
  <si>
    <t>Identidade poupança-investimento e conta corrente.</t>
  </si>
  <si>
    <t>Prova  Macroeconomia 2015.pdf — p. 11 — Q9 item 0</t>
  </si>
  <si>
    <t>Aluguel imputado na mensuração do PIB.</t>
  </si>
  <si>
    <t>Prova  Macroeconomia 2015.pdf — p. 11 — Q9 item 1</t>
  </si>
  <si>
    <t>Overshooting e velocidades de ajuste dos mercados.</t>
  </si>
  <si>
    <t>Prova  Macroeconomia 2015.pdf — p. 11 — Q9 item 2</t>
  </si>
  <si>
    <t>Cesta corrente do deflator.</t>
  </si>
  <si>
    <t>Prova  Macroeconomia 2015.pdf — p. 11 — Q9 item 3</t>
  </si>
  <si>
    <t>Cobertura do deflator versus IPC.</t>
  </si>
  <si>
    <t>Prova  Macroeconomia 2015.pdf — p. 11 — Q9 item 4</t>
  </si>
  <si>
    <t>Inovação financeira e estabilidade da demanda de moeda.</t>
  </si>
  <si>
    <t>Prova  Macroeconomia 2015.pdf — p. 11 — Q10 item 0</t>
  </si>
  <si>
    <t>Reservas excedentes e multiplicador monetário.</t>
  </si>
  <si>
    <t>Prova  Macroeconomia 2015.pdf — p. 11 — Q10 item 1</t>
  </si>
  <si>
    <t>Baumol-Tobin: teoria transacional.</t>
  </si>
  <si>
    <t>Prova  Macroeconomia 2015.pdf — p. 11 — Q10 item 2</t>
  </si>
  <si>
    <t>Perdão de dívida: registros nas contas capital e financeira.</t>
  </si>
  <si>
    <t>Prova  Macroeconomia 2015.pdf — p. 11 — Q10 item 3</t>
  </si>
  <si>
    <t>Prova  Macroeconomia 2015.pdf — p. 11 — Q10 item 4</t>
  </si>
  <si>
    <t>Superávit primário necessário à estabilidade da dívida/PIB.</t>
  </si>
  <si>
    <t>Prova  Macroeconomia 2015.pdf — p. 12 — Q11 — Tipo B</t>
  </si>
  <si>
    <t>OA com expectativas: previsão perfeita e produto natural.</t>
  </si>
  <si>
    <t>Prova  Macroeconomia 2015.pdf — p. 12 — Q12 — Tipo B</t>
  </si>
  <si>
    <t>Phillips adaptativa: duração da desinflação.</t>
  </si>
  <si>
    <t>Prova  Macroeconomia 2015.pdf — p. 13 — Q13 — Tipo B</t>
  </si>
  <si>
    <t>Paridade descoberta e depreciação cambial esperada.</t>
  </si>
  <si>
    <t>Prova  Macroeconomia 2015.pdf — p. 13 — Q14 — Tipo B</t>
  </si>
  <si>
    <t>Contabilidade do crescimento: progresso técnico versus resíduo de Solow.</t>
  </si>
  <si>
    <t>Prova  Macroeconomia 2015.pdf — p. 14 — Q15 — Tipo B</t>
  </si>
  <si>
    <t>Balança comercial e entradas de bens sem cobertura cambial.</t>
  </si>
  <si>
    <t>Prova  Macroeconomia 2016.pdf — p. 5 — Q1 item 0</t>
  </si>
  <si>
    <t>Conta corrente e doações em mercadorias.</t>
  </si>
  <si>
    <t>Prova  Macroeconomia 2016.pdf — p. 5 — Q1 item 1</t>
  </si>
  <si>
    <t>Rendas externas versus serviços e transferências.</t>
  </si>
  <si>
    <t>Prova  Macroeconomia 2016.pdf — p. 5 — Q1 item 2</t>
  </si>
  <si>
    <t>Conta financeira: empréstimos, amortizações e investimento direto.</t>
  </si>
  <si>
    <t>Prova  Macroeconomia 2016.pdf — p. 5 — Q1 item 3</t>
  </si>
  <si>
    <t>Prova  Macroeconomia 2016.pdf — p. 5 — Q1 item 4</t>
  </si>
  <si>
    <t>Financiamento monetário do Tesouro e base monetária.</t>
  </si>
  <si>
    <t>Prova  Macroeconomia 2016.pdf — p. 6 — Q2 item 0</t>
  </si>
  <si>
    <t>Redesconto: base versus meios de pagamento.</t>
  </si>
  <si>
    <t>Prova  Macroeconomia 2016.pdf — p. 6 — Q2 item 1</t>
  </si>
  <si>
    <t>Transferência para poupança e destruição de M1.</t>
  </si>
  <si>
    <t>Prova  Macroeconomia 2016.pdf — p. 6 — Q2 item 2</t>
  </si>
  <si>
    <t>Reservas integrais e multiplicador unitário.</t>
  </si>
  <si>
    <t>Prova  Macroeconomia 2016.pdf — p. 6 — Q2 item 3</t>
  </si>
  <si>
    <t>Mercado aberto e compulsório.</t>
  </si>
  <si>
    <t>Prova  Macroeconomia 2016.pdf — p. 6 — Q2 item 4</t>
  </si>
  <si>
    <t>Marshall-Lerner e apreciação real.</t>
  </si>
  <si>
    <t>Prova  Macroeconomia 2016.pdf — p. 6 — Q3 item 0</t>
  </si>
  <si>
    <t>Venda de estoques nas contas nacionais.</t>
  </si>
  <si>
    <t>Prova  Macroeconomia 2016.pdf — p. 6 — Q3 item 1</t>
  </si>
  <si>
    <t>Mundell-Fleming: eficácia fiscal sob câmbio fixo.</t>
  </si>
  <si>
    <t>Prova  Macroeconomia 2016.pdf — p. 6 — Q3 item 2</t>
  </si>
  <si>
    <t>Identidade do produto e conteúdo importado das exportações.</t>
  </si>
  <si>
    <t>Prova  Macroeconomia 2016.pdf — p. 6 — Q3 item 3</t>
  </si>
  <si>
    <t>Deslocamento da IS por gastos e impostos.</t>
  </si>
  <si>
    <t>Prova  Macroeconomia 2016.pdf — p. 6 — Q3 item 4</t>
  </si>
  <si>
    <t>Prova  Macroeconomia 2016.pdf — p. 7 — Q4 item 0</t>
  </si>
  <si>
    <t>Expectativas racionais versus ausência de erros.</t>
  </si>
  <si>
    <t>Prova  Macroeconomia 2016.pdf — p. 7 — Q4 item 1</t>
  </si>
  <si>
    <t>Phillips aceleracionista e desemprego natural.</t>
  </si>
  <si>
    <t>Prova  Macroeconomia 2016.pdf — p. 7 — Q4 item 2</t>
  </si>
  <si>
    <t>Lucas: informação imperfeita e produção.</t>
  </si>
  <si>
    <t>Prova  Macroeconomia 2016.pdf — p. 7 — Q4 item 3</t>
  </si>
  <si>
    <t>Passeio aleatório do PIB e persistência dos choques reais.</t>
  </si>
  <si>
    <t>Prova  Macroeconomia 2016.pdf — p. 7 — Q4 item 4</t>
  </si>
  <si>
    <t>Solow ampliado com educação.</t>
  </si>
  <si>
    <t>Prova  Macroeconomia 2016.pdf — p. 7 — Q5 item 0</t>
  </si>
  <si>
    <t>Crescimento endógeno: poupança e educação.</t>
  </si>
  <si>
    <t>Prova  Macroeconomia 2016.pdf — p. 7 — Q5 item 1</t>
  </si>
  <si>
    <t>Diferenciais persistentes de progresso técnico.</t>
  </si>
  <si>
    <t>Prova  Macroeconomia 2016.pdf — p. 7 — Q5 item 2</t>
  </si>
  <si>
    <t>Instituições e nível de renda per capita.</t>
  </si>
  <si>
    <t>Prova  Macroeconomia 2016.pdf — p. 7 — Q5 item 3</t>
  </si>
  <si>
    <t>Solow: limites da acumulação de capital.</t>
  </si>
  <si>
    <t>Prova  Macroeconomia 2016.pdf — p. 7 — Q5 item 4</t>
  </si>
  <si>
    <t>Renda de longo prazo nas teorias de consumo.</t>
  </si>
  <si>
    <t>Prova  Macroeconomia 2016.pdf — p. 8 — Q6 item 0</t>
  </si>
  <si>
    <t>Renda permanente: queda futura e poupança corrente.</t>
  </si>
  <si>
    <t>Prova  Macroeconomia 2016.pdf — p. 8 — Q6 item 1</t>
  </si>
  <si>
    <t>Ciclo de vida e longevidade.</t>
  </si>
  <si>
    <t>Prova  Macroeconomia 2016.pdf — p. 8 — Q6 item 2</t>
  </si>
  <si>
    <t>Multiplicador tributário versus gastos na IS.</t>
  </si>
  <si>
    <t>Prova  Macroeconomia 2016.pdf — p. 8 — Q6 item 3</t>
  </si>
  <si>
    <t>Restrição de crédito e imposto transitório.</t>
  </si>
  <si>
    <t>Prova  Macroeconomia 2016.pdf — p. 8 — Q6 item 4</t>
  </si>
  <si>
    <t>Fluxo de capitais e reservas sob câmbio fixo.</t>
  </si>
  <si>
    <t>Prova  Macroeconomia 2016.pdf — p. 9 — Q7 item 0</t>
  </si>
  <si>
    <t>Paridade descoberta de juros.</t>
  </si>
  <si>
    <t>Prova  Macroeconomia 2016.pdf — p. 9 — Q7 item 1</t>
  </si>
  <si>
    <t>Diferencial de juros e depreciação esperada.</t>
  </si>
  <si>
    <t>Prova  Macroeconomia 2016.pdf — p. 9 — Q7 item 2</t>
  </si>
  <si>
    <t>PPC relativa: relação exata entre inflações e câmbio.</t>
  </si>
  <si>
    <t>Prova  Macroeconomia 2016.pdf — p. 9 — Q7 item 3</t>
  </si>
  <si>
    <t>PPC e aumento de preços externos.</t>
  </si>
  <si>
    <t>Prova  Macroeconomia 2016.pdf — p. 9 — Q7 item 4</t>
  </si>
  <si>
    <t>q de Tobin marginal.</t>
  </si>
  <si>
    <t>Prova  Macroeconomia 2016.pdf — p. 10 — Q8 item 0</t>
  </si>
  <si>
    <t>Investimento neoclássico e preço relativo do capital.</t>
  </si>
  <si>
    <t>Prova  Macroeconomia 2016.pdf — p. 10 — Q8 item 1</t>
  </si>
  <si>
    <t>Componentes do custo de uso do capital.</t>
  </si>
  <si>
    <t>Prova  Macroeconomia 2016.pdf — p. 10 — Q8 item 2</t>
  </si>
  <si>
    <t>Ciclo de vida e composição demográfica.</t>
  </si>
  <si>
    <t>Prova  Macroeconomia 2016.pdf — p. 10 — Q8 item 3</t>
  </si>
  <si>
    <t>Renda permanente racional e passeio aleatório do consumo.</t>
  </si>
  <si>
    <t>Prova  Macroeconomia 2016.pdf — p. 10 — Q8 item 4</t>
  </si>
  <si>
    <t>IS-LM: sensibilidade do investimento e eficácia monetária.</t>
  </si>
  <si>
    <t>Prova  Macroeconomia 2016.pdf — p. 10 — Q9 item 0</t>
  </si>
  <si>
    <t>Elasticidade-juro da moeda e inclinação da LM.</t>
  </si>
  <si>
    <t>Prova  Macroeconomia 2016.pdf — p. 10 — Q9 item 1</t>
  </si>
  <si>
    <t>Crowding out na armadilha da liquidez.</t>
  </si>
  <si>
    <t>Prova  Macroeconomia 2016.pdf — p. 10 — Q9 item 2</t>
  </si>
  <si>
    <t>Contração fiscal combinada com monetária.</t>
  </si>
  <si>
    <t>Prova  Macroeconomia 2016.pdf — p. 10 — Q9 item 3</t>
  </si>
  <si>
    <t>Poole: predominância de choques na IS.</t>
  </si>
  <si>
    <t>Prova  Macroeconomia 2016.pdf — p. 10 — Q9 item 4</t>
  </si>
  <si>
    <t>Curva de Laffer da senhoriagem.</t>
  </si>
  <si>
    <t>Prova  Macroeconomia 2016.pdf — p. 11 — Q10 item 0</t>
  </si>
  <si>
    <t>Superávit para estabilizar dívida real.</t>
  </si>
  <si>
    <t>Prova  Macroeconomia 2016.pdf — p. 11 — Q10 item 1</t>
  </si>
  <si>
    <t>Superávit/PIB para estabilizar dívida/PIB.</t>
  </si>
  <si>
    <t>Prova  Macroeconomia 2016.pdf — p. 11 — Q10 item 2</t>
  </si>
  <si>
    <t>RBC: efeitos riqueza e substituição de choque temporário.</t>
  </si>
  <si>
    <t>Prova  Macroeconomia 2016.pdf — p. 11 — Q10 item 3</t>
  </si>
  <si>
    <t>Novo-keynesianos e custos de menu.</t>
  </si>
  <si>
    <t>Prova  Macroeconomia 2016.pdf — p. 11 — Q10 item 4</t>
  </si>
  <si>
    <t>Índice de preços de Laspeyres.</t>
  </si>
  <si>
    <t>Prova  Macroeconomia 2016.pdf — p. 12 — Q11 item 0</t>
  </si>
  <si>
    <t>Preços de importados: deflator versus IPC.</t>
  </si>
  <si>
    <t>Prova  Macroeconomia 2016.pdf — p. 12 — Q11 item 1</t>
  </si>
  <si>
    <t>Combinação de gastos e impostos e deslocamento da IS.</t>
  </si>
  <si>
    <t>Prova  Macroeconomia 2016.pdf — p. 12 — Q11 item 2</t>
  </si>
  <si>
    <t>Baumol-Tobin: número ótimo de saques.</t>
  </si>
  <si>
    <t>Prova  Macroeconomia 2016.pdf — p. 12 — Q11 item 3</t>
  </si>
  <si>
    <t>Cruz keynesiana: consumo autônomo e induzido.</t>
  </si>
  <si>
    <t>Prova  Macroeconomia 2016.pdf — p. 12 — Q11 item 4</t>
  </si>
  <si>
    <t>Item misto: derivação da DA a partir de Mundell-Fleming com câmbio flutuante.</t>
  </si>
  <si>
    <t>Prova  Macroeconomia 2016.pdf — p. 13 — Q12 item 0</t>
  </si>
  <si>
    <t>Item misto: derivação da DA sob câmbio fixo.</t>
  </si>
  <si>
    <t>Prova  Macroeconomia 2016.pdf — p. 13 — Q12 item 1</t>
  </si>
  <si>
    <t>Item misto: expansão fiscal, DA e fluxo de capitais.</t>
  </si>
  <si>
    <t>Prova  Macroeconomia 2016.pdf — p. 13 — Q12 item 2</t>
  </si>
  <si>
    <t>Subsídio às exportações nos regimes cambiais.</t>
  </si>
  <si>
    <t>Prova  Macroeconomia 2016.pdf — p. 13 — Q12 item 3</t>
  </si>
  <si>
    <t>OA-DA aberta: desvalorização, produto e preços.</t>
  </si>
  <si>
    <t>Prova  Macroeconomia 2016.pdf — p. 13 — Q12 item 4</t>
  </si>
  <si>
    <t>Item misto: crescimento monetário via DA, Phillips e lei de Okun.</t>
  </si>
  <si>
    <t>Prova  Macroeconomia 2016.pdf — p. 13 — Q13 — Tipo B</t>
  </si>
  <si>
    <t>Solow com capital humano: produto por trabalhador na trajetória equilibrada.</t>
  </si>
  <si>
    <t>Prova  Macroeconomia 2016.pdf — p. 14 — Q14 — Tipo B</t>
  </si>
  <si>
    <t>Solow: produto por trabalhador efetivo sob regra de ouro.</t>
  </si>
  <si>
    <t>Prova  Macroeconomia 2016.pdf — p. 14 — Q15 — Tipo B</t>
  </si>
  <si>
    <t>PIB versus PNB em economia fechada.</t>
  </si>
  <si>
    <t>Prova  Macroeconomia 2017.pdf — p. 5 — Q1 item 0</t>
  </si>
  <si>
    <t>Deflator implícito.</t>
  </si>
  <si>
    <t>Prova  Macroeconomia 2017.pdf — p. 5 — Q1 item 1</t>
  </si>
  <si>
    <t>Remessas de emigrantes versus renda nacional bruta.</t>
  </si>
  <si>
    <t>Prova  Macroeconomia 2017.pdf — p. 5 — Q1 item 2</t>
  </si>
  <si>
    <t>Produção, estoques e momento do registro no PIB.</t>
  </si>
  <si>
    <t>Prova  Macroeconomia 2017.pdf — p. 5 — Q1 item 3</t>
  </si>
  <si>
    <t>Prova  Macroeconomia 2017.pdf — p. 5 — Q1 item 4</t>
  </si>
  <si>
    <t>Formação de estoques e renda.</t>
  </si>
  <si>
    <t>Prova  Macroeconomia 2017.pdf — p. 5 — Q2 item 0</t>
  </si>
  <si>
    <t>Índice de Paasche.</t>
  </si>
  <si>
    <t>Prova  Macroeconomia 2017.pdf — p. 5 — Q2 item 1</t>
  </si>
  <si>
    <t>Prova  Macroeconomia 2017.pdf — p. 5 — Q2 item 2</t>
  </si>
  <si>
    <t>Financiamento oficial do déficit corrente e reservas.</t>
  </si>
  <si>
    <t>Prova  Macroeconomia 2017.pdf — p. 5 — Q2 item 3</t>
  </si>
  <si>
    <t>Partidas dobradas de uma exportação.</t>
  </si>
  <si>
    <t>Prova  Macroeconomia 2017.pdf — p. 5 — Q2 item 4</t>
  </si>
  <si>
    <t>IS-LM: inflação esperada e gasto.</t>
  </si>
  <si>
    <t>Prova  Macroeconomia 2017.pdf — p. 6 — Q3 item 0</t>
  </si>
  <si>
    <t>Elasticidade-juro da demanda de moeda.</t>
  </si>
  <si>
    <t>Prova  Macroeconomia 2017.pdf — p. 6 — Q3 item 1</t>
  </si>
  <si>
    <t>Deflação da dívida e redistribuição entre devedores e credores no IS-LM.</t>
  </si>
  <si>
    <t>Prova  Macroeconomia 2017.pdf — p. 6 — Q3 item 2</t>
  </si>
  <si>
    <t>Poole: choques IS versus LM.</t>
  </si>
  <si>
    <t>Prova  Macroeconomia 2017.pdf — p. 6 — Q3 item 3</t>
  </si>
  <si>
    <t>Elasticidade do investimento e eficácia monetária.</t>
  </si>
  <si>
    <t>Prova  Macroeconomia 2017.pdf — p. 6 — Q3 item 4</t>
  </si>
  <si>
    <t>Mundell-Fleming: proteção comercial sob flutuação.</t>
  </si>
  <si>
    <t>Prova  Macroeconomia 2017.pdf — p. 6 — Q4 item 0</t>
  </si>
  <si>
    <t>Políticas fiscal e monetária sob flutuação.</t>
  </si>
  <si>
    <t>Prova  Macroeconomia 2017.pdf — p. 6 — Q4 item 1</t>
  </si>
  <si>
    <t>Expansão fiscal e câmbio fixo.</t>
  </si>
  <si>
    <t>Prova  Macroeconomia 2017.pdf — p. 6 — Q4 item 2</t>
  </si>
  <si>
    <t>Autonomia monetária e câmbio fixo.</t>
  </si>
  <si>
    <t>Prova  Macroeconomia 2017.pdf — p. 6 — Q4 item 3</t>
  </si>
  <si>
    <t>Desvalorização, produto e comércio.</t>
  </si>
  <si>
    <t>Prova  Macroeconomia 2017.pdf — p. 6 — Q4 item 4</t>
  </si>
  <si>
    <t>IS-LM-BP: equilíbrio com fluxo de capital sensível aos juros.</t>
  </si>
  <si>
    <t>Prova  Macroeconomia 2017.pdf — p. 7 — Q5 item 0</t>
  </si>
  <si>
    <t>Consumo, investimento e câmbio no equilíbrio aberto.</t>
  </si>
  <si>
    <t>Prova  Macroeconomia 2017.pdf — p. 7 — Q5 item 1</t>
  </si>
  <si>
    <t>Trindade impossível com mobilidade perfeita.</t>
  </si>
  <si>
    <t>Prova  Macroeconomia 2017.pdf — p. 7 — Q5 item 2</t>
  </si>
  <si>
    <t>Inclinações IS e LM no modelo aberto.</t>
  </si>
  <si>
    <t>Prova  Macroeconomia 2017.pdf — p. 7 — Q5 item 3</t>
  </si>
  <si>
    <t>Expansão monetária e depreciação cambial.</t>
  </si>
  <si>
    <t>Prova  Macroeconomia 2017.pdf — p. 7 — Q5 item 4</t>
  </si>
  <si>
    <t>Renda permanente versus hábitos.</t>
  </si>
  <si>
    <t>Prova  Macroeconomia 2017.pdf — p. 8 — Q6 item 0</t>
  </si>
  <si>
    <t>Ciclo de vida: perfil etário da poupança.</t>
  </si>
  <si>
    <t>Prova  Macroeconomia 2017.pdf — p. 8 — Q6 item 1</t>
  </si>
  <si>
    <t>Imposto temporário e poupança.</t>
  </si>
  <si>
    <t>Prova  Macroeconomia 2017.pdf — p. 8 — Q6 item 2</t>
  </si>
  <si>
    <t>Transferência entre gerações e poupança agregada.</t>
  </si>
  <si>
    <t>Prova  Macroeconomia 2017.pdf — p. 8 — Q6 item 3</t>
  </si>
  <si>
    <t>q de Tobin e incentivo ao investimento.</t>
  </si>
  <si>
    <t>Prova  Macroeconomia 2017.pdf — p. 8 — Q6 item 4</t>
  </si>
  <si>
    <t>Phillips: desinflação e desemprego cíclico.</t>
  </si>
  <si>
    <t>Prova  Macroeconomia 2017.pdf — p. 8 — Q7 item 0</t>
  </si>
  <si>
    <t>Item misto: derivação da oferta agregada via Phillips e Okun.</t>
  </si>
  <si>
    <t>Prova  Macroeconomia 2017.pdf — p. 8 — Q7 item 1</t>
  </si>
  <si>
    <t>Phillips-Okun e razão de sacrifício.</t>
  </si>
  <si>
    <t>Prova  Macroeconomia 2017.pdf — p. 8 — Q7 item 2</t>
  </si>
  <si>
    <t>Choque de oferta e custo da desinflação.</t>
  </si>
  <si>
    <t>Prova  Macroeconomia 2017.pdf — p. 8 — Q7 item 3</t>
  </si>
  <si>
    <t>Expectativas racionais e condições para desinflação sem custo.</t>
  </si>
  <si>
    <t>Prova  Macroeconomia 2017.pdf — p. 8 — Q7 item 4</t>
  </si>
  <si>
    <t>Regra de Taylor: inflação e hiato do produto.</t>
  </si>
  <si>
    <t>Prova  Macroeconomia 2017.pdf — p. 9 — Q8 item 0</t>
  </si>
  <si>
    <t>Princípio de Taylor e estabilização.</t>
  </si>
  <si>
    <t>Prova  Macroeconomia 2017.pdf — p. 9 — Q8 item 1</t>
  </si>
  <si>
    <t>Concorrência e oferta de Lucas.</t>
  </si>
  <si>
    <t>Prova  Macroeconomia 2017.pdf — p. 9 — Q8 item 2</t>
  </si>
  <si>
    <t>Extração de sinal e volatilidade da demanda.</t>
  </si>
  <si>
    <t>Prova  Macroeconomia 2017.pdf — p. 9 — Q8 item 3</t>
  </si>
  <si>
    <t>Inconsistência temporal e viés inflacionário.</t>
  </si>
  <si>
    <t>Prova  Macroeconomia 2017.pdf — p. 9 — Q8 item 4</t>
  </si>
  <si>
    <t>Prova  Macroeconomia 2017.pdf — p. 9 — Q9 item 0</t>
  </si>
  <si>
    <t>Restrição fiscal e dívida real constante.</t>
  </si>
  <si>
    <t>Prova  Macroeconomia 2017.pdf — p. 9 — Q9 item 1</t>
  </si>
  <si>
    <t>Saldo primário e dívida/PIB constante.</t>
  </si>
  <si>
    <t>Prova  Macroeconomia 2017.pdf — p. 9 — Q9 item 2</t>
  </si>
  <si>
    <t>RBC: persistência do choque e efeito riqueza.</t>
  </si>
  <si>
    <t>Prova  Macroeconomia 2017.pdf — p. 9 — Q9 item 3</t>
  </si>
  <si>
    <t>Custos de menu e escola novo-keynesiana.</t>
  </si>
  <si>
    <t>Prova  Macroeconomia 2017.pdf — p. 9 — Q9 item 4</t>
  </si>
  <si>
    <t>Novo-keynesianos e neutralidade.</t>
  </si>
  <si>
    <t>Prova  Macroeconomia 2017.pdf — p. 10 — Q10 item 0</t>
  </si>
  <si>
    <t>RBC e flexibilidade de preços.</t>
  </si>
  <si>
    <t>Prova  Macroeconomia 2017.pdf — p. 10 — Q10 item 1</t>
  </si>
  <si>
    <t>Choque tecnológico adverso e emprego em RBC.</t>
  </si>
  <si>
    <t>Prova  Macroeconomia 2017.pdf — p. 10 — Q10 item 2</t>
  </si>
  <si>
    <t>Frequência de reajustes e inclinação da Phillips novo-keynesiana.</t>
  </si>
  <si>
    <t>Prova  Macroeconomia 2017.pdf — p. 10 — Q10 item 3</t>
  </si>
  <si>
    <t>Custos de menu e rigidez de preços.</t>
  </si>
  <si>
    <t>Prova  Macroeconomia 2017.pdf — p. 10 — Q10 item 4</t>
  </si>
  <si>
    <t>Prova  Macroeconomia 2017.pdf — p. 10 — Q11 item 0</t>
  </si>
  <si>
    <t>Preço relativo do capital e investimento neoclássico.</t>
  </si>
  <si>
    <t>Prova  Macroeconomia 2017.pdf — p. 10 — Q11 item 1</t>
  </si>
  <si>
    <t>Ações e custo de financiamento do capital.</t>
  </si>
  <si>
    <t>Prova  Macroeconomia 2017.pdf — p. 10 — Q11 item 2</t>
  </si>
  <si>
    <t>Ciclo de vida e demografia.</t>
  </si>
  <si>
    <t>Prova  Macroeconomia 2017.pdf — p. 10 — Q11 item 3</t>
  </si>
  <si>
    <t>Renda permanente racional: consumo reage a notícias.</t>
  </si>
  <si>
    <t>Prova  Macroeconomia 2017.pdf — p. 10 — Q11 item 4</t>
  </si>
  <si>
    <t>Déficits fiscais e hiperinflação.</t>
  </si>
  <si>
    <t>Prova  Macroeconomia 2017.pdf — p. 11 — Q12 item 0</t>
  </si>
  <si>
    <t>Limites da arrecadação de senhoriagem.</t>
  </si>
  <si>
    <t>Prova  Macroeconomia 2017.pdf — p. 11 — Q12 item 1</t>
  </si>
  <si>
    <t>Operação interbancária e meios de pagamento.</t>
  </si>
  <si>
    <t>Prova  Macroeconomia 2017.pdf — p. 11 — Q12 item 2</t>
  </si>
  <si>
    <t>Equivalência ricardiana e poupança privada.</t>
  </si>
  <si>
    <t>Prova  Macroeconomia 2017.pdf — p. 11 — Q12 item 3</t>
  </si>
  <si>
    <t>Prova  Macroeconomia 2017.pdf — p. 11 — Q12 item 4</t>
  </si>
  <si>
    <t>Solow e crescimento per capita equilibrado.</t>
  </si>
  <si>
    <t>Prova  Macroeconomia 2017.pdf — p. 11 — Q13 item 0</t>
  </si>
  <si>
    <t>Natureza da tecnologia no modelo de Solow.</t>
  </si>
  <si>
    <t>Prova  Macroeconomia 2017.pdf — p. 11 — Q13 item 1</t>
  </si>
  <si>
    <t>AK e learning by doing.</t>
  </si>
  <si>
    <t>Prova  Macroeconomia 2017.pdf — p. 11 — Q13 item 2</t>
  </si>
  <si>
    <t>Fatos estilizados de Kaldor.</t>
  </si>
  <si>
    <t>Prova  Macroeconomia 2017.pdf — p. 11 — Q13 item 3</t>
  </si>
  <si>
    <t>Solow: poupança da regra de ouro.</t>
  </si>
  <si>
    <t>Prova  Macroeconomia 2017.pdf — p. 11 — Q13 item 4</t>
  </si>
  <si>
    <t>Solow: capital por trabalhador efetivo no estado estacionário.</t>
  </si>
  <si>
    <t>Prova  Macroeconomia 2017.pdf — p. 12 — Q14 — Tipo B</t>
  </si>
  <si>
    <t>Multiplicador monetário a partir de papel-moeda, depósitos e reservas.</t>
  </si>
  <si>
    <t>Prova  Macroeconomia 2017.pdf — p. 12 — Q15 — Tipo B</t>
  </si>
  <si>
    <t>Saldo comercial com operações a prazo.</t>
  </si>
  <si>
    <t>Prova  Macroeconomia 2018.pdf — p. 5 — Q1 item 0</t>
  </si>
  <si>
    <t>Apuração das transações correntes.</t>
  </si>
  <si>
    <t>Prova  Macroeconomia 2018.pdf — p. 5 — Q1 item 1</t>
  </si>
  <si>
    <t>Saldo global do BP.</t>
  </si>
  <si>
    <t>Prova  Macroeconomia 2018.pdf — p. 5 — Q1 item 2</t>
  </si>
  <si>
    <t>Conta capital e financeira, incluindo crédito comercial.</t>
  </si>
  <si>
    <t>Prova  Macroeconomia 2018.pdf — p. 5 — Q1 item 3</t>
  </si>
  <si>
    <t>Prova  Macroeconomia 2018.pdf — p. 5 — Q1 item 4</t>
  </si>
  <si>
    <t>Custo de oportunidade da demanda por moeda.</t>
  </si>
  <si>
    <t>Prova  Macroeconomia 2018.pdf — p. 6 — Q2 item 0</t>
  </si>
  <si>
    <t>Venda de títulos e contração monetária.</t>
  </si>
  <si>
    <t>Prova  Macroeconomia 2018.pdf — p. 6 — Q2 item 1</t>
  </si>
  <si>
    <t>Preço de títulos prefixados versus juros.</t>
  </si>
  <si>
    <t>Prova  Macroeconomia 2018.pdf — p. 6 — Q2 item 2</t>
  </si>
  <si>
    <t>Compra bancária junto ao público e criação de moeda.</t>
  </si>
  <si>
    <t>Prova  Macroeconomia 2018.pdf — p. 6 — Q2 item 3</t>
  </si>
  <si>
    <t>Equilíbrio monetário no IS-LM.</t>
  </si>
  <si>
    <t>Prova  Macroeconomia 2018.pdf — p. 6 — Q2 item 4</t>
  </si>
  <si>
    <t>Mundell-Fleming: eficácia fiscal por regime cambial.</t>
  </si>
  <si>
    <t>Prova  Macroeconomia 2018.pdf — p. 6 — Q3 item 0</t>
  </si>
  <si>
    <t>Expansão fiscal e exportações.</t>
  </si>
  <si>
    <t>Prova  Macroeconomia 2018.pdf — p. 6 — Q3 item 1</t>
  </si>
  <si>
    <t>Endogeneidade da moeda sob câmbio fixo.</t>
  </si>
  <si>
    <t>Prova  Macroeconomia 2018.pdf — p. 6 — Q3 item 2</t>
  </si>
  <si>
    <t>Contração monetária com câmbio flexível.</t>
  </si>
  <si>
    <t>Prova  Macroeconomia 2018.pdf — p. 6 — Q3 item 3</t>
  </si>
  <si>
    <t>Juros externos e perda da autonomia monetária.</t>
  </si>
  <si>
    <t>Prova  Macroeconomia 2018.pdf — p. 6 — Q3 item 4</t>
  </si>
  <si>
    <t>Oferta agregada e produto natural.</t>
  </si>
  <si>
    <t>Prova  Macroeconomia 2018.pdf — p. 7 — Q4 item 0</t>
  </si>
  <si>
    <t>Inclinação da oferta agregada.</t>
  </si>
  <si>
    <t>Prova  Macroeconomia 2018.pdf — p. 7 — Q4 item 1</t>
  </si>
  <si>
    <t>Fundamentos da inclinação da demanda agregada.</t>
  </si>
  <si>
    <t>Prova  Macroeconomia 2018.pdf — p. 7 — Q4 item 2</t>
  </si>
  <si>
    <t>Friedman: convergência à taxa natural de desemprego.</t>
  </si>
  <si>
    <t>Prova  Macroeconomia 2018.pdf — p. 7 — Q4 item 3</t>
  </si>
  <si>
    <t>Natureza do desemprego natural em Friedman.</t>
  </si>
  <si>
    <t>Prova  Macroeconomia 2018.pdf — p. 7 — Q4 item 4</t>
  </si>
  <si>
    <t>Crescimento com capital humano.</t>
  </si>
  <si>
    <t>Prova  Macroeconomia 2018.pdf — p. 7 — Q5 item 0</t>
  </si>
  <si>
    <t>Poupança e educação no crescimento endógeno.</t>
  </si>
  <si>
    <t>Prova  Macroeconomia 2018.pdf — p. 7 — Q5 item 1</t>
  </si>
  <si>
    <t>Diferenciais de progresso tecnológico.</t>
  </si>
  <si>
    <t>Prova  Macroeconomia 2018.pdf — p. 7 — Q5 item 2</t>
  </si>
  <si>
    <t>Instituições e diferenças de renda entre países.</t>
  </si>
  <si>
    <t>Prova  Macroeconomia 2018.pdf — p. 7 — Q5 item 3</t>
  </si>
  <si>
    <t>Limites da acumulação e rendimentos do capital.</t>
  </si>
  <si>
    <t>Prova  Macroeconomia 2018.pdf — p. 7 — Q5 item 4</t>
  </si>
  <si>
    <t>Apreciação real e preços relativos.</t>
  </si>
  <si>
    <t>Prova  Macroeconomia 2018.pdf — p. 8 — Q6 item 0</t>
  </si>
  <si>
    <t>Paridade de juros entre países.</t>
  </si>
  <si>
    <t>Prova  Macroeconomia 2018.pdf — p. 8 — Q6 item 1</t>
  </si>
  <si>
    <t>Paridade descoberta e apreciação esperada.</t>
  </si>
  <si>
    <t>Prova  Macroeconomia 2018.pdf — p. 8 — Q6 item 2</t>
  </si>
  <si>
    <t>Câmbio nominal versus real.</t>
  </si>
  <si>
    <t>Prova  Macroeconomia 2018.pdf — p. 8 — Q6 item 3</t>
  </si>
  <si>
    <t>Custos de transporte, tarifas e lei do preço único.</t>
  </si>
  <si>
    <t>Prova  Macroeconomia 2018.pdf — p. 8 — Q6 item 4</t>
  </si>
  <si>
    <t>Equivalência ricardiana e restrições de crédito.</t>
  </si>
  <si>
    <t>Prova  Macroeconomia 2018.pdf — p. 8 — Q7 item 0</t>
  </si>
  <si>
    <t>Renda permanente e fato de Kuznets.</t>
  </si>
  <si>
    <t>Prova  Macroeconomia 2018.pdf — p. 8 — Q7 item 1</t>
  </si>
  <si>
    <t>Passeio aleatório do consumo e notícias de política.</t>
  </si>
  <si>
    <t>Prova  Macroeconomia 2018.pdf — p. 8 — Q7 item 2</t>
  </si>
  <si>
    <t>q de Tobin e investimento líquido.</t>
  </si>
  <si>
    <t>Prova  Macroeconomia 2018.pdf — p. 8 — Q7 item 3</t>
  </si>
  <si>
    <t>Mercados eficientes e passeio aleatório das ações.</t>
  </si>
  <si>
    <t>Prova  Macroeconomia 2018.pdf — p. 8 — Q7 item 4</t>
  </si>
  <si>
    <t>Lucas: extração de sinal com variação agregada predominante.</t>
  </si>
  <si>
    <t>Prova  Macroeconomia 2018.pdf — p. 9 — Q8 item 0</t>
  </si>
  <si>
    <t>Novo-keynesianos: política antecipada e rigidez.</t>
  </si>
  <si>
    <t>Prova  Macroeconomia 2018.pdf — p. 9 — Q8 item 1</t>
  </si>
  <si>
    <t>Passeio aleatório do PIB e choques permanentes.</t>
  </si>
  <si>
    <t>Prova  Macroeconomia 2018.pdf — p. 9 — Q8 item 2</t>
  </si>
  <si>
    <t>Credibilidade e custo da desinflação.</t>
  </si>
  <si>
    <t>Prova  Macroeconomia 2018.pdf — p. 9 — Q8 item 3</t>
  </si>
  <si>
    <t>Rigidez de preços e não neutralidade antecipada.</t>
  </si>
  <si>
    <t>Prova  Macroeconomia 2018.pdf — p. 9 — Q8 item 4</t>
  </si>
  <si>
    <t>IS-LM: expansão fiscal e contração monetária.</t>
  </si>
  <si>
    <t>Prova  Macroeconomia 2018.pdf — p. 10 — Q9 item 0</t>
  </si>
  <si>
    <t>Aumento de impostos combinado com expansão monetária.</t>
  </si>
  <si>
    <t>Prova  Macroeconomia 2018.pdf — p. 10 — Q9 item 1</t>
  </si>
  <si>
    <t>Choques simultâneos de investimento e demanda de moeda.</t>
  </si>
  <si>
    <t>Prova  Macroeconomia 2018.pdf — p. 10 — Q9 item 2</t>
  </si>
  <si>
    <t>IS horizontal e LM vertical.</t>
  </si>
  <si>
    <t>Prova  Macroeconomia 2018.pdf — p. 10 — Q9 item 3</t>
  </si>
  <si>
    <t>Regra de orçamento equilibrado e amplificação de choques.</t>
  </si>
  <si>
    <t>Prova  Macroeconomia 2018.pdf — p. 10 — Q9 item 4</t>
  </si>
  <si>
    <t>Solow com componente linear: condições de Inada.</t>
  </si>
  <si>
    <t>Prova  Macroeconomia 2018.pdf — p. 11 — Q10 item 0</t>
  </si>
  <si>
    <t>Existência e estabilidade do estado estacionário.</t>
  </si>
  <si>
    <t>Prova  Macroeconomia 2018.pdf — p. 11 — Q10 item 1</t>
  </si>
  <si>
    <t>Caso-limite de tecnologia AK.</t>
  </si>
  <si>
    <t>Prova  Macroeconomia 2018.pdf — p. 11 — Q10 item 2</t>
  </si>
  <si>
    <t>Capital efetivo estacionário.</t>
  </si>
  <si>
    <t>Prova  Macroeconomia 2018.pdf — p. 11 — Q10 item 3</t>
  </si>
  <si>
    <t>Consumo efetivo estacionário.</t>
  </si>
  <si>
    <t>Prova  Macroeconomia 2018.pdf — p. 11 — Q10 item 4</t>
  </si>
  <si>
    <t>Cruz keynesiana: paradoxo da poupança.</t>
  </si>
  <si>
    <t>Prova  Macroeconomia 2018.pdf — p. 12 — Q11 item 0</t>
  </si>
  <si>
    <t>Estoques não planejados e ajuste do produto.</t>
  </si>
  <si>
    <t>Prova  Macroeconomia 2018.pdf — p. 12 — Q11 item 1</t>
  </si>
  <si>
    <t>Multiplicador das compras públicas.</t>
  </si>
  <si>
    <t>Prova  Macroeconomia 2018.pdf — p. 12 — Q11 item 2</t>
  </si>
  <si>
    <t>Multiplicador das transferências.</t>
  </si>
  <si>
    <t>Prova  Macroeconomia 2018.pdf — p. 12 — Q11 item 3</t>
  </si>
  <si>
    <t>Multiplicador em economia aberta e propensão a gastar.</t>
  </si>
  <si>
    <t>Prova  Macroeconomia 2018.pdf — p. 12 — Q11 item 4</t>
  </si>
  <si>
    <t>Inflação e custos de administração dos encaixes monetários.</t>
  </si>
  <si>
    <t>Prova  Macroeconomia 2018.pdf — p. 13 — Q12 item 0</t>
  </si>
  <si>
    <t>Oferta de Lucas como contraponto sob concorrência perfeita.</t>
  </si>
  <si>
    <t>Prova  Macroeconomia 2018.pdf — p. 13 — Q12 item 1</t>
  </si>
  <si>
    <t>Lucas: volatilidade agregada e inclinação da oferta.</t>
  </si>
  <si>
    <t>Prova  Macroeconomia 2018.pdf — p. 13 — Q12 item 2</t>
  </si>
  <si>
    <t>Cruz keynesiana: estoques e igualdade entre gasto efetivo e produto.</t>
  </si>
  <si>
    <t>Prova  Macroeconomia 2018.pdf — p. 13 — Q12 item 3</t>
  </si>
  <si>
    <t>Paridade de juros reais versus equação de Fisher.</t>
  </si>
  <si>
    <t>Prova  Macroeconomia 2018.pdf — p. 13 — Q12 item 4</t>
  </si>
  <si>
    <t>Paridade descoberta: depreciação cambial esperada.</t>
  </si>
  <si>
    <t>Prova  Macroeconomia 2018.pdf — p. 13 — Q13 — Tipo B</t>
  </si>
  <si>
    <t>Equilíbrio de pequena economia com câmbio e juros fixos; poupança nacional. Classificação para revisão.</t>
  </si>
  <si>
    <t>Prova  Macroeconomia 2018.pdf — p. 14 — Q14 — Tipo B</t>
  </si>
  <si>
    <t>Dinâmica da razão dívida/PIB em cinco anos.</t>
  </si>
  <si>
    <t>Prova  Macroeconomia 2018.pdf — p. 14 — Q15 — Tipo B</t>
  </si>
  <si>
    <t>PIB real e preços do ano-base.</t>
  </si>
  <si>
    <t>Prova  Macroeconomia 2019.pdf — p. 5 — Q1 item 0</t>
  </si>
  <si>
    <t>Serviços domésticos remunerados nas contas nacionais.</t>
  </si>
  <si>
    <t>Prova  Macroeconomia 2019.pdf — p. 5 — Q1 item 1</t>
  </si>
  <si>
    <t>Variação do deflator implícito.</t>
  </si>
  <si>
    <t>Prova  Macroeconomia 2019.pdf — p. 5 — Q1 item 2</t>
  </si>
  <si>
    <t>Investimento em estoques indesejados.</t>
  </si>
  <si>
    <t>Prova  Macroeconomia 2019.pdf — p. 5 — Q1 item 3</t>
  </si>
  <si>
    <t>Juros externos na conta de renda primária.</t>
  </si>
  <si>
    <t>Prova  Macroeconomia 2019.pdf — p. 5 — Q1 item 4</t>
  </si>
  <si>
    <t>Equivalência ricardiana e consumo privado.</t>
  </si>
  <si>
    <t>Prova  Macroeconomia 2019.pdf — p. 5 — Q2 item 0</t>
  </si>
  <si>
    <t>Financiamento fiscal sob equivalência ricardiana.</t>
  </si>
  <si>
    <t>Prova  Macroeconomia 2019.pdf — p. 5 — Q2 item 1</t>
  </si>
  <si>
    <t>Componente cíclico do déficit público.</t>
  </si>
  <si>
    <t>Prova  Macroeconomia 2019.pdf — p. 5 — Q2 item 2</t>
  </si>
  <si>
    <t>Saldo primário estabilizador da dívida/PIB.</t>
  </si>
  <si>
    <t>Prova  Macroeconomia 2019.pdf — p. 5 — Q2 item 3</t>
  </si>
  <si>
    <t>Sustentabilidade fiscal versus saldo comercial.</t>
  </si>
  <si>
    <t>Prova  Macroeconomia 2019.pdf — p. 5 — Q2 item 4</t>
  </si>
  <si>
    <t>IS-LM-BP: contração monetária e reservas com câmbio fixo.</t>
  </si>
  <si>
    <t>Prova  Macroeconomia 2019.pdf — p. 6 — Q3 item 0</t>
  </si>
  <si>
    <t>BP vertical sem mobilidade de capitais.</t>
  </si>
  <si>
    <t>Prova  Macroeconomia 2019.pdf — p. 6 — Q3 item 1</t>
  </si>
  <si>
    <t>Abertura comercial e multiplicador fiscal.</t>
  </si>
  <si>
    <t>Prova  Macroeconomia 2019.pdf — p. 6 — Q3 item 2</t>
  </si>
  <si>
    <t>Oferta monetária endógena com câmbio fixo.</t>
  </si>
  <si>
    <t>Prova  Macroeconomia 2019.pdf — p. 6 — Q3 item 3</t>
  </si>
  <si>
    <t>Mobilidade de capitais e eficácia fiscal.</t>
  </si>
  <si>
    <t>Prova  Macroeconomia 2019.pdf — p. 6 — Q3 item 4</t>
  </si>
  <si>
    <t>Determinantes das inclinações IS e LM.</t>
  </si>
  <si>
    <t>Prova  Macroeconomia 2019.pdf — p. 6 — Q4 item 0</t>
  </si>
  <si>
    <t>Viés inflacionário e regras monetárias.</t>
  </si>
  <si>
    <t>Prova  Macroeconomia 2019.pdf — p. 6 — Q4 item 1</t>
  </si>
  <si>
    <t>Independência e inconsistência temporal.</t>
  </si>
  <si>
    <t>Prova  Macroeconomia 2019.pdf — p. 6 — Q4 item 2</t>
  </si>
  <si>
    <t>Defasagens interna e externa da política monetária.</t>
  </si>
  <si>
    <t>Prova  Macroeconomia 2019.pdf — p. 6 — Q4 item 3</t>
  </si>
  <si>
    <t>Phillips de Friedman: curto e longo prazo.</t>
  </si>
  <si>
    <t>Prova  Macroeconomia 2019.pdf — p. 6 — Q4 item 4</t>
  </si>
  <si>
    <t>Solow: capital efetivo estacionário.</t>
  </si>
  <si>
    <t>Prova  Macroeconomia 2019.pdf — p. 7 — Q5 item 0</t>
  </si>
  <si>
    <t>Solow: produto efetivo estacionário.</t>
  </si>
  <si>
    <t>Prova  Macroeconomia 2019.pdf — p. 7 — Q5 item 1</t>
  </si>
  <si>
    <t>Solow: crescimento do produto agregado.</t>
  </si>
  <si>
    <t>Prova  Macroeconomia 2019.pdf — p. 7 — Q5 item 2</t>
  </si>
  <si>
    <t>Solow: crescimento por trabalhador efetivo.</t>
  </si>
  <si>
    <t>Prova  Macroeconomia 2019.pdf — p. 7 — Q5 item 3</t>
  </si>
  <si>
    <t>Solow: crescimento por trabalhador.</t>
  </si>
  <si>
    <t>Prova  Macroeconomia 2019.pdf — p. 7 — Q5 item 4</t>
  </si>
  <si>
    <t>OA-DA aberta: ajuste de preços e câmbio real sob câmbio nominal fixo.</t>
  </si>
  <si>
    <t>Prova  Macroeconomia 2019.pdf — p. 7 — Q6 item 0</t>
  </si>
  <si>
    <t>Paridade de juros com moeda comum e prêmio de risco.</t>
  </si>
  <si>
    <t>Prova  Macroeconomia 2019.pdf — p. 7 — Q6 item 1</t>
  </si>
  <si>
    <t>PPC relativa.</t>
  </si>
  <si>
    <t>Prova  Macroeconomia 2019.pdf — p. 7 — Q6 item 2</t>
  </si>
  <si>
    <t>Curva J e defasagem de resposta das exportações líquidas.</t>
  </si>
  <si>
    <t>Prova  Macroeconomia 2019.pdf — p. 7 — Q6 item 3</t>
  </si>
  <si>
    <t>Mobilidade de capitais versus paridade de juros.</t>
  </si>
  <si>
    <t>Prova  Macroeconomia 2019.pdf — p. 7 — Q6 item 4</t>
  </si>
  <si>
    <t>q de Tobin e investimento.</t>
  </si>
  <si>
    <t>Prova  Macroeconomia 2019.pdf — p. 8 — Q7 item 0</t>
  </si>
  <si>
    <t>OA-DA: choque de petróleo.</t>
  </si>
  <si>
    <t>Prova  Macroeconomia 2019.pdf — p. 8 — Q7 item 1</t>
  </si>
  <si>
    <t>Item misto: IS ampliada e expectativas.</t>
  </si>
  <si>
    <t>Prova  Macroeconomia 2019.pdf — p. 8 — Q7 item 2</t>
  </si>
  <si>
    <t>Prova  Macroeconomia 2019.pdf — p. 8 — Q7 item 3</t>
  </si>
  <si>
    <t>Ciclo de vida e renda permanente.</t>
  </si>
  <si>
    <t>Prova  Macroeconomia 2019.pdf — p. 8 — Q7 item 4</t>
  </si>
  <si>
    <t>Mundell-Fleming: tarifas sob câmbio flutuante.</t>
  </si>
  <si>
    <t>Prova  Macroeconomia 2019.pdf — p. 9 — Q8 item 0</t>
  </si>
  <si>
    <t>Demanda doméstica versus externa.</t>
  </si>
  <si>
    <t>Prova  Macroeconomia 2019.pdf — p. 9 — Q8 item 1</t>
  </si>
  <si>
    <t>Redução de impostos e câmbio flutuante.</t>
  </si>
  <si>
    <t>Prova  Macroeconomia 2019.pdf — p. 9 — Q8 item 2</t>
  </si>
  <si>
    <t>Expansão monetária e depreciação.</t>
  </si>
  <si>
    <t>Prova  Macroeconomia 2019.pdf — p. 9 — Q8 item 3</t>
  </si>
  <si>
    <t>Expansão fiscal, títulos e câmbio com mobilidade perfeita.</t>
  </si>
  <si>
    <t>Prova  Macroeconomia 2019.pdf — p. 9 — Q8 item 4</t>
  </si>
  <si>
    <t>Crescimento endógeno sem progresso técnico exógeno.</t>
  </si>
  <si>
    <t>Prova  Macroeconomia 2019.pdf — p. 9 — Q9 item 0</t>
  </si>
  <si>
    <t>Poupança e educação.</t>
  </si>
  <si>
    <t>Prova  Macroeconomia 2019.pdf — p. 9 — Q9 item 1</t>
  </si>
  <si>
    <t>Rendimentos do capital no crescimento endógeno.</t>
  </si>
  <si>
    <t>Prova  Macroeconomia 2019.pdf — p. 9 — Q9 item 2</t>
  </si>
  <si>
    <t>AK e ausência de convergência.</t>
  </si>
  <si>
    <t>Prova  Macroeconomia 2019.pdf — p. 9 — Q9 item 3</t>
  </si>
  <si>
    <t>Crescimento endógeno versus progresso técnico dado.</t>
  </si>
  <si>
    <t>Prova  Macroeconomia 2019.pdf — p. 9 — Q9 item 4</t>
  </si>
  <si>
    <t>Escolha intertemporal logarítmica: juros e poupança.</t>
  </si>
  <si>
    <t>Prova  Macroeconomia 2019.pdf — p. 10 — Q10 item 0</t>
  </si>
  <si>
    <t>Equação de Euler e crescimento do consumo.</t>
  </si>
  <si>
    <t>Prova  Macroeconomia 2019.pdf — p. 10 — Q10 item 1</t>
  </si>
  <si>
    <t>Propensão a consumir renda corrente.</t>
  </si>
  <si>
    <t>Prova  Macroeconomia 2019.pdf — p. 10 — Q10 item 2</t>
  </si>
  <si>
    <t>Realocação temporal da renda.</t>
  </si>
  <si>
    <t>Prova  Macroeconomia 2019.pdf — p. 10 — Q10 item 3</t>
  </si>
  <si>
    <t>Juros e efeitos sobre consumo em dois períodos.</t>
  </si>
  <si>
    <t>Prova  Macroeconomia 2019.pdf — p. 10 — Q10 item 4</t>
  </si>
  <si>
    <t>Balança comercial e doação em bens.</t>
  </si>
  <si>
    <t>Prova  Macroeconomia 2019.pdf — p. 11 — Q11 item 0</t>
  </si>
  <si>
    <t>Transações correntes.</t>
  </si>
  <si>
    <t>Prova  Macroeconomia 2019.pdf — p. 11 — Q11 item 1</t>
  </si>
  <si>
    <t>Item misto: rendas externas e diferença PNB-PIB.</t>
  </si>
  <si>
    <t>Prova  Macroeconomia 2019.pdf — p. 11 — Q11 item 2</t>
  </si>
  <si>
    <t>Conta financeira: empréstimos e amortizações.</t>
  </si>
  <si>
    <t>Prova  Macroeconomia 2019.pdf — p. 11 — Q11 item 3</t>
  </si>
  <si>
    <t>Acumulação de reservas.</t>
  </si>
  <si>
    <t>Prova  Macroeconomia 2019.pdf — p. 11 — Q11 item 4</t>
  </si>
  <si>
    <t>Oferta de Lucas e concorrência perfeita.</t>
  </si>
  <si>
    <t>Prova  Macroeconomia 2019.pdf — p. 11 — Q12 item 0</t>
  </si>
  <si>
    <t>Extração de sinal e volatilidade dos preços.</t>
  </si>
  <si>
    <t>Prova  Macroeconomia 2019.pdf — p. 11 — Q12 item 1</t>
  </si>
  <si>
    <t>Preços rígidos: reajustes diante da instabilidade.</t>
  </si>
  <si>
    <t>Prova  Macroeconomia 2019.pdf — p. 11 — Q12 item 2</t>
  </si>
  <si>
    <t>Inflação média e inclinação da oferta com preços rígidos.</t>
  </si>
  <si>
    <t>Prova  Macroeconomia 2019.pdf — p. 11 — Q12 item 3</t>
  </si>
  <si>
    <t>Informação imperfeita versus racionalidade limitada.</t>
  </si>
  <si>
    <t>Prova  Macroeconomia 2019.pdf — p. 11 — Q12 item 4</t>
  </si>
  <si>
    <t>IS-LM com importações endógenas; sem condição adicional de equilíbrio da BP.</t>
  </si>
  <si>
    <t>Prova  Macroeconomia 2019.pdf — p. 12 — Q13 — Tipo B</t>
  </si>
  <si>
    <t>Item misto: multiplicador monetário e equilíbrio da demanda de moeda.</t>
  </si>
  <si>
    <t>Prova  Macroeconomia 2019.pdf — p. 12 — Q14 — Tipo B</t>
  </si>
  <si>
    <t>Comparação de retornos internacionais e depreciação cambial máxima.</t>
  </si>
  <si>
    <t>Prova  Macroeconomia 2019.pdf — p. 13 — Q15 — Tipo B</t>
  </si>
  <si>
    <t>BPM6: ativos de reserva na conta financeira.</t>
  </si>
  <si>
    <t>Prova  Macroeconomia 2020.pdf — p. 5 — Q1 item 0</t>
  </si>
  <si>
    <t>BPM6: remuneração de empregados e renda primária.</t>
  </si>
  <si>
    <t>Prova  Macroeconomia 2020.pdf — p. 5 — Q1 item 1</t>
  </si>
  <si>
    <t>BPM6: remessas pessoais e renda secundária.</t>
  </si>
  <si>
    <t>Prova  Macroeconomia 2020.pdf — p. 5 — Q1 item 2</t>
  </si>
  <si>
    <t>BPM6: amortização de passivo externo.</t>
  </si>
  <si>
    <t>Prova  Macroeconomia 2020.pdf — p. 5 — Q1 item 3</t>
  </si>
  <si>
    <t>Convenção de sinal da conta financeira no BPM6.</t>
  </si>
  <si>
    <t>Prova  Macroeconomia 2020.pdf — p. 5 — Q1 item 4</t>
  </si>
  <si>
    <t>Expectativas racionais, antecipação e limites da neutralidade fiscal.</t>
  </si>
  <si>
    <t>Prova  Macroeconomia 2020.pdf — p. 5 — Q2 item 0</t>
  </si>
  <si>
    <t>Compra de divisas e base monetária.</t>
  </si>
  <si>
    <t>Prova  Macroeconomia 2020.pdf — p. 5 — Q2 item 1</t>
  </si>
  <si>
    <t>Compra bancária de bem e criação de moeda.</t>
  </si>
  <si>
    <t>Prova  Macroeconomia 2020.pdf — p. 5 — Q2 item 2</t>
  </si>
  <si>
    <t>Preferência por papel-moeda e multiplicador.</t>
  </si>
  <si>
    <t>Prova  Macroeconomia 2020.pdf — p. 5 — Q2 item 3</t>
  </si>
  <si>
    <t>Mercado aberto e liquidez bancária.</t>
  </si>
  <si>
    <t>Prova  Macroeconomia 2020.pdf — p. 5 — Q2 item 4</t>
  </si>
  <si>
    <t>Investimento na contabilidade nacional versus conceito econômico amplo.</t>
  </si>
  <si>
    <t>Prova  Macroeconomia 2020.pdf — p. 6 — Q3 item 0</t>
  </si>
  <si>
    <t>PNB versus produto interno.</t>
  </si>
  <si>
    <t>Prova  Macroeconomia 2020.pdf — p. 6 — Q3 item 1</t>
  </si>
  <si>
    <t>Renda líquida externa: pagamentos e recebimentos.</t>
  </si>
  <si>
    <t>Prova  Macroeconomia 2020.pdf — p. 6 — Q3 item 2</t>
  </si>
  <si>
    <t>Educação das famílias registrada como consumo.</t>
  </si>
  <si>
    <t>Prova  Macroeconomia 2020.pdf — p. 6 — Q3 item 3</t>
  </si>
  <si>
    <t>Mensuração do PIB e qualidade dos produtos.</t>
  </si>
  <si>
    <t>Prova  Macroeconomia 2020.pdf — p. 6 — Q3 item 4</t>
  </si>
  <si>
    <t>Determinantes do multiplicador e dos meios de pagamento.</t>
  </si>
  <si>
    <t>Prova  Macroeconomia 2020.pdf — p. 6 — Q4 item 0</t>
  </si>
  <si>
    <t>Controle monetário sob reservas fracionárias.</t>
  </si>
  <si>
    <t>Prova  Macroeconomia 2020.pdf — p. 6 — Q4 item 1</t>
  </si>
  <si>
    <t>Preferências do público e multiplicador.</t>
  </si>
  <si>
    <t>Prova  Macroeconomia 2020.pdf — p. 6 — Q4 item 2</t>
  </si>
  <si>
    <t>Oferta monetária sem reservas fracionárias.</t>
  </si>
  <si>
    <t>Prova  Macroeconomia 2020.pdf — p. 6 — Q4 item 3</t>
  </si>
  <si>
    <t>Compulsório, oferta de crédito e racionamento.</t>
  </si>
  <si>
    <t>Prova  Macroeconomia 2020.pdf — p. 6 — Q4 item 4</t>
  </si>
  <si>
    <t>AK: ausência de estado estacionário finito.</t>
  </si>
  <si>
    <t>Prova  Macroeconomia 2020.pdf — p. 7 — Q5 item 0</t>
  </si>
  <si>
    <t>Taxa de crescimento no AK.</t>
  </si>
  <si>
    <t>Prova  Macroeconomia 2020.pdf — p. 7 — Q5 item 1</t>
  </si>
  <si>
    <t>Produtividade e crescimento permanente.</t>
  </si>
  <si>
    <t>Prova  Macroeconomia 2020.pdf — p. 7 — Q5 item 2</t>
  </si>
  <si>
    <t>Políticas e crescimento endógeno.</t>
  </si>
  <si>
    <t>Prova  Macroeconomia 2020.pdf — p. 7 — Q5 item 3</t>
  </si>
  <si>
    <t>AK: depreciação versus razão capital-produto.</t>
  </si>
  <si>
    <t>Prova  Macroeconomia 2020.pdf — p. 7 — Q5 item 4</t>
  </si>
  <si>
    <t>Paridade descoberta com prêmio de risco.</t>
  </si>
  <si>
    <t>Prova  Macroeconomia 2020.pdf — p. 7 — Q6 item 0</t>
  </si>
  <si>
    <t>Risco de desvalorização e diferencial de juros.</t>
  </si>
  <si>
    <t>Prova  Macroeconomia 2020.pdf — p. 7 — Q6 item 1</t>
  </si>
  <si>
    <t>Expectativas e crise cambial autorrealizável.</t>
  </si>
  <si>
    <t>Prova  Macroeconomia 2020.pdf — p. 7 — Q6 item 2</t>
  </si>
  <si>
    <t>Retorno de títulos corrigido pelo câmbio e risco.</t>
  </si>
  <si>
    <t>Prova  Macroeconomia 2020.pdf — p. 7 — Q6 item 3</t>
  </si>
  <si>
    <t>Diferencial de juros, depreciação e risco-país.</t>
  </si>
  <si>
    <t>Prova  Macroeconomia 2020.pdf — p. 7 — Q6 item 4</t>
  </si>
  <si>
    <t>Escolha intertemporal: consumo e juros reais.</t>
  </si>
  <si>
    <t>Prova  Macroeconomia 2020.pdf — p. 8 — Q7 item 0</t>
  </si>
  <si>
    <t>Valor presente dos lucros e custo de uso.</t>
  </si>
  <si>
    <t>Prova  Macroeconomia 2020.pdf — p. 8 — Q7 item 1</t>
  </si>
  <si>
    <t>Preço das ações e q de Tobin.</t>
  </si>
  <si>
    <t>Prova  Macroeconomia 2020.pdf — p. 8 — Q7 item 2</t>
  </si>
  <si>
    <t>Item misto: contração fiscal expansionista via expectativas na IS.</t>
  </si>
  <si>
    <t>Prova  Macroeconomia 2020.pdf — p. 8 — Q7 item 3</t>
  </si>
  <si>
    <t>Ciclo de vida e propensão média a poupar.</t>
  </si>
  <si>
    <t>Prova  Macroeconomia 2020.pdf — p. 8 — Q7 item 4</t>
  </si>
  <si>
    <t>Indexação e dinâmica de Phillips.</t>
  </si>
  <si>
    <t>Prova  Macroeconomia 2020.pdf — p. 8 — Q8 item 0</t>
  </si>
  <si>
    <t>Rigidez nominal e estratégia gradual de desinflação.</t>
  </si>
  <si>
    <t>Prova  Macroeconomia 2020.pdf — p. 8 — Q8 item 1</t>
  </si>
  <si>
    <t>RBC e interpretação dos choques do PIB.</t>
  </si>
  <si>
    <t>Prova  Macroeconomia 2020.pdf — p. 8 — Q8 item 2</t>
  </si>
  <si>
    <t>Novo-keynesianos: poder de mercado e rigidez.</t>
  </si>
  <si>
    <t>Prova  Macroeconomia 2020.pdf — p. 8 — Q8 item 3</t>
  </si>
  <si>
    <t>Flexibilidade de preços no RBC.</t>
  </si>
  <si>
    <t>Prova  Macroeconomia 2020.pdf — p. 8 — Q8 item 4</t>
  </si>
  <si>
    <t>Solow: produto per capita com progresso técnico.</t>
  </si>
  <si>
    <t>Prova  Macroeconomia 2020.pdf — p. 9 — Q9 item 0</t>
  </si>
  <si>
    <t>Solow: população sem progresso técnico.</t>
  </si>
  <si>
    <t>Prova  Macroeconomia 2020.pdf — p. 9 — Q9 item 1</t>
  </si>
  <si>
    <t>Poupança e nível de renda estacionária.</t>
  </si>
  <si>
    <t>Prova  Macroeconomia 2020.pdf — p. 9 — Q9 item 2</t>
  </si>
  <si>
    <t>Convergência condicional.</t>
  </si>
  <si>
    <t>Prova  Macroeconomia 2020.pdf — p. 9 — Q9 item 3</t>
  </si>
  <si>
    <t>Regra de ouro com crescimento populacional.</t>
  </si>
  <si>
    <t>Prova  Macroeconomia 2020.pdf — p. 9 — Q9 item 4</t>
  </si>
  <si>
    <t>IS-LM-BP: expansão monetária com câmbio fixo.</t>
  </si>
  <si>
    <t>Prova  Macroeconomia 2020.pdf — p. 9 — Q10 item 0</t>
  </si>
  <si>
    <t>Juros externos sob BP horizontal e câmbio flutuante.</t>
  </si>
  <si>
    <t>Prova  Macroeconomia 2020.pdf — p. 9 — Q10 item 1</t>
  </si>
  <si>
    <t>Eficácia fiscal sob câmbio fixo.</t>
  </si>
  <si>
    <t>Prova  Macroeconomia 2020.pdf — p. 9 — Q10 item 2</t>
  </si>
  <si>
    <t>Renda externa sem mobilidade de capitais.</t>
  </si>
  <si>
    <t>Prova  Macroeconomia 2020.pdf — p. 9 — Q10 item 3</t>
  </si>
  <si>
    <t>Expansão fiscal com câmbio flutuante sem mobilidade.</t>
  </si>
  <si>
    <t>Prova  Macroeconomia 2020.pdf — p. 9 — Q10 item 4</t>
  </si>
  <si>
    <t>PIB a preços do ano-base.</t>
  </si>
  <si>
    <t>Prova  Macroeconomia 2020.pdf — p. 10 — Q11 item 0</t>
  </si>
  <si>
    <t>Crescimento do PIB real.</t>
  </si>
  <si>
    <t>Prova  Macroeconomia 2020.pdf — p. 10 — Q11 item 1</t>
  </si>
  <si>
    <t>Deflator do PNB em economia fechada.</t>
  </si>
  <si>
    <t>Prova  Macroeconomia 2020.pdf — p. 10 — Q11 item 2</t>
  </si>
  <si>
    <t>Comparação entre deflator e Laspeyres.</t>
  </si>
  <si>
    <t>Prova  Macroeconomia 2020.pdf — p. 10 — Q11 item 3</t>
  </si>
  <si>
    <t>Complementaridade entre bens: inferência a partir de preços e quantidades.</t>
  </si>
  <si>
    <t>Prova  Macroeconomia 2020.pdf — p. 10 — Q11 item 4</t>
  </si>
  <si>
    <t>Desemprego natural e crescimento normal no plano de desinflação.</t>
  </si>
  <si>
    <t>Prova  Macroeconomia 2020.pdf — p. 11 — Q12 item 0</t>
  </si>
  <si>
    <t>Tipo de expectativas subjacente à trajetória projetada.</t>
  </si>
  <si>
    <t>Prova  Macroeconomia 2020.pdf — p. 11 — Q12 item 1</t>
  </si>
  <si>
    <t>Razão de sacrifício em desemprego.</t>
  </si>
  <si>
    <t>Prova  Macroeconomia 2020.pdf — p. 11 — Q12 item 2</t>
  </si>
  <si>
    <t>Lei de Okun: sensibilidade do emprego ao produto.</t>
  </si>
  <si>
    <t>Prova  Macroeconomia 2020.pdf — p. 11 — Q12 item 3</t>
  </si>
  <si>
    <t>Crítica de Lucas a projeções de política econômica.</t>
  </si>
  <si>
    <t>Prova  Macroeconomia 2020.pdf — p. 11 — Q12 item 4</t>
  </si>
  <si>
    <t>Escolha intertemporal logarítmica e poupança ótima.</t>
  </si>
  <si>
    <t>Prova  Macroeconomia 2020.pdf — p. 12 — Q13 — Tipo B</t>
  </si>
  <si>
    <t>Dinâmica da dívida/PIB e crescimento real implícito.</t>
  </si>
  <si>
    <t>Prova  Macroeconomia 2020.pdf — p. 12 — Q14 — Tipo B</t>
  </si>
  <si>
    <t>Item misto: teoria quantitativa nos dois países e PPC relativa.</t>
  </si>
  <si>
    <t>Prova  Macroeconomia 2020.pdf — p. 13 — Q15 — Tipo B</t>
  </si>
  <si>
    <t>Resultado primário versus juros nominais.</t>
  </si>
  <si>
    <t>Prova  Macroeconomia 2021.pdf — p. 4 — Q1 item 0</t>
  </si>
  <si>
    <t>Rendas de não residentes no balanço de pagamentos.</t>
  </si>
  <si>
    <t>Prova  Macroeconomia 2021.pdf — p. 4 — Q1 item 1</t>
  </si>
  <si>
    <t>PIB e demanda de residentes/não residentes.</t>
  </si>
  <si>
    <t>Prova  Macroeconomia 2021.pdf — p. 4 — Q1 item 2</t>
  </si>
  <si>
    <t>Poupança externa e equilíbrio comercial em dois países. Classificação para revisão.</t>
  </si>
  <si>
    <t>Prova  Macroeconomia 2021.pdf — p. 4 — Q1 item 3</t>
  </si>
  <si>
    <t>Identidade contábil e limites da hipótese dos déficits gêmeos.</t>
  </si>
  <si>
    <t>Prova  Macroeconomia 2021.pdf — p. 4 — Q1 item 4</t>
  </si>
  <si>
    <t>Alocação de riqueza entre moeda e títulos.</t>
  </si>
  <si>
    <t>Prova  Macroeconomia 2021.pdf — p. 4 — Q2 item 0</t>
  </si>
  <si>
    <t>Sensibilidade-juro da demanda por moeda.</t>
  </si>
  <si>
    <t>Prova  Macroeconomia 2021.pdf — p. 4 — Q2 item 1</t>
  </si>
  <si>
    <t>Efeito renda na composição da carteira.</t>
  </si>
  <si>
    <t>Prova  Macroeconomia 2021.pdf — p. 4 — Q2 item 2</t>
  </si>
  <si>
    <t>Efeito riqueza com demanda monetária dada.</t>
  </si>
  <si>
    <t>Prova  Macroeconomia 2021.pdf — p. 4 — Q2 item 3</t>
  </si>
  <si>
    <t>Juros e custo de oportunidade dos encaixes.</t>
  </si>
  <si>
    <t>Prova  Macroeconomia 2021.pdf — p. 4 — Q2 item 4</t>
  </si>
  <si>
    <t>Prova  Macroeconomia 2021.pdf — p. 5 — Q3 item 0</t>
  </si>
  <si>
    <t>Item misto: ajuste fiscal e expectativas durante crise.</t>
  </si>
  <si>
    <t>Prova  Macroeconomia 2021.pdf — p. 5 — Q3 item 1</t>
  </si>
  <si>
    <t>Item misto: gastos públicos e deslocamento da IS via expectativas.</t>
  </si>
  <si>
    <t>Prova  Macroeconomia 2021.pdf — p. 5 — Q3 item 2</t>
  </si>
  <si>
    <t>Item misto: juros futuros e distinção entre IS e LM.</t>
  </si>
  <si>
    <t>Prova  Macroeconomia 2021.pdf — p. 5 — Q3 item 3</t>
  </si>
  <si>
    <t>Item misto: anúncio tributário crível e IS corrente.</t>
  </si>
  <si>
    <t>Prova  Macroeconomia 2021.pdf — p. 5 — Q3 item 4</t>
  </si>
  <si>
    <t>Novos clássicos/keynesianos e oferta de longo prazo.</t>
  </si>
  <si>
    <t>Prova  Macroeconomia 2021.pdf — p. 5 — Q4 item 0</t>
  </si>
  <si>
    <t>Expectativas racionais e eficácia das políticas.</t>
  </si>
  <si>
    <t>Prova  Macroeconomia 2021.pdf — p. 5 — Q4 item 1</t>
  </si>
  <si>
    <t>Fixação de preços/salários: markup e desemprego natural.</t>
  </si>
  <si>
    <t>Prova  Macroeconomia 2021.pdf — p. 5 — Q4 item 2</t>
  </si>
  <si>
    <t>OA-DA e neutralidade monetária de longo prazo.</t>
  </si>
  <si>
    <t>Prova  Macroeconomia 2021.pdf — p. 5 — Q4 item 3</t>
  </si>
  <si>
    <t>Novo-clássicos: flexibilidade versus rigidez.</t>
  </si>
  <si>
    <t>Prova  Macroeconomia 2021.pdf — p. 5 — Q4 item 4</t>
  </si>
  <si>
    <t>Rendimentos do capital: endógeno versus Solow.</t>
  </si>
  <si>
    <t>Prova  Macroeconomia 2021.pdf — p. 5 — Q5 item 0</t>
  </si>
  <si>
    <t>AK: poupança e crescimento.</t>
  </si>
  <si>
    <t>Prova  Macroeconomia 2021.pdf — p. 6 — Q5 item 1</t>
  </si>
  <si>
    <t>AK: crescimento per capita.</t>
  </si>
  <si>
    <t>Prova  Macroeconomia 2021.pdf — p. 6 — Q5 item 2</t>
  </si>
  <si>
    <t>Qualificação e crescimento endógeno.</t>
  </si>
  <si>
    <t>Prova  Macroeconomia 2021.pdf — p. 6 — Q5 item 3</t>
  </si>
  <si>
    <t>Externalidades do capital e retornos de escala.</t>
  </si>
  <si>
    <t>Prova  Macroeconomia 2021.pdf — p. 6 — Q5 item 4</t>
  </si>
  <si>
    <t>Câmbio, tarifas e competitividade.</t>
  </si>
  <si>
    <t>Prova  Macroeconomia 2021.pdf — p. 6 — Q6 item 0</t>
  </si>
  <si>
    <t>Cálculo e interpretação do câmbio real.</t>
  </si>
  <si>
    <t>Prova  Macroeconomia 2021.pdf — p. 6 — Q6 item 1</t>
  </si>
  <si>
    <t>Condição de Marshall-Lerner.</t>
  </si>
  <si>
    <t>Prova  Macroeconomia 2021.pdf — p. 6 — Q6 item 2</t>
  </si>
  <si>
    <t>Curva J.</t>
  </si>
  <si>
    <t>Prova  Macroeconomia 2021.pdf — p. 6 — Q6 item 3</t>
  </si>
  <si>
    <t>Paridade descoberta e credibilidade do câmbio fixo.</t>
  </si>
  <si>
    <t>Prova  Macroeconomia 2021.pdf — p. 6 — Q6 item 4</t>
  </si>
  <si>
    <t>Prova  Macroeconomia 2021.pdf — p. 7 — Q7 item 0</t>
  </si>
  <si>
    <t>Renda futura, riqueza e consumo.</t>
  </si>
  <si>
    <t>Prova  Macroeconomia 2021.pdf — p. 7 — Q7 item 1</t>
  </si>
  <si>
    <t>Resposta do consumo à renda transitória.</t>
  </si>
  <si>
    <t>Prova  Macroeconomia 2021.pdf — p. 7 — Q7 item 2</t>
  </si>
  <si>
    <t>q de Tobin e decisão de investir.</t>
  </si>
  <si>
    <t>Prova  Macroeconomia 2021.pdf — p. 7 — Q7 item 3</t>
  </si>
  <si>
    <t>Lucros correntes e valor presente dos lucros futuros.</t>
  </si>
  <si>
    <t>Prova  Macroeconomia 2021.pdf — p. 7 — Q7 item 4</t>
  </si>
  <si>
    <t>Solow: taxa de poupança da regra de ouro.</t>
  </si>
  <si>
    <t>Prova  Macroeconomia 2021.pdf — p. 7 — Q8 — Tipo B</t>
  </si>
  <si>
    <t>Compromisso com regra e inflação ótima.</t>
  </si>
  <si>
    <t>Prova  Macroeconomia 2021.pdf — p. 8 — Q9 item 0</t>
  </si>
  <si>
    <t>Inflação discricionária e expectativas racionais.</t>
  </si>
  <si>
    <t>Prova  Macroeconomia 2021.pdf — p. 8 — Q9 item 1</t>
  </si>
  <si>
    <t>Regra fixa e desemprego natural.</t>
  </si>
  <si>
    <t>Prova  Macroeconomia 2021.pdf — p. 8 — Q9 item 2</t>
  </si>
  <si>
    <t>Discricionariedade e desemprego de equilíbrio.</t>
  </si>
  <si>
    <t>Prova  Macroeconomia 2021.pdf — p. 8 — Q9 item 3</t>
  </si>
  <si>
    <t>Prova  Macroeconomia 2021.pdf — p. 8 — Q9 item 4</t>
  </si>
  <si>
    <t>Propriedade estrangeira e PIB doméstico.</t>
  </si>
  <si>
    <t>Prova  Macroeconomia 2021.pdf — p. 8 — Q10 item 0</t>
  </si>
  <si>
    <t>Renda de propriedade externa e PNB.</t>
  </si>
  <si>
    <t>Prova  Macroeconomia 2021.pdf — p. 8 — Q10 item 1</t>
  </si>
  <si>
    <t>Multiplicador monetário.</t>
  </si>
  <si>
    <t>Prova  Macroeconomia 2021.pdf — p. 8 — Q10 item 2</t>
  </si>
  <si>
    <t>Quase moeda e instabilidade da demanda monetária.</t>
  </si>
  <si>
    <t>Prova  Macroeconomia 2021.pdf — p. 8 — Q10 item 3</t>
  </si>
  <si>
    <t>Renda nacional e produto nacional líquido a custo de fatores.</t>
  </si>
  <si>
    <t>Prova  Macroeconomia 2021.pdf — p. 8 — Q10 item 4</t>
  </si>
  <si>
    <t>IS-LM-BP: prêmio de risco e custo do crédito.</t>
  </si>
  <si>
    <t>Prova  Macroeconomia 2021.pdf — p. 9 — Q11 item 0</t>
  </si>
  <si>
    <t>Coordenação fiscal internacional e comércio.</t>
  </si>
  <si>
    <t>Prova  Macroeconomia 2021.pdf — p. 9 — Q11 item 1</t>
  </si>
  <si>
    <t>Câmbio fixo e perda da autonomia monetária.</t>
  </si>
  <si>
    <t>Prova  Macroeconomia 2021.pdf — p. 9 — Q11 item 2</t>
  </si>
  <si>
    <t>Abertura comercial e multiplicador.</t>
  </si>
  <si>
    <t>Prova  Macroeconomia 2021.pdf — p. 9 — Q11 item 3</t>
  </si>
  <si>
    <t>Combinação fiscal-monetária para ajustar o saldo comercial.</t>
  </si>
  <si>
    <t>Prova  Macroeconomia 2021.pdf — p. 9 — Q11 item 4</t>
  </si>
  <si>
    <t>Poupança privada a partir das contas nacionais e do governo.</t>
  </si>
  <si>
    <t>Prova  Macroeconomia 2021.pdf — p. 9 — Q12 — Tipo B</t>
  </si>
  <si>
    <t>Mundell-Fleming: sensibilidade cambial das exportações e produto.</t>
  </si>
  <si>
    <t>Prova  Macroeconomia 2021.pdf — p. 10 — Q13 item 0</t>
  </si>
  <si>
    <t>Sensibilidade cambial das exportações e variação do câmbio.</t>
  </si>
  <si>
    <t>Prova  Macroeconomia 2021.pdf — p. 10 — Q13 item 1</t>
  </si>
  <si>
    <t>Importações endógenas e eficácia monetária.</t>
  </si>
  <si>
    <t>Prova  Macroeconomia 2021.pdf — p. 10 — Q13 item 2</t>
  </si>
  <si>
    <t>Sensibilidade à renda das exportações líquidas e câmbio.</t>
  </si>
  <si>
    <t>Prova  Macroeconomia 2021.pdf — p. 10 — Q13 item 3</t>
  </si>
  <si>
    <t>Demanda de moeda e eficácia monetária com mobilidade perfeita.</t>
  </si>
  <si>
    <t>Prova  Macroeconomia 2021.pdf — p. 10 — Q13 item 4</t>
  </si>
  <si>
    <t>Equilíbrio entre fixação salarial e produtividade marginal do trabalho.</t>
  </si>
  <si>
    <t>Prova  Macroeconomia 2021.pdf — p. 10 — Q14 — Tipo B</t>
  </si>
  <si>
    <t>Solow: produto por trabalhador no estado estacionário.</t>
  </si>
  <si>
    <t>Prova  Macroeconomia 2021.pdf — p. 10 — Q15 — Tipo B</t>
  </si>
  <si>
    <t>Doação em mercadorias e contrapartida na conta corrente.</t>
  </si>
  <si>
    <t>Prova  Macroeconomia 2022.pdf — p. 3 — Q1 item 0</t>
  </si>
  <si>
    <t>Investimento direto em equipamentos e importações.</t>
  </si>
  <si>
    <t>Prova  Macroeconomia 2022.pdf — p. 3 — Q1 item 1</t>
  </si>
  <si>
    <t>Balança comercial.</t>
  </si>
  <si>
    <t>Prova  Macroeconomia 2022.pdf — p. 3 — Q1 item 2</t>
  </si>
  <si>
    <t>Item misto: lucros externos e diferença PIB-PNB.</t>
  </si>
  <si>
    <t>Prova  Macroeconomia 2022.pdf — p. 3 — Q1 item 3</t>
  </si>
  <si>
    <t>Saldo do BP e variação das reservas.</t>
  </si>
  <si>
    <t>Prova  Macroeconomia 2022.pdf — p. 3 — Q1 item 4</t>
  </si>
  <si>
    <t>Regra de Taylor: inflação e hiato de atividade.</t>
  </si>
  <si>
    <t>Prova  Macroeconomia 2022.pdf — p. 4 — Q2 item 0</t>
  </si>
  <si>
    <t>Princípio de Taylor e convergência à meta.</t>
  </si>
  <si>
    <t>Prova  Macroeconomia 2022.pdf — p. 4 — Q2 item 1</t>
  </si>
  <si>
    <t>Regra de Taylor e mudança do desemprego natural.</t>
  </si>
  <si>
    <t>Prova  Macroeconomia 2022.pdf — p. 4 — Q2 item 2</t>
  </si>
  <si>
    <t>Equivalência ricardiana e estímulo tributário.</t>
  </si>
  <si>
    <t>Prova  Macroeconomia 2022.pdf — p. 4 — Q2 item 3</t>
  </si>
  <si>
    <t>Irrelevância da forma de financiamento fiscal.</t>
  </si>
  <si>
    <t>Prova  Macroeconomia 2022.pdf — p. 4 — Q2 item 4</t>
  </si>
  <si>
    <t>Regime cambial: integração econômica e credibilidade.</t>
  </si>
  <si>
    <t>Prova  Macroeconomia 2022.pdf — p. 5 — Q3 item 0</t>
  </si>
  <si>
    <t>Mundell-Fleming: câmbio fixo e eficácia monetária.</t>
  </si>
  <si>
    <t>Prova  Macroeconomia 2022.pdf — p. 5 — Q3 item 1</t>
  </si>
  <si>
    <t>Armadilha da liquidez e política fiscal.</t>
  </si>
  <si>
    <t>Prova  Macroeconomia 2022.pdf — p. 5 — Q3 item 2</t>
  </si>
  <si>
    <t>Quantitative easing no limite inferior dos juros.</t>
  </si>
  <si>
    <t>Prova  Macroeconomia 2022.pdf — p. 5 — Q3 item 3</t>
  </si>
  <si>
    <t>Corrida bancária no modelo aberto sem mobilidade e com câmbio fixo.</t>
  </si>
  <si>
    <t>Prova  Macroeconomia 2022.pdf — p. 5 — Q3 item 4</t>
  </si>
  <si>
    <t>Prova  Macroeconomia 2022.pdf — p. 6 — Q4 item 0</t>
  </si>
  <si>
    <t>Expectativas ancoradas e surpresa monetária.</t>
  </si>
  <si>
    <t>Prova  Macroeconomia 2022.pdf — p. 6 — Q4 item 1</t>
  </si>
  <si>
    <t>Expectativas racionais versus oferta vertical.</t>
  </si>
  <si>
    <t>Prova  Macroeconomia 2022.pdf — p. 6 — Q4 item 2</t>
  </si>
  <si>
    <t>OA-DA com preço esperado exógeno.</t>
  </si>
  <si>
    <t>Prova  Macroeconomia 2022.pdf — p. 6 — Q4 item 3</t>
  </si>
  <si>
    <t>Expectativas racionais e choques reais de oferta.</t>
  </si>
  <si>
    <t>Prova  Macroeconomia 2022.pdf — p. 6 — Q4 item 4</t>
  </si>
  <si>
    <t>Solow: salário real na trajetória equilibrada.</t>
  </si>
  <si>
    <t>Prova  Macroeconomia 2022.pdf — p. 7 — Q5 — Tipo B</t>
  </si>
  <si>
    <t>Comparação de câmbio real em quatro países.</t>
  </si>
  <si>
    <t>Prova  Macroeconomia 2022.pdf — p. 8 — Q6 item 0</t>
  </si>
  <si>
    <t>Ordenação da depreciação real.</t>
  </si>
  <si>
    <t>Prova  Macroeconomia 2022.pdf — p. 8 — Q6 item 1</t>
  </si>
  <si>
    <t>PPC e câmbio nominal de equilíbrio.</t>
  </si>
  <si>
    <t>Prova  Macroeconomia 2022.pdf — p. 8 — Q6 item 2</t>
  </si>
  <si>
    <t>Desvio cambial em relação à PPC.</t>
  </si>
  <si>
    <t>Prova  Macroeconomia 2022.pdf — p. 8 — Q6 item 3</t>
  </si>
  <si>
    <t>Comparação de preços internacionais em moeda comum.</t>
  </si>
  <si>
    <t>Prova  Macroeconomia 2022.pdf — p. 8 — Q6 item 4</t>
  </si>
  <si>
    <t>Equilíbrio intertemporal de consumo: juros que zeram a poupança agregada.</t>
  </si>
  <si>
    <t>Prova  Macroeconomia 2022.pdf — p. 9 — Q7 — Tipo B</t>
  </si>
  <si>
    <t>OA-DA: política monetária antecipada.</t>
  </si>
  <si>
    <t>Prova  Macroeconomia 2022.pdf — p. 10 — Q8 item 0</t>
  </si>
  <si>
    <t>OA-DA: expansão parcialmente antecipada, curto e longo prazo.</t>
  </si>
  <si>
    <t>Prova  Macroeconomia 2022.pdf — p. 10 — Q8 item 1</t>
  </si>
  <si>
    <t>Lucas: surpresa monetária e produto.</t>
  </si>
  <si>
    <t>Prova  Macroeconomia 2022.pdf — p. 10 — Q8 item 2</t>
  </si>
  <si>
    <t>Item misto: papel dos choques monetários em RBC versus novos keynesianos.</t>
  </si>
  <si>
    <t>Prova  Macroeconomia 2022.pdf — p. 10 — Q8 item 3</t>
  </si>
  <si>
    <t>Prova  Macroeconomia 2022.pdf — p. 10 — Q8 item 4</t>
  </si>
  <si>
    <t>Ciclo de vida: valor presente da renda.</t>
  </si>
  <si>
    <t>Prova  Macroeconomia 2022.pdf — p. 11 — Q9 item 0</t>
  </si>
  <si>
    <t>Suavização de consumo em três períodos.</t>
  </si>
  <si>
    <t>Prova  Macroeconomia 2022.pdf — p. 11 — Q9 item 1</t>
  </si>
  <si>
    <t>Restrição de crédito na juventude.</t>
  </si>
  <si>
    <t>Prova  Macroeconomia 2022.pdf — p. 11 — Q9 item 2</t>
  </si>
  <si>
    <t>Poupança ao longo da vida sob restrição.</t>
  </si>
  <si>
    <t>Prova  Macroeconomia 2022.pdf — p. 11 — Q9 item 3</t>
  </si>
  <si>
    <t>Liberalização financeira e poupança no modelo de ciclo de vida.</t>
  </si>
  <si>
    <t>Prova  Macroeconomia 2022.pdf — p. 11 — Q9 item 4</t>
  </si>
  <si>
    <t>Câmbio real constante e diferencial de inflação.</t>
  </si>
  <si>
    <t>Prova  Macroeconomia 2022.pdf — p. 12 — Q10 item 0</t>
  </si>
  <si>
    <t>PPC sob câmbio nominal fixo.</t>
  </si>
  <si>
    <t>Prova  Macroeconomia 2022.pdf — p. 12 — Q10 item 1</t>
  </si>
  <si>
    <t>Trindade impossível e controles de capitais.</t>
  </si>
  <si>
    <t>Prova  Macroeconomia 2022.pdf — p. 12 — Q10 item 2</t>
  </si>
  <si>
    <t>Paridade descoberta: juros versus retorno cambial.</t>
  </si>
  <si>
    <t>Prova  Macroeconomia 2022.pdf — p. 12 — Q10 item 3</t>
  </si>
  <si>
    <t>PPC relativa versus absoluta.</t>
  </si>
  <si>
    <t>Prova  Macroeconomia 2022.pdf — p. 12 — Q10 item 4</t>
  </si>
  <si>
    <t>Proteção comercial sob flutuação sem mobilidade.</t>
  </si>
  <si>
    <t>Prova  Macroeconomia 2022.pdf — p. 13 — Q11 item 0</t>
  </si>
  <si>
    <t>Proteção comercial com mobilidade imperfeita.</t>
  </si>
  <si>
    <t>Prova  Macroeconomia 2022.pdf — p. 13 — Q11 item 1</t>
  </si>
  <si>
    <t>Expansão fiscal sob câmbio fixo e crowding out.</t>
  </si>
  <si>
    <t>Prova  Macroeconomia 2022.pdf — p. 13 — Q11 item 2</t>
  </si>
  <si>
    <t>Contração monetária com câmbio flutuante.</t>
  </si>
  <si>
    <t>Prova  Macroeconomia 2022.pdf — p. 13 — Q11 item 3</t>
  </si>
  <si>
    <t>Expansão fiscal com BP mais inclinada que LM.</t>
  </si>
  <si>
    <t>Prova  Macroeconomia 2022.pdf — p. 13 — Q11 item 4</t>
  </si>
  <si>
    <t>PIB nominal per capita.</t>
  </si>
  <si>
    <t>Prova  Macroeconomia 2022.pdf — p. 14 — Q12 item 0</t>
  </si>
  <si>
    <t>Prova  Macroeconomia 2022.pdf — p. 14 — Q12 item 1</t>
  </si>
  <si>
    <t>Crescimento real e escolha do ano-base.</t>
  </si>
  <si>
    <t>Prova  Macroeconomia 2022.pdf — p. 14 — Q12 item 2</t>
  </si>
  <si>
    <t>Prova  Macroeconomia 2022.pdf — p. 14 — Q12 item 3</t>
  </si>
  <si>
    <t>Prova  Macroeconomia 2022.pdf — p. 14 — Q12 item 4</t>
  </si>
  <si>
    <t>Multiplicador monetário com reservas e papel-moeda.</t>
  </si>
  <si>
    <t>Prova  Macroeconomia 2022.pdf — p. 15 — Q13 — Tipo B</t>
  </si>
  <si>
    <t>Phillips e Okun: estabilização da inflação e do produto.</t>
  </si>
  <si>
    <t>Prova  Macroeconomia 2022.pdf — p. 16 — Q14 item 0</t>
  </si>
  <si>
    <t>Prova  Macroeconomia 2022.pdf — p. 16 — Q14 item 1</t>
  </si>
  <si>
    <t>Desinflação gradual versus repentina.</t>
  </si>
  <si>
    <t>Prova  Macroeconomia 2022.pdf — p. 16 — Q14 item 2</t>
  </si>
  <si>
    <t>Rigidez novo-keynesiana e custo de desinflação repentina.</t>
  </si>
  <si>
    <t>Prova  Macroeconomia 2022.pdf — p. 16 — Q14 item 3</t>
  </si>
  <si>
    <t>Taxa natural na equação de Phillips.</t>
  </si>
  <si>
    <t>Prova  Macroeconomia 2022.pdf — p. 16 — Q14 item 4</t>
  </si>
  <si>
    <t>Paridade descoberta com prêmio de risco e câmbio esperado.</t>
  </si>
  <si>
    <t>Prova  Macroeconomia 2022.pdf — p. 17 — Q15 — Tipo B</t>
  </si>
  <si>
    <t>Câmbio fixo: mobilidade e multiplicador fiscal.</t>
  </si>
  <si>
    <t>Prova  Macroeconomia 2023.pdf — p. 4 — Q1 item 0</t>
  </si>
  <si>
    <t>Câmbio fixo e eficácia monetária.</t>
  </si>
  <si>
    <t>Prova  Macroeconomia 2023.pdf — p. 4 — Q1 item 1</t>
  </si>
  <si>
    <t>Mundell-Fleming: tarifas e apreciação cambial.</t>
  </si>
  <si>
    <t>Prova  Macroeconomia 2023.pdf — p. 4 — Q1 item 2</t>
  </si>
  <si>
    <t>Prova  Macroeconomia 2023.pdf — p. 4 — Q1 item 3</t>
  </si>
  <si>
    <t>Câmbio real e identidade poupança-investimento.</t>
  </si>
  <si>
    <t>Prova  Macroeconomia 2023.pdf — p. 4 — Q1 item 4</t>
  </si>
  <si>
    <t>Prova  Macroeconomia 2023.pdf — p. 5 — Q2 — Tipo B</t>
  </si>
  <si>
    <t>Prova  Macroeconomia 2023.pdf — p. 6 — Q3 — Tipo B</t>
  </si>
  <si>
    <t>Mundell-Fleming: redução tarifária sob câmbio fixo.</t>
  </si>
  <si>
    <t>Prova  Macroeconomia 2023.pdf — p. 7 — Q4 item 0</t>
  </si>
  <si>
    <t>Redução tarifária sob câmbio flexível.</t>
  </si>
  <si>
    <t>Prova  Macroeconomia 2023.pdf — p. 7 — Q4 item 1</t>
  </si>
  <si>
    <t>Prova  Macroeconomia 2023.pdf — p. 7 — Q4 item 2</t>
  </si>
  <si>
    <t>Impacto direto de compra de títulos na base monetária.</t>
  </si>
  <si>
    <t>Prova  Macroeconomia 2023.pdf — p. 7 — Q4 item 3</t>
  </si>
  <si>
    <t>Equação de Fisher: juros reais e nominais.</t>
  </si>
  <si>
    <t>Prova  Macroeconomia 2023.pdf — p. 7 — Q4 item 4</t>
  </si>
  <si>
    <t>Paridade descoberta e depreciação esperada.</t>
  </si>
  <si>
    <t>Prova  Macroeconomia 2023.pdf — p. 8 — Q5 — Tipo B</t>
  </si>
  <si>
    <t>Produto interno versus nacional.</t>
  </si>
  <si>
    <t>Prova  Macroeconomia 2023.pdf — p. 9 — Q6 item 0</t>
  </si>
  <si>
    <t>PIB real versus nominal e deflação.</t>
  </si>
  <si>
    <t>Prova  Macroeconomia 2023.pdf — p. 9 — Q6 item 1</t>
  </si>
  <si>
    <t>Juros externos e renda primária.</t>
  </si>
  <si>
    <t>Prova  Macroeconomia 2023.pdf — p. 9 — Q6 item 2</t>
  </si>
  <si>
    <t>Doação em bens: importação e transferência.</t>
  </si>
  <si>
    <t>Prova  Macroeconomia 2023.pdf — p. 9 — Q6 item 3</t>
  </si>
  <si>
    <t>Reservas internacionais e convenção de registros.</t>
  </si>
  <si>
    <t>Prova  Macroeconomia 2023.pdf — p. 9 — Q6 item 4</t>
  </si>
  <si>
    <t>Composição da base monetária.</t>
  </si>
  <si>
    <t>Prova  Macroeconomia 2023.pdf — p. 10 — Q7 item 0</t>
  </si>
  <si>
    <t>Base monetária versus M1.</t>
  </si>
  <si>
    <t>Prova  Macroeconomia 2023.pdf — p. 10 — Q7 item 1</t>
  </si>
  <si>
    <t>Multiplicador dos meios de pagamento.</t>
  </si>
  <si>
    <t>Prova  Macroeconomia 2023.pdf — p. 10 — Q7 item 2</t>
  </si>
  <si>
    <t>Reservas bancárias e multiplicador.</t>
  </si>
  <si>
    <t>Prova  Macroeconomia 2023.pdf — p. 10 — Q7 item 3</t>
  </si>
  <si>
    <t>Controle da base versus controle de M1.</t>
  </si>
  <si>
    <t>Prova  Macroeconomia 2023.pdf — p. 10 — Q7 item 4</t>
  </si>
  <si>
    <t>Mundell-Fleming: demanda externa e apreciação compensatória.</t>
  </si>
  <si>
    <t>Prova  Macroeconomia 2023.pdf — p. 11 — Q8 item 0</t>
  </si>
  <si>
    <t>Choques reais e ajuste da IS.</t>
  </si>
  <si>
    <t>Prova  Macroeconomia 2023.pdf — p. 11 — Q8 item 1</t>
  </si>
  <si>
    <t>Gasto público e composição do produto.</t>
  </si>
  <si>
    <t>Prova  Macroeconomia 2023.pdf — p. 11 — Q8 item 2</t>
  </si>
  <si>
    <t>Transmissão monetária pelo câmbio.</t>
  </si>
  <si>
    <t>Prova  Macroeconomia 2023.pdf — p. 11 — Q8 item 3</t>
  </si>
  <si>
    <t>Determinação dos juros sob mobilidade perfeita.</t>
  </si>
  <si>
    <t>Prova  Macroeconomia 2023.pdf — p. 11 — Q8 item 4</t>
  </si>
  <si>
    <t>Phillips original versus aceleracionista.</t>
  </si>
  <si>
    <t>Prova  Macroeconomia 2023.pdf — p. 12 — Q9 item 0</t>
  </si>
  <si>
    <t>Inflação efetiva versus esperada e desemprego.</t>
  </si>
  <si>
    <t>Prova  Macroeconomia 2023.pdf — p. 12 — Q9 item 1</t>
  </si>
  <si>
    <t>Ausência de ilusão monetária e taxa natural.</t>
  </si>
  <si>
    <t>Prova  Macroeconomia 2023.pdf — p. 12 — Q9 item 2</t>
  </si>
  <si>
    <t>Aceleração inflacionária e desemprego.</t>
  </si>
  <si>
    <t>Prova  Macroeconomia 2023.pdf — p. 12 — Q9 item 3</t>
  </si>
  <si>
    <t>Friedman-Phelps e tipo de expectativas.</t>
  </si>
  <si>
    <t>Prova  Macroeconomia 2023.pdf — p. 12 — Q9 item 4</t>
  </si>
  <si>
    <t>Câmbio real como medida de competitividade.</t>
  </si>
  <si>
    <t>Prova  Macroeconomia 2023.pdf — p. 13 — Q10 item 0</t>
  </si>
  <si>
    <t>Inflações relativas e câmbio real.</t>
  </si>
  <si>
    <t>Prova  Macroeconomia 2023.pdf — p. 13 — Q10 item 1</t>
  </si>
  <si>
    <t>Marshall-Lerner.</t>
  </si>
  <si>
    <t>Prova  Macroeconomia 2023.pdf — p. 13 — Q10 item 2</t>
  </si>
  <si>
    <t>Efeitos volume e preço de uma desvalorização.</t>
  </si>
  <si>
    <t>Prova  Macroeconomia 2023.pdf — p. 13 — Q10 item 3</t>
  </si>
  <si>
    <t>Demanda por importações e renda doméstica.</t>
  </si>
  <si>
    <t>Prova  Macroeconomia 2023.pdf — p. 13 — Q10 item 4</t>
  </si>
  <si>
    <t>Modelo clássico: gastos públicos e fundos emprestáveis.</t>
  </si>
  <si>
    <t>Prova  Macroeconomia 2023.pdf — p. 14 — Q11 item 0</t>
  </si>
  <si>
    <t>Crowding out integral com produto fixo.</t>
  </si>
  <si>
    <t>Prova  Macroeconomia 2023.pdf — p. 14 — Q11 item 1</t>
  </si>
  <si>
    <t>Impostos e poupança nacional.</t>
  </si>
  <si>
    <t>Prova  Macroeconomia 2023.pdf — p. 14 — Q11 item 2</t>
  </si>
  <si>
    <t>Deslocamento do investimento com oferta de poupança fixa.</t>
  </si>
  <si>
    <t>Prova  Macroeconomia 2023.pdf — p. 14 — Q11 item 3</t>
  </si>
  <si>
    <t>Poupança sensível aos juros e incentivo ao investimento.</t>
  </si>
  <si>
    <t>Prova  Macroeconomia 2023.pdf — p. 14 — Q11 item 4</t>
  </si>
  <si>
    <t>Velocidade-transações versus velocidade-renda da moeda.</t>
  </si>
  <si>
    <t>Prova  Macroeconomia 2023.pdf — p. 15 — Q12 item 0</t>
  </si>
  <si>
    <t>Moeda futura, Fisher e demanda monetária corrente.</t>
  </si>
  <si>
    <t>Prova  Macroeconomia 2023.pdf — p. 15 — Q12 item 1</t>
  </si>
  <si>
    <t>Câmbio fixo como disciplina monetária.</t>
  </si>
  <si>
    <t>Prova  Macroeconomia 2023.pdf — p. 15 — Q12 item 2</t>
  </si>
  <si>
    <t>Prova  Macroeconomia 2023.pdf — p. 15 — Q12 item 3</t>
  </si>
  <si>
    <t>Histerese do desemprego e efeitos persistentes da demanda.</t>
  </si>
  <si>
    <t>Prova  Macroeconomia 2023.pdf — p. 15 — Q12 item 4</t>
  </si>
  <si>
    <t>Pequena economia aberta: paridade de juros reais.</t>
  </si>
  <si>
    <t>Prova  Macroeconomia 2023.pdf — p. 16 — Q13 item 0</t>
  </si>
  <si>
    <t>Câmbio real que equilibra poupança e investimento.</t>
  </si>
  <si>
    <t>Prova  Macroeconomia 2023.pdf — p. 16 — Q13 item 1</t>
  </si>
  <si>
    <t>Gastos públicos e fluxo líquido de capitais.</t>
  </si>
  <si>
    <t>Prova  Macroeconomia 2023.pdf — p. 16 — Q13 item 2</t>
  </si>
  <si>
    <t>Protecionismo com poupança e investimento dados.</t>
  </si>
  <si>
    <t>Prova  Macroeconomia 2023.pdf — p. 16 — Q13 item 3</t>
  </si>
  <si>
    <t>Protecionismo: volume de comércio versus saldo líquido.</t>
  </si>
  <si>
    <t>Prova  Macroeconomia 2023.pdf — p. 16 — Q13 item 4</t>
  </si>
  <si>
    <t>Modelo de Kremer: população, ideias e crescimento secular.</t>
  </si>
  <si>
    <t>Prova  Macroeconomia 2023.pdf — p. 17 — Q14 item 0</t>
  </si>
  <si>
    <t>AK: abandono de produto marginal decrescente.</t>
  </si>
  <si>
    <t>Prova  Macroeconomia 2023.pdf — p. 17 — Q14 item 1</t>
  </si>
  <si>
    <t>Dinâmica malthusiana e progresso técnico.</t>
  </si>
  <si>
    <t>Prova  Macroeconomia 2023.pdf — p. 17 — Q14 item 2</t>
  </si>
  <si>
    <t>AK: crescimento sem convergência estacionária.</t>
  </si>
  <si>
    <t>Prova  Macroeconomia 2023.pdf — p. 17 — Q14 item 3</t>
  </si>
  <si>
    <t>Conhecimento como capital e retornos constantes.</t>
  </si>
  <si>
    <t>Prova  Macroeconomia 2023.pdf — p. 17 — Q14 item 4</t>
  </si>
  <si>
    <t>Ricardo-Barro: altruísmo e horizonte infinito.</t>
  </si>
  <si>
    <t>Prova  Macroeconomia 2023.pdf — p. 18 — Q15 item 0</t>
  </si>
  <si>
    <t>Prova  Macroeconomia 2023.pdf — p. 18 — Q15 item 1</t>
  </si>
  <si>
    <t>Dívida intergeracional e renda dos descendentes.</t>
  </si>
  <si>
    <t>Prova  Macroeconomia 2023.pdf — p. 18 — Q15 item 2</t>
  </si>
  <si>
    <t>Regra de orçamento equilibrado e estabilizadores automáticos.</t>
  </si>
  <si>
    <t>Prova  Macroeconomia 2023.pdf — p. 18 — Q15 item 3</t>
  </si>
  <si>
    <t>Equivalência ricardiana e renda permanente.</t>
  </si>
  <si>
    <t>Prova  Macroeconomia 2023.pdf — p. 18 — Q15 item 4</t>
  </si>
  <si>
    <t>Lançamentos do balanço de pagamentos e variação das reservas.</t>
  </si>
  <si>
    <t>Prova  Macroeconomia 2024.pdf — p. 3 — Q1 — Tipo B</t>
  </si>
  <si>
    <t>Regra de Taylor e resposta ao desvio da inflação.</t>
  </si>
  <si>
    <t>Prova  Macroeconomia 2024.pdf — p. 4 — Q2 item 0</t>
  </si>
  <si>
    <t>Fisher: juro real neutro a partir do nominal e da meta.</t>
  </si>
  <si>
    <t>Prova  Macroeconomia 2024.pdf — p. 4 — Q2 item 1</t>
  </si>
  <si>
    <t>Coeficiente de resposta à inflação na regra de Taylor.</t>
  </si>
  <si>
    <t>Prova  Macroeconomia 2024.pdf — p. 4 — Q2 item 2</t>
  </si>
  <si>
    <t>Juro nominal prescrito pela regra.</t>
  </si>
  <si>
    <t>Prova  Macroeconomia 2024.pdf — p. 4 — Q2 item 3</t>
  </si>
  <si>
    <t>Inclusão do hiato de desemprego na regra monetária.</t>
  </si>
  <si>
    <t>Prova  Macroeconomia 2024.pdf — p. 4 — Q2 item 4</t>
  </si>
  <si>
    <t>Abertura comercial e multiplicador fiscal em IS-LM-BP.</t>
  </si>
  <si>
    <t>Prova  Macroeconomia 2024.pdf — p. 5 — Q3 item 0</t>
  </si>
  <si>
    <t>Câmbio fixo sem mobilidade de capitais e expansão fiscal.</t>
  </si>
  <si>
    <t>Prova  Macroeconomia 2024.pdf — p. 5 — Q3 item 1</t>
  </si>
  <si>
    <t>Câmbio flutuante com mobilidade perfeita: moeda e exportações líquidas.</t>
  </si>
  <si>
    <t>Prova  Macroeconomia 2024.pdf — p. 5 — Q3 item 2</t>
  </si>
  <si>
    <t>Câmbio fixo: inclinações de LM e BP e ajuste fiscal.</t>
  </si>
  <si>
    <t>Prova  Macroeconomia 2024.pdf — p. 5 — Q3 item 3</t>
  </si>
  <si>
    <t>Câmbio fixo com mobilidade imperfeita e neutralização monetária.</t>
  </si>
  <si>
    <t>Prova  Macroeconomia 2024.pdf — p. 5 — Q3 item 4</t>
  </si>
  <si>
    <t>Contratos salariais e rigidez nominal novo-keynesiana.</t>
  </si>
  <si>
    <t>Prova  Macroeconomia 2024.pdf — p. 6 — Q4 item 0</t>
  </si>
  <si>
    <t>Taxa natural de Friedman versus NAIRU.</t>
  </si>
  <si>
    <t>Prova  Macroeconomia 2024.pdf — p. 6 — Q4 item 1</t>
  </si>
  <si>
    <t>Item misto: transmissão monetária em RBC versus novos keynesianos.</t>
  </si>
  <si>
    <t>Prova  Macroeconomia 2024.pdf — p. 6 — Q4 item 2</t>
  </si>
  <si>
    <t>Expectativas racionais na teoria novo-keynesiana.</t>
  </si>
  <si>
    <t>Prova  Macroeconomia 2024.pdf — p. 6 — Q4 item 3</t>
  </si>
  <si>
    <t>Neutralidade da política antecipada nos novos clássicos.</t>
  </si>
  <si>
    <t>Prova  Macroeconomia 2024.pdf — p. 6 — Q4 item 4</t>
  </si>
  <si>
    <t>Cruz keynesiana aberta: renda de equilíbrio com juros e câmbio dados.</t>
  </si>
  <si>
    <t>Prova  Macroeconomia 2024.pdf — p. 7 — Q5 — Tipo B</t>
  </si>
  <si>
    <t>Solow: dinâmica abaixo do capital estacionário.</t>
  </si>
  <si>
    <t>Prova  Macroeconomia 2024.pdf — p. 8 — Q6 item 0</t>
  </si>
  <si>
    <t>Solow: produto estacionário e participação salarial.</t>
  </si>
  <si>
    <t>Prova  Macroeconomia 2024.pdf — p. 8 — Q6 item 1</t>
  </si>
  <si>
    <t>Solow sem progresso técnico: crescimento agregado e por trabalhador.</t>
  </si>
  <si>
    <t>Prova  Macroeconomia 2024.pdf — p. 8 — Q6 item 2</t>
  </si>
  <si>
    <t>Poupança e crescimento por trabalhador no estado estacionário.</t>
  </si>
  <si>
    <t>Prova  Macroeconomia 2024.pdf — p. 8 — Q6 item 3</t>
  </si>
  <si>
    <t>Poupança e consumo no curto e no longo prazo.</t>
  </si>
  <si>
    <t>Prova  Macroeconomia 2024.pdf — p. 8 — Q6 item 4</t>
  </si>
  <si>
    <t>Consumo em três períodos com renda futura incerta e suavização intertemporal.</t>
  </si>
  <si>
    <t>Prova  Macroeconomia 2024.pdf — p. 9 — Q7 — Tipo B</t>
  </si>
  <si>
    <t>Overshooting cambial após expansão monetária.</t>
  </si>
  <si>
    <t>Prova  Macroeconomia 2024.pdf — p. 10 — Q8 item 0</t>
  </si>
  <si>
    <t>Curva J e Marshall-Lerner no curto e no longo prazo.</t>
  </si>
  <si>
    <t>Prova  Macroeconomia 2024.pdf — p. 10 — Q8 item 1</t>
  </si>
  <si>
    <t>Efeito de uma depreciação quando Marshall-Lerner falha.</t>
  </si>
  <si>
    <t>Prova  Macroeconomia 2024.pdf — p. 10 — Q8 item 2</t>
  </si>
  <si>
    <t>Choques simétricos e custo do câmbio fixo.</t>
  </si>
  <si>
    <t>Prova  Macroeconomia 2024.pdf — p. 10 — Q8 item 3</t>
  </si>
  <si>
    <t>Paridade de juros com probabilidade de desvalorização.</t>
  </si>
  <si>
    <t>Prova  Macroeconomia 2024.pdf — p. 10 — Q8 item 4</t>
  </si>
  <si>
    <t>Equilíbrio interno e externo: recessão com déficit comercial.</t>
  </si>
  <si>
    <t>Prova  Macroeconomia 2024.pdf — p. 11 — Q9 item 0</t>
  </si>
  <si>
    <t>Trindade impossível: câmbio e autonomia dos juros.</t>
  </si>
  <si>
    <t>Prova  Macroeconomia 2024.pdf — p. 11 — Q9 item 1</t>
  </si>
  <si>
    <t>Âncora cambial e credibilidade na estabilização.</t>
  </si>
  <si>
    <t>Prova  Macroeconomia 2024.pdf — p. 11 — Q9 item 2</t>
  </si>
  <si>
    <t>Câmbio fixo e restrição de reservas internacionais.</t>
  </si>
  <si>
    <t>Prova  Macroeconomia 2024.pdf — p. 11 — Q9 item 3</t>
  </si>
  <si>
    <t>Identidade entre poupança privada, investimento e déficits público e externo.</t>
  </si>
  <si>
    <t>Prova  Macroeconomia 2024.pdf — p. 11 — Q9 item 4</t>
  </si>
  <si>
    <t>Lei de Okun e flexibilidade do emprego.</t>
  </si>
  <si>
    <t>Prova  Macroeconomia 2024.pdf — p. 12 — Q10 item 0</t>
  </si>
  <si>
    <t>Armadilha da liquidez e eficácia fiscal.</t>
  </si>
  <si>
    <t>Prova  Macroeconomia 2024.pdf — p. 12 — Q10 item 1</t>
  </si>
  <si>
    <t>Instrumentos monetários não convencionais no limite inferior dos juros.</t>
  </si>
  <si>
    <t>Prova  Macroeconomia 2024.pdf — p. 12 — Q10 item 2</t>
  </si>
  <si>
    <t>Inclinação de Phillips e custo da desinflação.</t>
  </si>
  <si>
    <t>Prova  Macroeconomia 2024.pdf — p. 12 — Q10 item 3</t>
  </si>
  <si>
    <t>Razão de sacrifício e desemprego acumulado.</t>
  </si>
  <si>
    <t>Prova  Macroeconomia 2024.pdf — p. 12 — Q10 item 4</t>
  </si>
  <si>
    <t>Emprego e desemprego podem crescer simultaneamente.</t>
  </si>
  <si>
    <t>Prova  Macroeconomia 2025.pdf — p. 3 — Q1 item 0</t>
  </si>
  <si>
    <t>Desalento e participação na força de trabalho.</t>
  </si>
  <si>
    <t>Prova  Macroeconomia 2025.pdf — p. 3 — Q1 item 1</t>
  </si>
  <si>
    <t>Denominador da taxa de desemprego.</t>
  </si>
  <si>
    <t>Prova  Macroeconomia 2025.pdf — p. 3 — Q1 item 2</t>
  </si>
  <si>
    <t>Bens intermediários versus finais no PIB.</t>
  </si>
  <si>
    <t>Prova  Macroeconomia 2025.pdf — p. 3 — Q1 item 3</t>
  </si>
  <si>
    <t>Poupança privada, investimento e saldo externo nas contas nacionais.</t>
  </si>
  <si>
    <t>Prova  Macroeconomia 2025.pdf — p. 3 — Q1 item 4</t>
  </si>
  <si>
    <t>Meta de juros e representação da LM.</t>
  </si>
  <si>
    <t>Prova  Macroeconomia 2025.pdf — p. 4 — Q2 item 0</t>
  </si>
  <si>
    <t>Baumol-Tobin: demanda transacional versus especulativa.</t>
  </si>
  <si>
    <t>Prova  Macroeconomia 2025.pdf — p. 4 — Q2 item 1</t>
  </si>
  <si>
    <t>Quantitative easing e juros longos.</t>
  </si>
  <si>
    <t>Prova  Macroeconomia 2025.pdf — p. 4 — Q2 item 2</t>
  </si>
  <si>
    <t>Meta de inflação positiva e margem para reduzir juros.</t>
  </si>
  <si>
    <t>Prova  Macroeconomia 2025.pdf — p. 4 — Q2 item 3</t>
  </si>
  <si>
    <t>Armadilha da liquidez e expansão monetária.</t>
  </si>
  <si>
    <t>Prova  Macroeconomia 2025.pdf — p. 4 — Q2 item 4</t>
  </si>
  <si>
    <t>Modelo keynesiano aberto: impostos e renda com câmbio fixo.</t>
  </si>
  <si>
    <t>Prova  Macroeconomia 2025.pdf — p. 5 — Q3 item 0</t>
  </si>
  <si>
    <t>Impostos, importações e saldo comercial.</t>
  </si>
  <si>
    <t>Prova  Macroeconomia 2025.pdf — p. 5 — Q3 item 1</t>
  </si>
  <si>
    <t>Marshall-Lerner na função de exportações líquidas.</t>
  </si>
  <si>
    <t>Prova  Macroeconomia 2025.pdf — p. 5 — Q3 item 2</t>
  </si>
  <si>
    <t>Consumo autônomo e multiplicador aberto.</t>
  </si>
  <si>
    <t>Prova  Macroeconomia 2025.pdf — p. 5 — Q3 item 3</t>
  </si>
  <si>
    <t>Gasto público e renda com câmbio exógeno.</t>
  </si>
  <si>
    <t>Prova  Macroeconomia 2025.pdf — p. 5 — Q3 item 4</t>
  </si>
  <si>
    <t>Phillips salarial: emprego e inflação com markup constante.</t>
  </si>
  <si>
    <t>Prova  Macroeconomia 2025.pdf — p. 6 — Q4 item 0</t>
  </si>
  <si>
    <t>Item misto: choque de markup na OA-DA e ajuste salarial de Phillips. Classificação para revisão.</t>
  </si>
  <si>
    <t>Prova  Macroeconomia 2025.pdf — p. 6 — Q4 item 1</t>
  </si>
  <si>
    <t>Item misto: expansão monetária e emprego no modelo dinâmico OA-DA/Phillips.</t>
  </si>
  <si>
    <t>Prova  Macroeconomia 2025.pdf — p. 6 — Q4 item 2</t>
  </si>
  <si>
    <t>Item misto: queda do markup e transitoriedade do emprego no ajuste salarial.</t>
  </si>
  <si>
    <t>Prova  Macroeconomia 2025.pdf — p. 6 — Q4 item 3</t>
  </si>
  <si>
    <t>Item misto: mudança do emprego natural e dinâmica OA-DA/Phillips.</t>
  </si>
  <si>
    <t>Prova  Macroeconomia 2025.pdf — p. 6 — Q4 item 4</t>
  </si>
  <si>
    <t>Progresso técnico endógeno.</t>
  </si>
  <si>
    <t>Prova  Macroeconomia 2025.pdf — p. 7 — Q5 item 0</t>
  </si>
  <si>
    <t>Convergência no crescimento econômico.</t>
  </si>
  <si>
    <t>Prova  Macroeconomia 2025.pdf — p. 7 — Q5 item 1</t>
  </si>
  <si>
    <t>AK: razão capital-produto.</t>
  </si>
  <si>
    <t>Prova  Macroeconomia 2025.pdf — p. 7 — Q5 item 2</t>
  </si>
  <si>
    <t>Poupança e crescimento de longo prazo.</t>
  </si>
  <si>
    <t>Prova  Macroeconomia 2025.pdf — p. 7 — Q5 item 3</t>
  </si>
  <si>
    <t>Políticas de investimento e crescimento endógeno.</t>
  </si>
  <si>
    <t>Prova  Macroeconomia 2025.pdf — p. 7 — Q5 item 4</t>
  </si>
  <si>
    <t>Ciclo de vida e restrição de liquidez.</t>
  </si>
  <si>
    <t>Prova  Macroeconomia 2025.pdf — p. 8 — Q6 item 0</t>
  </si>
  <si>
    <t>Consumo e poupança ao longo da vida.</t>
  </si>
  <si>
    <t>Prova  Macroeconomia 2025.pdf — p. 8 — Q6 item 1</t>
  </si>
  <si>
    <t>Equivalência ricardiana com impostos não distorcivos.</t>
  </si>
  <si>
    <t>Prova  Macroeconomia 2025.pdf — p. 8 — Q6 item 2</t>
  </si>
  <si>
    <t>Escolha intertemporal com acesso a crédito.</t>
  </si>
  <si>
    <t>Prova  Macroeconomia 2025.pdf — p. 8 — Q6 item 3</t>
  </si>
  <si>
    <t>Restrição de crédito e renda transitória.</t>
  </si>
  <si>
    <t>Prova  Macroeconomia 2025.pdf — p. 8 — Q6 item 4</t>
  </si>
  <si>
    <t>Multiplicador keynesiano aberto e propensão a importar.</t>
  </si>
  <si>
    <t>Prova  Macroeconomia 2025.pdf — p. 9 — Q7 item 0</t>
  </si>
  <si>
    <t>Propensão a consumir e imposto dado pela regra apresentada.</t>
  </si>
  <si>
    <t>Prova  Macroeconomia 2025.pdf — p. 9 — Q7 item 1</t>
  </si>
  <si>
    <t>Câmbio real e investimento no equilíbrio do mercado de bens.</t>
  </si>
  <si>
    <t>Prova  Macroeconomia 2025.pdf — p. 9 — Q7 item 2</t>
  </si>
  <si>
    <t>Marshall-Lerner e sensibilidade das exportações líquidas ao câmbio.</t>
  </si>
  <si>
    <t>Prova  Macroeconomia 2025.pdf — p. 9 — Q7 item 3</t>
  </si>
  <si>
    <t>Consumo autônomo versus investimento autônomo no multiplicador.</t>
  </si>
  <si>
    <t>Prova  Macroeconomia 2025.pdf — p. 9 — Q7 item 4</t>
  </si>
  <si>
    <t>Dinâmica dívida/PIB com crescimento sensível à dívida e déficit zero.</t>
  </si>
  <si>
    <t>Prova  Macroeconomia 2025.pdf — p. 10 — Q8 item 0</t>
  </si>
  <si>
    <t>Equilíbrio de dívida zero na equação diferencial.</t>
  </si>
  <si>
    <t>Prova  Macroeconomia 2025.pdf — p. 10 — Q8 item 1</t>
  </si>
  <si>
    <t>Déficit primário positivo e dívida inicial zero.</t>
  </si>
  <si>
    <t>Prova  Macroeconomia 2025.pdf — p. 10 — Q8 item 2</t>
  </si>
  <si>
    <t>Dívida com crescimento exógeno e condição inicial nula.</t>
  </si>
  <si>
    <t>Prova  Macroeconomia 2025.pdf — p. 10 — Q8 item 3</t>
  </si>
  <si>
    <t>Estabilidade da dívida acima do nível estacionário.</t>
  </si>
  <si>
    <t>Prova  Macroeconomia 2025.pdf — p. 10 — Q8 item 4</t>
  </si>
  <si>
    <t>PIB nominal e deflator na tabela.</t>
  </si>
  <si>
    <t>Prova  Macroeconomia 2025.pdf — p. 11 — Q9 item 0</t>
  </si>
  <si>
    <t>Variação real do produto.</t>
  </si>
  <si>
    <t>Prova  Macroeconomia 2025.pdf — p. 11 — Q9 item 1</t>
  </si>
  <si>
    <t>Crescimento nominal versus inflação.</t>
  </si>
  <si>
    <t>Prova  Macroeconomia 2025.pdf — p. 11 — Q9 item 2</t>
  </si>
  <si>
    <t>Comparação do PIB real entre anos. Item anulado — gabarito final de 28/10/2024.</t>
  </si>
  <si>
    <t>Prova  Macroeconomia 2025.pdf — p. 11 — Q9 item 3</t>
  </si>
  <si>
    <t>Cálculo de deflator a partir do PIB nominal e real.</t>
  </si>
  <si>
    <t>Prova  Macroeconomia 2025.pdf — p. 11 — Q9 item 4</t>
  </si>
  <si>
    <t>Mercado de bens com juro fixo: choque no prêmio de risco do investimento. Fronteira com IS-LM; revisão sugerida.</t>
  </si>
  <si>
    <t>Prova  Macroeconomia 2025.pdf — p. 12 — Q10 — Tipo B</t>
  </si>
  <si>
    <t>Não ocupação versus desemprego e força de trabalho.</t>
  </si>
  <si>
    <t>Prova  Macroeconomia 2026.pdf — p. 4 — Q1 item 0</t>
  </si>
  <si>
    <t>Déficit público e transações correntes: identidade versus causalidade.</t>
  </si>
  <si>
    <t>Prova  Macroeconomia 2026.pdf — p. 4 — Q1 item 1</t>
  </si>
  <si>
    <t>Poupança privada, investimento e poupança externa.</t>
  </si>
  <si>
    <t>Prova  Macroeconomia 2026.pdf — p. 4 — Q1 item 2</t>
  </si>
  <si>
    <t>Transferências versus consumo governamental nas contas nacionais.</t>
  </si>
  <si>
    <t>Prova  Macroeconomia 2026.pdf — p. 4 — Q1 item 3</t>
  </si>
  <si>
    <t>PIB, absorção doméstica e saldo externo.</t>
  </si>
  <si>
    <t>Prova  Macroeconomia 2026.pdf — p. 4 — Q1 item 4</t>
  </si>
  <si>
    <t>Item misto: controle de agregados monetários e instabilidade da demanda por moeda.</t>
  </si>
  <si>
    <t>Prova  Macroeconomia 2026.pdf — p. 5 — Q2 item 0</t>
  </si>
  <si>
    <t>Redesconto e limite superior dos juros interbancários.</t>
  </si>
  <si>
    <t>Prova  Macroeconomia 2026.pdf — p. 5 — Q2 item 1</t>
  </si>
  <si>
    <t>Depósito e aplicação em fundo: composição de M1.</t>
  </si>
  <si>
    <t>Prova  Macroeconomia 2026.pdf — p. 5 — Q2 item 2</t>
  </si>
  <si>
    <t>Baumol-Tobin e custo de oportunidade da moeda.</t>
  </si>
  <si>
    <t>Prova  Macroeconomia 2026.pdf — p. 5 — Q2 item 3</t>
  </si>
  <si>
    <t>Menor uso de moeda e velocidade de circulação.</t>
  </si>
  <si>
    <t>Prova  Macroeconomia 2026.pdf — p. 5 — Q2 item 4</t>
  </si>
  <si>
    <t>Multiplicador keynesiano aberto com tributação proporcional e importações induzidas.</t>
  </si>
  <si>
    <t>Prova  Macroeconomia 2026.pdf — p. 6 — Q3 — Tipo B</t>
  </si>
  <si>
    <t>Meta de juros e LM horizontal.</t>
  </si>
  <si>
    <t>Prova  Macroeconomia 2026.pdf — p. 7 — Q4 item 0</t>
  </si>
  <si>
    <t>Item misto: IS-LM, limite inferior dos juros e espiral deflacionária em Phillips.</t>
  </si>
  <si>
    <t>Prova  Macroeconomia 2026.pdf — p. 7 — Q4 item 1</t>
  </si>
  <si>
    <t>Item misto: impostos, taxa real de juros e equilíbrio de médio prazo com Phillips.</t>
  </si>
  <si>
    <t>Prova  Macroeconomia 2026.pdf — p. 7 — Q4 item 2</t>
  </si>
  <si>
    <t>Item misto: choque de petróleo e ajuste monetário em IS-LM-Phillips adaptativa.</t>
  </si>
  <si>
    <t>Prova  Macroeconomia 2026.pdf — p. 7 — Q4 item 3</t>
  </si>
  <si>
    <t>Seguro-desemprego e salário real no modelo de fixação de salários e preços.</t>
  </si>
  <si>
    <t>Prova  Macroeconomia 2026.pdf — p. 7 — Q4 item 4</t>
  </si>
  <si>
    <t>Solow: comparação de depreciação e crescimento por trabalhador.</t>
  </si>
  <si>
    <t>Prova  Macroeconomia 2026.pdf — p. 8 — Q5 item 0</t>
  </si>
  <si>
    <t>Solow: posição relativa ao estado estacionário.</t>
  </si>
  <si>
    <t>Prova  Macroeconomia 2026.pdf — p. 8 — Q5 item 1</t>
  </si>
  <si>
    <t>Produtividade marginal do capital no modelo de crescimento.</t>
  </si>
  <si>
    <t>Prova  Macroeconomia 2026.pdf — p. 8 — Q5 item 2</t>
  </si>
  <si>
    <t>Participação salarial ao longo da trajetória de Solow.</t>
  </si>
  <si>
    <t>Prova  Macroeconomia 2026.pdf — p. 8 — Q5 item 3</t>
  </si>
  <si>
    <t>Lucros e salários no estado estacionário.</t>
  </si>
  <si>
    <t>Prova  Macroeconomia 2026.pdf — p. 8 — Q5 item 4</t>
  </si>
  <si>
    <t>q de Tobin inferior a um e investimento.</t>
  </si>
  <si>
    <t>Prova  Macroeconomia 2026.pdf — p. 9 — Q6 item 0</t>
  </si>
  <si>
    <t>q marginal e comparação de decisões de investimento.</t>
  </si>
  <si>
    <t>Prova  Macroeconomia 2026.pdf — p. 9 — Q6 item 1</t>
  </si>
  <si>
    <t>RBC e recomendação de política anticíclica.</t>
  </si>
  <si>
    <t>Prova  Macroeconomia 2026.pdf — p. 9 — Q6 item 2</t>
  </si>
  <si>
    <t>Custos de menu e decisão ótima de reajuste nominal.</t>
  </si>
  <si>
    <t>Prova  Macroeconomia 2026.pdf — p. 9 — Q6 item 3</t>
  </si>
  <si>
    <t>Expectativas racionais, previsão perfeita e neutralidade monetária.</t>
  </si>
  <si>
    <t>Prova  Macroeconomia 2026.pdf — p. 9 — Q6 item 4</t>
  </si>
  <si>
    <t>Mercado de bens aberto: câmbio necessário para atingir a renda, sem condição LM/BP.</t>
  </si>
  <si>
    <t>Prova  Macroeconomia 2026.pdf — p. 10 — Q7 — Tipo B</t>
  </si>
  <si>
    <t>Dívida/PIB, saldo primário e diferencial juros-crescimento.</t>
  </si>
  <si>
    <t>Prova  Macroeconomia 2026.pdf — p. 11 — Q8 item 0</t>
  </si>
  <si>
    <t>Equivalência ricardiana e estímulo fiscal.</t>
  </si>
  <si>
    <t>Prova  Macroeconomia 2026.pdf — p. 11 — Q8 item 1</t>
  </si>
  <si>
    <t>Equivalência ricardiana e taxa real de juros.</t>
  </si>
  <si>
    <t>Prova  Macroeconomia 2026.pdf — p. 11 — Q8 item 2</t>
  </si>
  <si>
    <t>Definição e determinação do resultado primário.</t>
  </si>
  <si>
    <t>Prova  Macroeconomia 2026.pdf — p. 11 — Q8 item 3</t>
  </si>
  <si>
    <t>Estabilizadores automáticos e orçamento público.</t>
  </si>
  <si>
    <t>Prova  Macroeconomia 2026.pdf — p. 11 — Q8 item 4</t>
  </si>
  <si>
    <t>BPM6: juros versus amortização externa.</t>
  </si>
  <si>
    <t>Prova  Macroeconomia 2026.pdf — p. 12 — Q9 item 0</t>
  </si>
  <si>
    <t>Reservas internacionais na conta financeira.</t>
  </si>
  <si>
    <t>Prova  Macroeconomia 2026.pdf — p. 12 — Q9 item 1</t>
  </si>
  <si>
    <t>Mudança de residência e transferências de capital.</t>
  </si>
  <si>
    <t>Prova  Macroeconomia 2026.pdf — p. 12 — Q9 item 2</t>
  </si>
  <si>
    <t>Residência econômica de subsidiária estrangeira.</t>
  </si>
  <si>
    <t>Prova  Macroeconomia 2026.pdf — p. 12 — Q9 item 3</t>
  </si>
  <si>
    <t>Importações de multinacionais e registros externos.</t>
  </si>
  <si>
    <t>Prova  Macroeconomia 2026.pdf — p. 12 — Q9 item 4</t>
  </si>
  <si>
    <t>Comparação internacional do PIB per capita por PPC versus câmbio de mercado.</t>
  </si>
  <si>
    <t>Prova  Macroeconomia 2026.pdf — p. 13 — Q10 item 0</t>
  </si>
  <si>
    <t>Paridade do poder de compra e nível do câmbio nominal.</t>
  </si>
  <si>
    <t>Prova  Macroeconomia 2026.pdf — p. 13 — Q10 item 1</t>
  </si>
  <si>
    <t>Paridade descoberta: juros nominais versus reais.</t>
  </si>
  <si>
    <t>Prova  Macroeconomia 2026.pdf — p. 13 — Q10 item 2</t>
  </si>
  <si>
    <t>Câmbio futuro esperado e câmbio corrente.</t>
  </si>
  <si>
    <t>Prova  Macroeconomia 2026.pdf — p. 13 — Q10 item 3</t>
  </si>
  <si>
    <t>Marshall-Lerner e curva J.</t>
  </si>
  <si>
    <t>Prova  Macroeconomia 2026.pdf — p. 13 — Q10 item 4</t>
  </si>
  <si>
    <t>Metodologia e instruções</t>
  </si>
  <si>
    <t>Regra</t>
  </si>
  <si>
    <t>Como aplicar</t>
  </si>
  <si>
    <t>Exemplo</t>
  </si>
  <si>
    <t>Item V/F</t>
  </si>
  <si>
    <t>Peso base = 1.</t>
  </si>
  <si>
    <t>Um item só de IS-LM soma 1 ao tópico 05.</t>
  </si>
  <si>
    <t>Uma linha na Base_Itens.</t>
  </si>
  <si>
    <t>Questão aberta/numérica</t>
  </si>
  <si>
    <t>Peso base = 5 itens equivalentes.</t>
  </si>
  <si>
    <t>Questão só de Crescimento soma 5 ao tópico 11.</t>
  </si>
  <si>
    <t>Convenção solicitada pelo usuário.</t>
  </si>
  <si>
    <t>Item misto</t>
  </si>
  <si>
    <t>Pertence a n tópicos ⇒ dividir o peso igualmente.</t>
  </si>
  <si>
    <t>V/F em 2 tópicos: 0,5 + 0,5; aberta em 2: 2,5 + 2,5.</t>
  </si>
  <si>
    <t>Repita o mesmo Item_ID em n linhas.</t>
  </si>
  <si>
    <t>Calculado por COUNTIF do Item_ID.</t>
  </si>
  <si>
    <t>Três linhas com o mesmo Item_ID ⇒ n=3.</t>
  </si>
  <si>
    <t>Não repita o mesmo tópico para o mesmo item.</t>
  </si>
  <si>
    <t>Tópicos principais</t>
  </si>
  <si>
    <t>Taxonomia atualizada: 07a = Paridades; 07b = OA-DA. E1/E5 foram absorvidos por 09; E2 por 07b; E3 por 08.</t>
  </si>
  <si>
    <t>Lista 07 combina Paridades e OA-DA.</t>
  </si>
  <si>
    <t>Tópicos extras</t>
  </si>
  <si>
    <t>Seis linhas Extra preenchidas para conteúdos que não se enquadram diretamente nas 14 listas.</t>
  </si>
  <si>
    <t>Renomeie na aba Tópicos.</t>
  </si>
  <si>
    <t>Para itens que não se encaixem nas 14 listas.</t>
  </si>
  <si>
    <t>Gráfico de barras</t>
  </si>
  <si>
    <t>Eixo X = tópico; eixo Y = quantidade; filtro por ano em Dashboard!B3.</t>
  </si>
  <si>
    <t>O seletor B3 funciona como filtro de ano.</t>
  </si>
  <si>
    <t>Gráfico de linhas</t>
  </si>
  <si>
    <t>Eixo X = ano; eixo Y = itens equivalentes; filtro Sim/Não no Dashboard escolhe as séries exibidas.</t>
  </si>
  <si>
    <t>Cores distintas definidas por série.</t>
  </si>
  <si>
    <t>Status do levantamento</t>
  </si>
  <si>
    <t>17 provas e 240 questões lidas; classificação individual de 1.008 itens econômicos. Taxonomia consolidada conforme revisão posterior.</t>
  </si>
  <si>
    <t>Auditoria anual e por Item_ID na aba Validação; dúvidas no TXT entregue.</t>
  </si>
  <si>
    <t>Fonte oficial</t>
  </si>
  <si>
    <t>Provas anteriores da ANPEC.</t>
  </si>
  <si>
    <t>https://www.anpec.org.br/novosite/br/exame</t>
  </si>
  <si>
    <t>Fonte auxiliar</t>
  </si>
  <si>
    <t>Indexação de questões ANPEC.</t>
  </si>
  <si>
    <t>https://provasanpec.com.br/</t>
  </si>
  <si>
    <t>Convenção original preservada: ano-Qquestão-item; questões numéricas usam ABERTA.</t>
  </si>
  <si>
    <t>2015-Q1-0; 2015-Q12-ABERTA</t>
  </si>
  <si>
    <t>O mesmo Item_ID aparece uma vez por tópico distinto.</t>
  </si>
  <si>
    <t>Não arredondamento</t>
  </si>
  <si>
    <t>Peso base / número de tópicos, sem arredondar a fórmula.</t>
  </si>
  <si>
    <t>Duas casas decimais apenas na exibição.</t>
  </si>
  <si>
    <t>Diferenças são auditadas antes do arredondamento.</t>
  </si>
  <si>
    <t>Fonte</t>
  </si>
  <si>
    <t>Nome do arquivo e localização da questão/item; PDFs incluem página física do arquivo.</t>
  </si>
  <si>
    <t>DOC/DOCX identificados por questão e item.</t>
  </si>
  <si>
    <t>Arquivos originais preservados; ano é o do exame, não a data de aplicação.</t>
  </si>
  <si>
    <t>Anulação</t>
  </si>
  <si>
    <t>Itens anulados permanecem com peso integral.</t>
  </si>
  <si>
    <t>2025-Q9-3: Item anulado.</t>
  </si>
  <si>
    <t>Gabarito final 2025 fornecido, de 28/10/2024. Não se presume ausência de anulação nos demais anos.</t>
  </si>
  <si>
    <t>Fronteiras temáticas</t>
  </si>
  <si>
    <t>TQM/Fisher → 04; equivalência ricardiana → 12; inconsistência temporal → 09.</t>
  </si>
  <si>
    <t>Menções incidentais não geram rateio.</t>
  </si>
  <si>
    <t>07 mantém a combinação original de Paridades e OA-DA.</t>
  </si>
  <si>
    <t>Extra E1</t>
  </si>
  <si>
    <t>Equilíbrio keynesiano do mercado de bens com juros dados, sem equilíbrio monetário independente.</t>
  </si>
  <si>
    <t>Multiplicador e cruz keynesiana, fechada ou aberta.</t>
  </si>
  <si>
    <t>IS-LM e IS-LM-BP mantidos quando o mecanismo monetário/externo integra o modelo.</t>
  </si>
  <si>
    <t>Outros extras</t>
  </si>
  <si>
    <t>E2: trabalho; E3: regras/instrumentos; E1: finanças; E5: modelo clássico; E2: complementaridade de bens.</t>
  </si>
  <si>
    <t>Nomes completos na aba Tópicos.</t>
  </si>
  <si>
    <t>Rateio somente para mecanismos distintos materialmente necessários.</t>
  </si>
  <si>
    <t>Revisão conceitual</t>
  </si>
  <si>
    <t>Cinco casos com alternativa plausível constam do TXT de revisão.</t>
  </si>
  <si>
    <t>O rateio não substitui o registro de incerteza.</t>
  </si>
  <si>
    <t>A coluna Observação registra o fundamento econômico de cada item.</t>
  </si>
  <si>
    <t>Auditoria de cobertura e pesos — ANPEC Macroeconomia 2010–2026</t>
  </si>
  <si>
    <t>Esperado: inventário das provas. Classificado: fórmulas vinculadas à Base_Itens. Diferenças devem ser zero.</t>
  </si>
  <si>
    <t>Nº questões</t>
  </si>
  <si>
    <t>Peso esperado</t>
  </si>
  <si>
    <t>Peso classificado</t>
  </si>
  <si>
    <t>Diferença</t>
  </si>
  <si>
    <t>Itens V/F</t>
  </si>
  <si>
    <t>Tipo B</t>
  </si>
  <si>
    <t>Itens econômicos</t>
  </si>
  <si>
    <t>Situação</t>
  </si>
  <si>
    <t>Pares Item_ID × tópico duplicados</t>
  </si>
  <si>
    <t>Itens com peso incorreto</t>
  </si>
  <si>
    <t>Linhas na Base_Itens</t>
  </si>
  <si>
    <t>Itens com mais de um tópico</t>
  </si>
  <si>
    <t>Revisões conceituais</t>
  </si>
  <si>
    <t>Tópicos ativos</t>
  </si>
  <si>
    <t>TOTAL</t>
  </si>
  <si>
    <t>Item_ID esperado</t>
  </si>
  <si>
    <t>n esperado</t>
  </si>
  <si>
    <t>Linhas / tópicos</t>
  </si>
  <si>
    <t>Item_ID cadastrado</t>
  </si>
  <si>
    <t>Tópico cadastrado</t>
  </si>
  <si>
    <t>Repetições do par</t>
  </si>
  <si>
    <t>2010-Q1-0</t>
  </si>
  <si>
    <t>2010-Q1-1</t>
  </si>
  <si>
    <t>2010-Q1-2</t>
  </si>
  <si>
    <t>2010-Q1-3</t>
  </si>
  <si>
    <t>2010-Q1-4</t>
  </si>
  <si>
    <t>2010-Q2-0</t>
  </si>
  <si>
    <t>2010-Q2-1</t>
  </si>
  <si>
    <t>2010-Q2-2</t>
  </si>
  <si>
    <t>2010-Q2-3</t>
  </si>
  <si>
    <t>2010-Q2-4</t>
  </si>
  <si>
    <t>2010-Q3-0</t>
  </si>
  <si>
    <t>2010-Q3-1</t>
  </si>
  <si>
    <t>2010-Q3-2</t>
  </si>
  <si>
    <t>2010-Q3-3</t>
  </si>
  <si>
    <t>2010-Q3-4</t>
  </si>
  <si>
    <t>2010-Q4-0</t>
  </si>
  <si>
    <t>2010-Q4-1</t>
  </si>
  <si>
    <t>2010-Q4-2</t>
  </si>
  <si>
    <t>2010-Q4-3</t>
  </si>
  <si>
    <t>2010-Q4-4</t>
  </si>
  <si>
    <t>2010-Q5-0</t>
  </si>
  <si>
    <t>2010-Q5-1</t>
  </si>
  <si>
    <t>2010-Q5-2</t>
  </si>
  <si>
    <t>2010-Q5-3</t>
  </si>
  <si>
    <t>2010-Q5-4</t>
  </si>
  <si>
    <t>2010-Q6-0</t>
  </si>
  <si>
    <t>2010-Q6-1</t>
  </si>
  <si>
    <t>2010-Q6-2</t>
  </si>
  <si>
    <t>2010-Q6-3</t>
  </si>
  <si>
    <t>2010-Q6-4</t>
  </si>
  <si>
    <t>2010-Q7-0</t>
  </si>
  <si>
    <t>2010-Q7-1</t>
  </si>
  <si>
    <t>2010-Q7-2</t>
  </si>
  <si>
    <t>2010-Q7-3</t>
  </si>
  <si>
    <t>2010-Q7-4</t>
  </si>
  <si>
    <t>2010-Q8-0</t>
  </si>
  <si>
    <t>2010-Q8-1</t>
  </si>
  <si>
    <t>2010-Q8-2</t>
  </si>
  <si>
    <t>2010-Q8-3</t>
  </si>
  <si>
    <t>2010-Q8-4</t>
  </si>
  <si>
    <t>2010-Q9-0</t>
  </si>
  <si>
    <t>2010-Q9-1</t>
  </si>
  <si>
    <t>2010-Q9-2</t>
  </si>
  <si>
    <t>2010-Q9-3</t>
  </si>
  <si>
    <t>2010-Q9-4</t>
  </si>
  <si>
    <t>2010-Q10-0</t>
  </si>
  <si>
    <t>2010-Q10-1</t>
  </si>
  <si>
    <t>2010-Q10-2</t>
  </si>
  <si>
    <t>2010-Q10-3</t>
  </si>
  <si>
    <t>2010-Q10-4</t>
  </si>
  <si>
    <t>2010-Q11-0</t>
  </si>
  <si>
    <t>2010-Q11-1</t>
  </si>
  <si>
    <t>2010-Q11-2</t>
  </si>
  <si>
    <t>2010-Q11-3</t>
  </si>
  <si>
    <t>2010-Q11-4</t>
  </si>
  <si>
    <t>2010-Q12-ABERTA</t>
  </si>
  <si>
    <t>2010-Q13-ABERTA</t>
  </si>
  <si>
    <t>2010-Q14-ABERTA</t>
  </si>
  <si>
    <t>2010-Q15-ABERTA</t>
  </si>
  <si>
    <t>2011-Q1-0</t>
  </si>
  <si>
    <t>2011-Q1-1</t>
  </si>
  <si>
    <t>2011-Q1-2</t>
  </si>
  <si>
    <t>2011-Q1-3</t>
  </si>
  <si>
    <t>2011-Q1-4</t>
  </si>
  <si>
    <t>2011-Q2-0</t>
  </si>
  <si>
    <t>2011-Q2-1</t>
  </si>
  <si>
    <t>2011-Q2-2</t>
  </si>
  <si>
    <t>2011-Q2-3</t>
  </si>
  <si>
    <t>2011-Q2-4</t>
  </si>
  <si>
    <t>2011-Q3-0</t>
  </si>
  <si>
    <t>2011-Q3-1</t>
  </si>
  <si>
    <t>2011-Q3-2</t>
  </si>
  <si>
    <t>2011-Q3-3</t>
  </si>
  <si>
    <t>2011-Q3-4</t>
  </si>
  <si>
    <t>2011-Q4-0</t>
  </si>
  <si>
    <t>2011-Q4-1</t>
  </si>
  <si>
    <t>2011-Q4-2</t>
  </si>
  <si>
    <t>2011-Q4-3</t>
  </si>
  <si>
    <t>2011-Q4-4</t>
  </si>
  <si>
    <t>2011-Q5-0</t>
  </si>
  <si>
    <t>2011-Q5-1</t>
  </si>
  <si>
    <t>2011-Q5-2</t>
  </si>
  <si>
    <t>2011-Q5-3</t>
  </si>
  <si>
    <t>2011-Q5-4</t>
  </si>
  <si>
    <t>2011-Q6-0</t>
  </si>
  <si>
    <t>2011-Q6-1</t>
  </si>
  <si>
    <t>2011-Q6-2</t>
  </si>
  <si>
    <t>2011-Q6-3</t>
  </si>
  <si>
    <t>2011-Q6-4</t>
  </si>
  <si>
    <t>2011-Q7-0</t>
  </si>
  <si>
    <t>2011-Q7-1</t>
  </si>
  <si>
    <t>2011-Q7-2</t>
  </si>
  <si>
    <t>2011-Q7-3</t>
  </si>
  <si>
    <t>2011-Q7-4</t>
  </si>
  <si>
    <t>2011-Q8-0</t>
  </si>
  <si>
    <t>2011-Q8-1</t>
  </si>
  <si>
    <t>2011-Q8-2</t>
  </si>
  <si>
    <t>2011-Q8-3</t>
  </si>
  <si>
    <t>2011-Q8-4</t>
  </si>
  <si>
    <t>2011-Q9-0</t>
  </si>
  <si>
    <t>2011-Q9-1</t>
  </si>
  <si>
    <t>2011-Q9-2</t>
  </si>
  <si>
    <t>2011-Q9-3</t>
  </si>
  <si>
    <t>2011-Q9-4</t>
  </si>
  <si>
    <t>2011-Q10-0</t>
  </si>
  <si>
    <t>2011-Q10-1</t>
  </si>
  <si>
    <t>2011-Q10-2</t>
  </si>
  <si>
    <t>2011-Q10-3</t>
  </si>
  <si>
    <t>2011-Q10-4</t>
  </si>
  <si>
    <t>2011-Q11-0</t>
  </si>
  <si>
    <t>2011-Q11-1</t>
  </si>
  <si>
    <t>2011-Q11-2</t>
  </si>
  <si>
    <t>2011-Q11-3</t>
  </si>
  <si>
    <t>2011-Q11-4</t>
  </si>
  <si>
    <t>2011-Q12-0</t>
  </si>
  <si>
    <t>2011-Q12-1</t>
  </si>
  <si>
    <t>2011-Q12-2</t>
  </si>
  <si>
    <t>2011-Q12-3</t>
  </si>
  <si>
    <t>2011-Q12-4</t>
  </si>
  <si>
    <t>2011-Q13-0</t>
  </si>
  <si>
    <t>2011-Q13-1</t>
  </si>
  <si>
    <t>2011-Q13-2</t>
  </si>
  <si>
    <t>2011-Q13-3</t>
  </si>
  <si>
    <t>2011-Q13-4</t>
  </si>
  <si>
    <t>2011-Q14-ABERTA</t>
  </si>
  <si>
    <t>2011-Q15-ABERTA</t>
  </si>
  <si>
    <t>2012-Q1-0</t>
  </si>
  <si>
    <t>2012-Q1-1</t>
  </si>
  <si>
    <t>2012-Q1-2</t>
  </si>
  <si>
    <t>2012-Q1-3</t>
  </si>
  <si>
    <t>2012-Q1-4</t>
  </si>
  <si>
    <t>2012-Q2-0</t>
  </si>
  <si>
    <t>2012-Q2-1</t>
  </si>
  <si>
    <t>2012-Q2-2</t>
  </si>
  <si>
    <t>2012-Q2-3</t>
  </si>
  <si>
    <t>2012-Q2-4</t>
  </si>
  <si>
    <t>2012-Q3-0</t>
  </si>
  <si>
    <t>2012-Q3-1</t>
  </si>
  <si>
    <t>2012-Q3-2</t>
  </si>
  <si>
    <t>2012-Q3-3</t>
  </si>
  <si>
    <t>2012-Q3-4</t>
  </si>
  <si>
    <t>2012-Q4-0</t>
  </si>
  <si>
    <t>2012-Q4-1</t>
  </si>
  <si>
    <t>2012-Q4-2</t>
  </si>
  <si>
    <t>2012-Q4-3</t>
  </si>
  <si>
    <t>2012-Q4-4</t>
  </si>
  <si>
    <t>2012-Q5-0</t>
  </si>
  <si>
    <t>2012-Q5-1</t>
  </si>
  <si>
    <t>2012-Q5-2</t>
  </si>
  <si>
    <t>2012-Q5-3</t>
  </si>
  <si>
    <t>2012-Q5-4</t>
  </si>
  <si>
    <t>2012-Q6-0</t>
  </si>
  <si>
    <t>2012-Q6-1</t>
  </si>
  <si>
    <t>2012-Q6-2</t>
  </si>
  <si>
    <t>2012-Q6-3</t>
  </si>
  <si>
    <t>2012-Q6-4</t>
  </si>
  <si>
    <t>2012-Q7-0</t>
  </si>
  <si>
    <t>2012-Q7-1</t>
  </si>
  <si>
    <t>2012-Q7-2</t>
  </si>
  <si>
    <t>2012-Q7-3</t>
  </si>
  <si>
    <t>2012-Q7-4</t>
  </si>
  <si>
    <t>2012-Q8-0</t>
  </si>
  <si>
    <t>2012-Q8-1</t>
  </si>
  <si>
    <t>2012-Q8-2</t>
  </si>
  <si>
    <t>2012-Q8-3</t>
  </si>
  <si>
    <t>2012-Q8-4</t>
  </si>
  <si>
    <t>2012-Q9-0</t>
  </si>
  <si>
    <t>2012-Q9-1</t>
  </si>
  <si>
    <t>2012-Q9-2</t>
  </si>
  <si>
    <t>2012-Q9-3</t>
  </si>
  <si>
    <t>2012-Q9-4</t>
  </si>
  <si>
    <t>2012-Q10-0</t>
  </si>
  <si>
    <t>2012-Q10-1</t>
  </si>
  <si>
    <t>2012-Q10-2</t>
  </si>
  <si>
    <t>2012-Q10-3</t>
  </si>
  <si>
    <t>2012-Q10-4</t>
  </si>
  <si>
    <t>2012-Q11-0</t>
  </si>
  <si>
    <t>2012-Q11-1</t>
  </si>
  <si>
    <t>2012-Q11-2</t>
  </si>
  <si>
    <t>2012-Q11-3</t>
  </si>
  <si>
    <t>2012-Q11-4</t>
  </si>
  <si>
    <t>2012-Q12-0</t>
  </si>
  <si>
    <t>2012-Q12-1</t>
  </si>
  <si>
    <t>2012-Q12-2</t>
  </si>
  <si>
    <t>2012-Q12-3</t>
  </si>
  <si>
    <t>2012-Q12-4</t>
  </si>
  <si>
    <t>2012-Q13-0</t>
  </si>
  <si>
    <t>2012-Q13-1</t>
  </si>
  <si>
    <t>2012-Q13-2</t>
  </si>
  <si>
    <t>2012-Q13-3</t>
  </si>
  <si>
    <t>2012-Q13-4</t>
  </si>
  <si>
    <t>2012-Q14-ABERTA</t>
  </si>
  <si>
    <t>2012-Q15-ABERTA</t>
  </si>
  <si>
    <t>2013-Q1-0</t>
  </si>
  <si>
    <t>2013-Q1-1</t>
  </si>
  <si>
    <t>2013-Q1-2</t>
  </si>
  <si>
    <t>2013-Q1-3</t>
  </si>
  <si>
    <t>2013-Q1-4</t>
  </si>
  <si>
    <t>2013-Q2-0</t>
  </si>
  <si>
    <t>2013-Q2-1</t>
  </si>
  <si>
    <t>2013-Q2-2</t>
  </si>
  <si>
    <t>2013-Q2-3</t>
  </si>
  <si>
    <t>2013-Q2-4</t>
  </si>
  <si>
    <t>2013-Q3-0</t>
  </si>
  <si>
    <t>2013-Q3-1</t>
  </si>
  <si>
    <t>2013-Q3-2</t>
  </si>
  <si>
    <t>2013-Q3-3</t>
  </si>
  <si>
    <t>2013-Q3-4</t>
  </si>
  <si>
    <t>2013-Q4-0</t>
  </si>
  <si>
    <t>2013-Q4-1</t>
  </si>
  <si>
    <t>2013-Q4-2</t>
  </si>
  <si>
    <t>2013-Q4-3</t>
  </si>
  <si>
    <t>2013-Q4-4</t>
  </si>
  <si>
    <t>2013-Q5-0</t>
  </si>
  <si>
    <t>2013-Q5-1</t>
  </si>
  <si>
    <t>2013-Q5-2</t>
  </si>
  <si>
    <t>2013-Q5-3</t>
  </si>
  <si>
    <t>2013-Q5-4</t>
  </si>
  <si>
    <t>2013-Q6-0</t>
  </si>
  <si>
    <t>2013-Q6-1</t>
  </si>
  <si>
    <t>2013-Q6-2</t>
  </si>
  <si>
    <t>2013-Q6-3</t>
  </si>
  <si>
    <t>2013-Q6-4</t>
  </si>
  <si>
    <t>2013-Q7-0</t>
  </si>
  <si>
    <t>2013-Q7-1</t>
  </si>
  <si>
    <t>2013-Q7-2</t>
  </si>
  <si>
    <t>2013-Q7-3</t>
  </si>
  <si>
    <t>2013-Q7-4</t>
  </si>
  <si>
    <t>2013-Q8-0</t>
  </si>
  <si>
    <t>2013-Q8-1</t>
  </si>
  <si>
    <t>2013-Q8-2</t>
  </si>
  <si>
    <t>2013-Q8-3</t>
  </si>
  <si>
    <t>2013-Q8-4</t>
  </si>
  <si>
    <t>2013-Q9-0</t>
  </si>
  <si>
    <t>2013-Q9-1</t>
  </si>
  <si>
    <t>2013-Q9-2</t>
  </si>
  <si>
    <t>2013-Q9-3</t>
  </si>
  <si>
    <t>2013-Q9-4</t>
  </si>
  <si>
    <t>2013-Q10-0</t>
  </si>
  <si>
    <t>2013-Q10-1</t>
  </si>
  <si>
    <t>2013-Q10-2</t>
  </si>
  <si>
    <t>2013-Q10-3</t>
  </si>
  <si>
    <t>2013-Q10-4</t>
  </si>
  <si>
    <t>2013-Q11-0</t>
  </si>
  <si>
    <t>2013-Q11-1</t>
  </si>
  <si>
    <t>2013-Q11-2</t>
  </si>
  <si>
    <t>2013-Q11-3</t>
  </si>
  <si>
    <t>2013-Q11-4</t>
  </si>
  <si>
    <t>2013-Q12-0</t>
  </si>
  <si>
    <t>2013-Q12-1</t>
  </si>
  <si>
    <t>2013-Q12-2</t>
  </si>
  <si>
    <t>2013-Q12-3</t>
  </si>
  <si>
    <t>2013-Q12-4</t>
  </si>
  <si>
    <t>2013-Q13-0</t>
  </si>
  <si>
    <t>2013-Q13-1</t>
  </si>
  <si>
    <t>2013-Q13-2</t>
  </si>
  <si>
    <t>2013-Q13-3</t>
  </si>
  <si>
    <t>2013-Q13-4</t>
  </si>
  <si>
    <t>2013-Q14-ABERTA</t>
  </si>
  <si>
    <t>2013-Q15-0</t>
  </si>
  <si>
    <t>2013-Q15-1</t>
  </si>
  <si>
    <t>2013-Q15-2</t>
  </si>
  <si>
    <t>2013-Q15-3</t>
  </si>
  <si>
    <t>2013-Q15-4</t>
  </si>
  <si>
    <t>2014-Q1-0</t>
  </si>
  <si>
    <t>2014-Q1-1</t>
  </si>
  <si>
    <t>2014-Q1-2</t>
  </si>
  <si>
    <t>2014-Q1-3</t>
  </si>
  <si>
    <t>2014-Q1-4</t>
  </si>
  <si>
    <t>2014-Q2-0</t>
  </si>
  <si>
    <t>2014-Q2-1</t>
  </si>
  <si>
    <t>2014-Q2-2</t>
  </si>
  <si>
    <t>2014-Q2-3</t>
  </si>
  <si>
    <t>2014-Q2-4</t>
  </si>
  <si>
    <t>2014-Q3-0</t>
  </si>
  <si>
    <t>2014-Q3-1</t>
  </si>
  <si>
    <t>2014-Q3-2</t>
  </si>
  <si>
    <t>2014-Q3-3</t>
  </si>
  <si>
    <t>2014-Q3-4</t>
  </si>
  <si>
    <t>2014-Q4-0</t>
  </si>
  <si>
    <t>2014-Q4-1</t>
  </si>
  <si>
    <t>2014-Q4-2</t>
  </si>
  <si>
    <t>2014-Q4-3</t>
  </si>
  <si>
    <t>2014-Q4-4</t>
  </si>
  <si>
    <t>2014-Q5-0</t>
  </si>
  <si>
    <t>2014-Q5-1</t>
  </si>
  <si>
    <t>2014-Q5-2</t>
  </si>
  <si>
    <t>2014-Q5-3</t>
  </si>
  <si>
    <t>2014-Q5-4</t>
  </si>
  <si>
    <t>2014-Q6-0</t>
  </si>
  <si>
    <t>2014-Q6-1</t>
  </si>
  <si>
    <t>2014-Q6-2</t>
  </si>
  <si>
    <t>2014-Q6-3</t>
  </si>
  <si>
    <t>2014-Q6-4</t>
  </si>
  <si>
    <t>2014-Q7-0</t>
  </si>
  <si>
    <t>2014-Q7-1</t>
  </si>
  <si>
    <t>2014-Q7-2</t>
  </si>
  <si>
    <t>2014-Q7-3</t>
  </si>
  <si>
    <t>2014-Q7-4</t>
  </si>
  <si>
    <t>2014-Q8-0</t>
  </si>
  <si>
    <t>2014-Q8-1</t>
  </si>
  <si>
    <t>2014-Q8-2</t>
  </si>
  <si>
    <t>2014-Q8-3</t>
  </si>
  <si>
    <t>2014-Q8-4</t>
  </si>
  <si>
    <t>2014-Q9-0</t>
  </si>
  <si>
    <t>2014-Q9-1</t>
  </si>
  <si>
    <t>2014-Q9-2</t>
  </si>
  <si>
    <t>2014-Q9-3</t>
  </si>
  <si>
    <t>2014-Q9-4</t>
  </si>
  <si>
    <t>2014-Q10-ABERTA</t>
  </si>
  <si>
    <t>2014-Q11-ABERTA</t>
  </si>
  <si>
    <t>2014-Q12-0</t>
  </si>
  <si>
    <t>2014-Q12-1</t>
  </si>
  <si>
    <t>2014-Q12-2</t>
  </si>
  <si>
    <t>2014-Q12-3</t>
  </si>
  <si>
    <t>2014-Q12-4</t>
  </si>
  <si>
    <t>2014-Q13-0</t>
  </si>
  <si>
    <t>2014-Q13-1</t>
  </si>
  <si>
    <t>2014-Q13-2</t>
  </si>
  <si>
    <t>2014-Q13-3</t>
  </si>
  <si>
    <t>2014-Q13-4</t>
  </si>
  <si>
    <t>2014-Q14-0</t>
  </si>
  <si>
    <t>2014-Q14-1</t>
  </si>
  <si>
    <t>2014-Q14-2</t>
  </si>
  <si>
    <t>2014-Q14-3</t>
  </si>
  <si>
    <t>2014-Q14-4</t>
  </si>
  <si>
    <t>2014-Q15-ABERTA</t>
  </si>
  <si>
    <t>2015-Q1-0</t>
  </si>
  <si>
    <t>2015-Q1-1</t>
  </si>
  <si>
    <t>2015-Q1-2</t>
  </si>
  <si>
    <t>2015-Q1-3</t>
  </si>
  <si>
    <t>2015-Q1-4</t>
  </si>
  <si>
    <t>2015-Q2-0</t>
  </si>
  <si>
    <t>2015-Q2-1</t>
  </si>
  <si>
    <t>2015-Q2-2</t>
  </si>
  <si>
    <t>2015-Q2-3</t>
  </si>
  <si>
    <t>2015-Q2-4</t>
  </si>
  <si>
    <t>2015-Q3-0</t>
  </si>
  <si>
    <t>2015-Q3-1</t>
  </si>
  <si>
    <t>2015-Q3-2</t>
  </si>
  <si>
    <t>2015-Q3-3</t>
  </si>
  <si>
    <t>2015-Q3-4</t>
  </si>
  <si>
    <t>2015-Q4-0</t>
  </si>
  <si>
    <t>2015-Q4-1</t>
  </si>
  <si>
    <t>2015-Q4-2</t>
  </si>
  <si>
    <t>2015-Q4-3</t>
  </si>
  <si>
    <t>2015-Q4-4</t>
  </si>
  <si>
    <t>2015-Q5-0</t>
  </si>
  <si>
    <t>2015-Q5-1</t>
  </si>
  <si>
    <t>2015-Q5-2</t>
  </si>
  <si>
    <t>2015-Q5-3</t>
  </si>
  <si>
    <t>2015-Q5-4</t>
  </si>
  <si>
    <t>2015-Q6-0</t>
  </si>
  <si>
    <t>2015-Q6-1</t>
  </si>
  <si>
    <t>2015-Q6-2</t>
  </si>
  <si>
    <t>2015-Q6-3</t>
  </si>
  <si>
    <t>2015-Q6-4</t>
  </si>
  <si>
    <t>2015-Q7-0</t>
  </si>
  <si>
    <t>2015-Q7-1</t>
  </si>
  <si>
    <t>2015-Q7-2</t>
  </si>
  <si>
    <t>2015-Q7-3</t>
  </si>
  <si>
    <t>2015-Q7-4</t>
  </si>
  <si>
    <t>2015-Q8-0</t>
  </si>
  <si>
    <t>2015-Q8-1</t>
  </si>
  <si>
    <t>2015-Q8-2</t>
  </si>
  <si>
    <t>2015-Q8-3</t>
  </si>
  <si>
    <t>2015-Q8-4</t>
  </si>
  <si>
    <t>2015-Q9-0</t>
  </si>
  <si>
    <t>2015-Q9-1</t>
  </si>
  <si>
    <t>2015-Q9-2</t>
  </si>
  <si>
    <t>2015-Q9-3</t>
  </si>
  <si>
    <t>2015-Q9-4</t>
  </si>
  <si>
    <t>2015-Q10-0</t>
  </si>
  <si>
    <t>2015-Q10-1</t>
  </si>
  <si>
    <t>2015-Q10-2</t>
  </si>
  <si>
    <t>2015-Q10-3</t>
  </si>
  <si>
    <t>2015-Q10-4</t>
  </si>
  <si>
    <t>2015-Q11-ABERTA</t>
  </si>
  <si>
    <t>2015-Q12-ABERTA</t>
  </si>
  <si>
    <t>2015-Q13-ABERTA</t>
  </si>
  <si>
    <t>2015-Q14-ABERTA</t>
  </si>
  <si>
    <t>2015-Q15-ABERTA</t>
  </si>
  <si>
    <t>2016-Q1-0</t>
  </si>
  <si>
    <t>2016-Q1-1</t>
  </si>
  <si>
    <t>2016-Q1-2</t>
  </si>
  <si>
    <t>2016-Q1-3</t>
  </si>
  <si>
    <t>2016-Q1-4</t>
  </si>
  <si>
    <t>2016-Q2-0</t>
  </si>
  <si>
    <t>2016-Q2-1</t>
  </si>
  <si>
    <t>2016-Q2-2</t>
  </si>
  <si>
    <t>2016-Q2-3</t>
  </si>
  <si>
    <t>2016-Q2-4</t>
  </si>
  <si>
    <t>2016-Q3-0</t>
  </si>
  <si>
    <t>2016-Q3-1</t>
  </si>
  <si>
    <t>2016-Q3-2</t>
  </si>
  <si>
    <t>2016-Q3-3</t>
  </si>
  <si>
    <t>2016-Q3-4</t>
  </si>
  <si>
    <t>2016-Q4-0</t>
  </si>
  <si>
    <t>2016-Q4-1</t>
  </si>
  <si>
    <t>2016-Q4-2</t>
  </si>
  <si>
    <t>2016-Q4-3</t>
  </si>
  <si>
    <t>2016-Q4-4</t>
  </si>
  <si>
    <t>2016-Q5-0</t>
  </si>
  <si>
    <t>2016-Q5-1</t>
  </si>
  <si>
    <t>2016-Q5-2</t>
  </si>
  <si>
    <t>2016-Q5-3</t>
  </si>
  <si>
    <t>2016-Q5-4</t>
  </si>
  <si>
    <t>2016-Q6-0</t>
  </si>
  <si>
    <t>2016-Q6-1</t>
  </si>
  <si>
    <t>2016-Q6-2</t>
  </si>
  <si>
    <t>2016-Q6-3</t>
  </si>
  <si>
    <t>2016-Q6-4</t>
  </si>
  <si>
    <t>2016-Q7-0</t>
  </si>
  <si>
    <t>2016-Q7-1</t>
  </si>
  <si>
    <t>2016-Q7-2</t>
  </si>
  <si>
    <t>2016-Q7-3</t>
  </si>
  <si>
    <t>2016-Q7-4</t>
  </si>
  <si>
    <t>2016-Q8-0</t>
  </si>
  <si>
    <t>2016-Q8-1</t>
  </si>
  <si>
    <t>2016-Q8-2</t>
  </si>
  <si>
    <t>2016-Q8-3</t>
  </si>
  <si>
    <t>2016-Q8-4</t>
  </si>
  <si>
    <t>2016-Q9-0</t>
  </si>
  <si>
    <t>2016-Q9-1</t>
  </si>
  <si>
    <t>2016-Q9-2</t>
  </si>
  <si>
    <t>2016-Q9-3</t>
  </si>
  <si>
    <t>2016-Q9-4</t>
  </si>
  <si>
    <t>2016-Q10-0</t>
  </si>
  <si>
    <t>2016-Q10-1</t>
  </si>
  <si>
    <t>2016-Q10-2</t>
  </si>
  <si>
    <t>2016-Q10-3</t>
  </si>
  <si>
    <t>2016-Q10-4</t>
  </si>
  <si>
    <t>2016-Q11-0</t>
  </si>
  <si>
    <t>2016-Q11-1</t>
  </si>
  <si>
    <t>2016-Q11-2</t>
  </si>
  <si>
    <t>2016-Q11-3</t>
  </si>
  <si>
    <t>2016-Q11-4</t>
  </si>
  <si>
    <t>2016-Q12-0</t>
  </si>
  <si>
    <t>2016-Q12-1</t>
  </si>
  <si>
    <t>2016-Q12-2</t>
  </si>
  <si>
    <t>2016-Q12-3</t>
  </si>
  <si>
    <t>2016-Q12-4</t>
  </si>
  <si>
    <t>2016-Q13-ABERTA</t>
  </si>
  <si>
    <t>2016-Q14-ABERTA</t>
  </si>
  <si>
    <t>2016-Q15-ABERTA</t>
  </si>
  <si>
    <t>2017-Q1-0</t>
  </si>
  <si>
    <t>2017-Q1-1</t>
  </si>
  <si>
    <t>2017-Q1-2</t>
  </si>
  <si>
    <t>2017-Q1-3</t>
  </si>
  <si>
    <t>2017-Q1-4</t>
  </si>
  <si>
    <t>2017-Q2-0</t>
  </si>
  <si>
    <t>2017-Q2-1</t>
  </si>
  <si>
    <t>2017-Q2-2</t>
  </si>
  <si>
    <t>2017-Q2-3</t>
  </si>
  <si>
    <t>2017-Q2-4</t>
  </si>
  <si>
    <t>2017-Q3-0</t>
  </si>
  <si>
    <t>2017-Q3-1</t>
  </si>
  <si>
    <t>2017-Q3-2</t>
  </si>
  <si>
    <t>2017-Q3-3</t>
  </si>
  <si>
    <t>2017-Q3-4</t>
  </si>
  <si>
    <t>2017-Q4-0</t>
  </si>
  <si>
    <t>2017-Q4-1</t>
  </si>
  <si>
    <t>2017-Q4-2</t>
  </si>
  <si>
    <t>2017-Q4-3</t>
  </si>
  <si>
    <t>2017-Q4-4</t>
  </si>
  <si>
    <t>2017-Q5-0</t>
  </si>
  <si>
    <t>2017-Q5-1</t>
  </si>
  <si>
    <t>2017-Q5-2</t>
  </si>
  <si>
    <t>2017-Q5-3</t>
  </si>
  <si>
    <t>2017-Q5-4</t>
  </si>
  <si>
    <t>2017-Q6-0</t>
  </si>
  <si>
    <t>2017-Q6-1</t>
  </si>
  <si>
    <t>2017-Q6-2</t>
  </si>
  <si>
    <t>2017-Q6-3</t>
  </si>
  <si>
    <t>2017-Q6-4</t>
  </si>
  <si>
    <t>2017-Q7-0</t>
  </si>
  <si>
    <t>2017-Q7-1</t>
  </si>
  <si>
    <t>2017-Q7-2</t>
  </si>
  <si>
    <t>2017-Q7-3</t>
  </si>
  <si>
    <t>2017-Q7-4</t>
  </si>
  <si>
    <t>2017-Q8-0</t>
  </si>
  <si>
    <t>2017-Q8-1</t>
  </si>
  <si>
    <t>2017-Q8-2</t>
  </si>
  <si>
    <t>2017-Q8-3</t>
  </si>
  <si>
    <t>2017-Q8-4</t>
  </si>
  <si>
    <t>2017-Q9-0</t>
  </si>
  <si>
    <t>2017-Q9-1</t>
  </si>
  <si>
    <t>2017-Q9-2</t>
  </si>
  <si>
    <t>2017-Q9-3</t>
  </si>
  <si>
    <t>2017-Q9-4</t>
  </si>
  <si>
    <t>2017-Q10-0</t>
  </si>
  <si>
    <t>2017-Q10-1</t>
  </si>
  <si>
    <t>2017-Q10-2</t>
  </si>
  <si>
    <t>2017-Q10-3</t>
  </si>
  <si>
    <t>2017-Q10-4</t>
  </si>
  <si>
    <t>2017-Q11-0</t>
  </si>
  <si>
    <t>2017-Q11-1</t>
  </si>
  <si>
    <t>2017-Q11-2</t>
  </si>
  <si>
    <t>2017-Q11-3</t>
  </si>
  <si>
    <t>2017-Q11-4</t>
  </si>
  <si>
    <t>2017-Q12-0</t>
  </si>
  <si>
    <t>2017-Q12-1</t>
  </si>
  <si>
    <t>2017-Q12-2</t>
  </si>
  <si>
    <t>2017-Q12-3</t>
  </si>
  <si>
    <t>2017-Q12-4</t>
  </si>
  <si>
    <t>2017-Q13-0</t>
  </si>
  <si>
    <t>2017-Q13-1</t>
  </si>
  <si>
    <t>2017-Q13-2</t>
  </si>
  <si>
    <t>2017-Q13-3</t>
  </si>
  <si>
    <t>2017-Q13-4</t>
  </si>
  <si>
    <t>2017-Q14-ABERTA</t>
  </si>
  <si>
    <t>2017-Q15-ABERTA</t>
  </si>
  <si>
    <t>2018-Q1-0</t>
  </si>
  <si>
    <t>2018-Q1-1</t>
  </si>
  <si>
    <t>2018-Q1-2</t>
  </si>
  <si>
    <t>2018-Q1-3</t>
  </si>
  <si>
    <t>2018-Q1-4</t>
  </si>
  <si>
    <t>2018-Q2-0</t>
  </si>
  <si>
    <t>2018-Q2-1</t>
  </si>
  <si>
    <t>2018-Q2-2</t>
  </si>
  <si>
    <t>2018-Q2-3</t>
  </si>
  <si>
    <t>2018-Q2-4</t>
  </si>
  <si>
    <t>2018-Q3-0</t>
  </si>
  <si>
    <t>2018-Q3-1</t>
  </si>
  <si>
    <t>2018-Q3-2</t>
  </si>
  <si>
    <t>2018-Q3-3</t>
  </si>
  <si>
    <t>2018-Q3-4</t>
  </si>
  <si>
    <t>2018-Q4-0</t>
  </si>
  <si>
    <t>2018-Q4-1</t>
  </si>
  <si>
    <t>2018-Q4-2</t>
  </si>
  <si>
    <t>2018-Q4-3</t>
  </si>
  <si>
    <t>2018-Q4-4</t>
  </si>
  <si>
    <t>2018-Q5-0</t>
  </si>
  <si>
    <t>2018-Q5-1</t>
  </si>
  <si>
    <t>2018-Q5-2</t>
  </si>
  <si>
    <t>2018-Q5-3</t>
  </si>
  <si>
    <t>2018-Q5-4</t>
  </si>
  <si>
    <t>2018-Q6-0</t>
  </si>
  <si>
    <t>2018-Q6-1</t>
  </si>
  <si>
    <t>2018-Q6-2</t>
  </si>
  <si>
    <t>2018-Q6-3</t>
  </si>
  <si>
    <t>2018-Q6-4</t>
  </si>
  <si>
    <t>2018-Q7-0</t>
  </si>
  <si>
    <t>2018-Q7-1</t>
  </si>
  <si>
    <t>2018-Q7-2</t>
  </si>
  <si>
    <t>2018-Q7-3</t>
  </si>
  <si>
    <t>2018-Q7-4</t>
  </si>
  <si>
    <t>2018-Q8-0</t>
  </si>
  <si>
    <t>2018-Q8-1</t>
  </si>
  <si>
    <t>2018-Q8-2</t>
  </si>
  <si>
    <t>2018-Q8-3</t>
  </si>
  <si>
    <t>2018-Q8-4</t>
  </si>
  <si>
    <t>2018-Q9-0</t>
  </si>
  <si>
    <t>2018-Q9-1</t>
  </si>
  <si>
    <t>2018-Q9-2</t>
  </si>
  <si>
    <t>2018-Q9-3</t>
  </si>
  <si>
    <t>2018-Q9-4</t>
  </si>
  <si>
    <t>2018-Q10-0</t>
  </si>
  <si>
    <t>2018-Q10-1</t>
  </si>
  <si>
    <t>2018-Q10-2</t>
  </si>
  <si>
    <t>2018-Q10-3</t>
  </si>
  <si>
    <t>2018-Q10-4</t>
  </si>
  <si>
    <t>2018-Q11-0</t>
  </si>
  <si>
    <t>2018-Q11-1</t>
  </si>
  <si>
    <t>2018-Q11-2</t>
  </si>
  <si>
    <t>2018-Q11-3</t>
  </si>
  <si>
    <t>2018-Q11-4</t>
  </si>
  <si>
    <t>2018-Q12-0</t>
  </si>
  <si>
    <t>2018-Q12-1</t>
  </si>
  <si>
    <t>2018-Q12-2</t>
  </si>
  <si>
    <t>2018-Q12-3</t>
  </si>
  <si>
    <t>2018-Q12-4</t>
  </si>
  <si>
    <t>2018-Q13-ABERTA</t>
  </si>
  <si>
    <t>2018-Q14-ABERTA</t>
  </si>
  <si>
    <t>2018-Q15-ABERTA</t>
  </si>
  <si>
    <t>2019-Q1-0</t>
  </si>
  <si>
    <t>2019-Q1-1</t>
  </si>
  <si>
    <t>2019-Q1-2</t>
  </si>
  <si>
    <t>2019-Q1-3</t>
  </si>
  <si>
    <t>2019-Q1-4</t>
  </si>
  <si>
    <t>2019-Q2-0</t>
  </si>
  <si>
    <t>2019-Q2-1</t>
  </si>
  <si>
    <t>2019-Q2-2</t>
  </si>
  <si>
    <t>2019-Q2-3</t>
  </si>
  <si>
    <t>2019-Q2-4</t>
  </si>
  <si>
    <t>2019-Q3-0</t>
  </si>
  <si>
    <t>2019-Q3-1</t>
  </si>
  <si>
    <t>2019-Q3-2</t>
  </si>
  <si>
    <t>2019-Q3-3</t>
  </si>
  <si>
    <t>2019-Q3-4</t>
  </si>
  <si>
    <t>2019-Q4-0</t>
  </si>
  <si>
    <t>2019-Q4-1</t>
  </si>
  <si>
    <t>2019-Q4-2</t>
  </si>
  <si>
    <t>2019-Q4-3</t>
  </si>
  <si>
    <t>2019-Q4-4</t>
  </si>
  <si>
    <t>2019-Q5-0</t>
  </si>
  <si>
    <t>2019-Q5-1</t>
  </si>
  <si>
    <t>2019-Q5-2</t>
  </si>
  <si>
    <t>2019-Q5-3</t>
  </si>
  <si>
    <t>2019-Q5-4</t>
  </si>
  <si>
    <t>2019-Q6-0</t>
  </si>
  <si>
    <t>2019-Q6-1</t>
  </si>
  <si>
    <t>2019-Q6-2</t>
  </si>
  <si>
    <t>2019-Q6-3</t>
  </si>
  <si>
    <t>2019-Q6-4</t>
  </si>
  <si>
    <t>2019-Q7-0</t>
  </si>
  <si>
    <t>2019-Q7-1</t>
  </si>
  <si>
    <t>2019-Q7-2</t>
  </si>
  <si>
    <t>2019-Q7-3</t>
  </si>
  <si>
    <t>2019-Q7-4</t>
  </si>
  <si>
    <t>2019-Q8-0</t>
  </si>
  <si>
    <t>2019-Q8-1</t>
  </si>
  <si>
    <t>2019-Q8-2</t>
  </si>
  <si>
    <t>2019-Q8-3</t>
  </si>
  <si>
    <t>2019-Q8-4</t>
  </si>
  <si>
    <t>2019-Q9-0</t>
  </si>
  <si>
    <t>2019-Q9-1</t>
  </si>
  <si>
    <t>2019-Q9-2</t>
  </si>
  <si>
    <t>2019-Q9-3</t>
  </si>
  <si>
    <t>2019-Q9-4</t>
  </si>
  <si>
    <t>2019-Q10-0</t>
  </si>
  <si>
    <t>2019-Q10-1</t>
  </si>
  <si>
    <t>2019-Q10-2</t>
  </si>
  <si>
    <t>2019-Q10-3</t>
  </si>
  <si>
    <t>2019-Q10-4</t>
  </si>
  <si>
    <t>2019-Q11-0</t>
  </si>
  <si>
    <t>2019-Q11-1</t>
  </si>
  <si>
    <t>2019-Q11-2</t>
  </si>
  <si>
    <t>2019-Q11-3</t>
  </si>
  <si>
    <t>2019-Q11-4</t>
  </si>
  <si>
    <t>2019-Q12-0</t>
  </si>
  <si>
    <t>2019-Q12-1</t>
  </si>
  <si>
    <t>2019-Q12-2</t>
  </si>
  <si>
    <t>2019-Q12-3</t>
  </si>
  <si>
    <t>2019-Q12-4</t>
  </si>
  <si>
    <t>2019-Q13-ABERTA</t>
  </si>
  <si>
    <t>2019-Q14-ABERTA</t>
  </si>
  <si>
    <t>2019-Q15-ABERTA</t>
  </si>
  <si>
    <t>2020-Q1-0</t>
  </si>
  <si>
    <t>2020-Q1-1</t>
  </si>
  <si>
    <t>2020-Q1-2</t>
  </si>
  <si>
    <t>2020-Q1-3</t>
  </si>
  <si>
    <t>2020-Q1-4</t>
  </si>
  <si>
    <t>2020-Q2-0</t>
  </si>
  <si>
    <t>2020-Q2-1</t>
  </si>
  <si>
    <t>2020-Q2-2</t>
  </si>
  <si>
    <t>2020-Q2-3</t>
  </si>
  <si>
    <t>2020-Q2-4</t>
  </si>
  <si>
    <t>2020-Q3-0</t>
  </si>
  <si>
    <t>2020-Q3-1</t>
  </si>
  <si>
    <t>2020-Q3-2</t>
  </si>
  <si>
    <t>2020-Q3-3</t>
  </si>
  <si>
    <t>2020-Q3-4</t>
  </si>
  <si>
    <t>2020-Q4-0</t>
  </si>
  <si>
    <t>2020-Q4-1</t>
  </si>
  <si>
    <t>2020-Q4-2</t>
  </si>
  <si>
    <t>2020-Q4-3</t>
  </si>
  <si>
    <t>2020-Q4-4</t>
  </si>
  <si>
    <t>2020-Q5-0</t>
  </si>
  <si>
    <t>2020-Q5-1</t>
  </si>
  <si>
    <t>2020-Q5-2</t>
  </si>
  <si>
    <t>2020-Q5-3</t>
  </si>
  <si>
    <t>2020-Q5-4</t>
  </si>
  <si>
    <t>2020-Q6-0</t>
  </si>
  <si>
    <t>2020-Q6-1</t>
  </si>
  <si>
    <t>2020-Q6-2</t>
  </si>
  <si>
    <t>2020-Q6-3</t>
  </si>
  <si>
    <t>2020-Q6-4</t>
  </si>
  <si>
    <t>2020-Q7-0</t>
  </si>
  <si>
    <t>2020-Q7-1</t>
  </si>
  <si>
    <t>2020-Q7-2</t>
  </si>
  <si>
    <t>2020-Q7-3</t>
  </si>
  <si>
    <t>2020-Q7-4</t>
  </si>
  <si>
    <t>2020-Q8-0</t>
  </si>
  <si>
    <t>2020-Q8-1</t>
  </si>
  <si>
    <t>2020-Q8-2</t>
  </si>
  <si>
    <t>2020-Q8-3</t>
  </si>
  <si>
    <t>2020-Q8-4</t>
  </si>
  <si>
    <t>2020-Q9-0</t>
  </si>
  <si>
    <t>2020-Q9-1</t>
  </si>
  <si>
    <t>2020-Q9-2</t>
  </si>
  <si>
    <t>2020-Q9-3</t>
  </si>
  <si>
    <t>2020-Q9-4</t>
  </si>
  <si>
    <t>2020-Q10-0</t>
  </si>
  <si>
    <t>2020-Q10-1</t>
  </si>
  <si>
    <t>2020-Q10-2</t>
  </si>
  <si>
    <t>2020-Q10-3</t>
  </si>
  <si>
    <t>2020-Q10-4</t>
  </si>
  <si>
    <t>2020-Q11-0</t>
  </si>
  <si>
    <t>2020-Q11-1</t>
  </si>
  <si>
    <t>2020-Q11-2</t>
  </si>
  <si>
    <t>2020-Q11-3</t>
  </si>
  <si>
    <t>2020-Q11-4</t>
  </si>
  <si>
    <t>2020-Q12-0</t>
  </si>
  <si>
    <t>2020-Q12-1</t>
  </si>
  <si>
    <t>2020-Q12-2</t>
  </si>
  <si>
    <t>2020-Q12-3</t>
  </si>
  <si>
    <t>2020-Q12-4</t>
  </si>
  <si>
    <t>2020-Q13-ABERTA</t>
  </si>
  <si>
    <t>2020-Q14-ABERTA</t>
  </si>
  <si>
    <t>2020-Q15-ABERTA</t>
  </si>
  <si>
    <t>2021-Q1-0</t>
  </si>
  <si>
    <t>2021-Q1-1</t>
  </si>
  <si>
    <t>2021-Q1-2</t>
  </si>
  <si>
    <t>2021-Q1-3</t>
  </si>
  <si>
    <t>2021-Q1-4</t>
  </si>
  <si>
    <t>2021-Q2-0</t>
  </si>
  <si>
    <t>2021-Q2-1</t>
  </si>
  <si>
    <t>2021-Q2-2</t>
  </si>
  <si>
    <t>2021-Q2-3</t>
  </si>
  <si>
    <t>2021-Q2-4</t>
  </si>
  <si>
    <t>2021-Q3-0</t>
  </si>
  <si>
    <t>2021-Q3-1</t>
  </si>
  <si>
    <t>2021-Q3-2</t>
  </si>
  <si>
    <t>2021-Q3-3</t>
  </si>
  <si>
    <t>2021-Q3-4</t>
  </si>
  <si>
    <t>2021-Q4-0</t>
  </si>
  <si>
    <t>2021-Q4-1</t>
  </si>
  <si>
    <t>2021-Q4-2</t>
  </si>
  <si>
    <t>2021-Q4-3</t>
  </si>
  <si>
    <t>2021-Q4-4</t>
  </si>
  <si>
    <t>2021-Q5-0</t>
  </si>
  <si>
    <t>2021-Q5-1</t>
  </si>
  <si>
    <t>2021-Q5-2</t>
  </si>
  <si>
    <t>2021-Q5-3</t>
  </si>
  <si>
    <t>2021-Q5-4</t>
  </si>
  <si>
    <t>2021-Q6-0</t>
  </si>
  <si>
    <t>2021-Q6-1</t>
  </si>
  <si>
    <t>2021-Q6-2</t>
  </si>
  <si>
    <t>2021-Q6-3</t>
  </si>
  <si>
    <t>2021-Q6-4</t>
  </si>
  <si>
    <t>2021-Q7-0</t>
  </si>
  <si>
    <t>2021-Q7-1</t>
  </si>
  <si>
    <t>2021-Q7-2</t>
  </si>
  <si>
    <t>2021-Q7-3</t>
  </si>
  <si>
    <t>2021-Q7-4</t>
  </si>
  <si>
    <t>2021-Q8-ABERTA</t>
  </si>
  <si>
    <t>2021-Q9-0</t>
  </si>
  <si>
    <t>2021-Q9-1</t>
  </si>
  <si>
    <t>2021-Q9-2</t>
  </si>
  <si>
    <t>2021-Q9-3</t>
  </si>
  <si>
    <t>2021-Q9-4</t>
  </si>
  <si>
    <t>2021-Q10-0</t>
  </si>
  <si>
    <t>2021-Q10-1</t>
  </si>
  <si>
    <t>2021-Q10-2</t>
  </si>
  <si>
    <t>2021-Q10-3</t>
  </si>
  <si>
    <t>2021-Q10-4</t>
  </si>
  <si>
    <t>2021-Q11-0</t>
  </si>
  <si>
    <t>2021-Q11-1</t>
  </si>
  <si>
    <t>2021-Q11-2</t>
  </si>
  <si>
    <t>2021-Q11-3</t>
  </si>
  <si>
    <t>2021-Q11-4</t>
  </si>
  <si>
    <t>2021-Q12-ABERTA</t>
  </si>
  <si>
    <t>2021-Q13-0</t>
  </si>
  <si>
    <t>2021-Q13-1</t>
  </si>
  <si>
    <t>2021-Q13-2</t>
  </si>
  <si>
    <t>2021-Q13-3</t>
  </si>
  <si>
    <t>2021-Q13-4</t>
  </si>
  <si>
    <t>2021-Q14-ABERTA</t>
  </si>
  <si>
    <t>2021-Q15-ABERTA</t>
  </si>
  <si>
    <t>2022-Q1-0</t>
  </si>
  <si>
    <t>2022-Q1-1</t>
  </si>
  <si>
    <t>2022-Q1-2</t>
  </si>
  <si>
    <t>2022-Q1-3</t>
  </si>
  <si>
    <t>2022-Q1-4</t>
  </si>
  <si>
    <t>2022-Q2-0</t>
  </si>
  <si>
    <t>2022-Q2-1</t>
  </si>
  <si>
    <t>2022-Q2-2</t>
  </si>
  <si>
    <t>2022-Q2-3</t>
  </si>
  <si>
    <t>2022-Q2-4</t>
  </si>
  <si>
    <t>2022-Q3-0</t>
  </si>
  <si>
    <t>2022-Q3-1</t>
  </si>
  <si>
    <t>2022-Q3-2</t>
  </si>
  <si>
    <t>2022-Q3-3</t>
  </si>
  <si>
    <t>2022-Q3-4</t>
  </si>
  <si>
    <t>2022-Q4-0</t>
  </si>
  <si>
    <t>2022-Q4-1</t>
  </si>
  <si>
    <t>2022-Q4-2</t>
  </si>
  <si>
    <t>2022-Q4-3</t>
  </si>
  <si>
    <t>2022-Q4-4</t>
  </si>
  <si>
    <t>2022-Q5-ABERTA</t>
  </si>
  <si>
    <t>2022-Q6-0</t>
  </si>
  <si>
    <t>2022-Q6-1</t>
  </si>
  <si>
    <t>2022-Q6-2</t>
  </si>
  <si>
    <t>2022-Q6-3</t>
  </si>
  <si>
    <t>2022-Q6-4</t>
  </si>
  <si>
    <t>2022-Q7-ABERTA</t>
  </si>
  <si>
    <t>2022-Q8-0</t>
  </si>
  <si>
    <t>2022-Q8-1</t>
  </si>
  <si>
    <t>2022-Q8-2</t>
  </si>
  <si>
    <t>2022-Q8-3</t>
  </si>
  <si>
    <t>2022-Q8-4</t>
  </si>
  <si>
    <t>2022-Q9-0</t>
  </si>
  <si>
    <t>2022-Q9-1</t>
  </si>
  <si>
    <t>2022-Q9-2</t>
  </si>
  <si>
    <t>2022-Q9-3</t>
  </si>
  <si>
    <t>2022-Q9-4</t>
  </si>
  <si>
    <t>2022-Q10-0</t>
  </si>
  <si>
    <t>2022-Q10-1</t>
  </si>
  <si>
    <t>2022-Q10-2</t>
  </si>
  <si>
    <t>2022-Q10-3</t>
  </si>
  <si>
    <t>2022-Q10-4</t>
  </si>
  <si>
    <t>2022-Q11-0</t>
  </si>
  <si>
    <t>2022-Q11-1</t>
  </si>
  <si>
    <t>2022-Q11-2</t>
  </si>
  <si>
    <t>2022-Q11-3</t>
  </si>
  <si>
    <t>2022-Q11-4</t>
  </si>
  <si>
    <t>2022-Q12-0</t>
  </si>
  <si>
    <t>2022-Q12-1</t>
  </si>
  <si>
    <t>2022-Q12-2</t>
  </si>
  <si>
    <t>2022-Q12-3</t>
  </si>
  <si>
    <t>2022-Q12-4</t>
  </si>
  <si>
    <t>2022-Q13-ABERTA</t>
  </si>
  <si>
    <t>2022-Q14-0</t>
  </si>
  <si>
    <t>2022-Q14-1</t>
  </si>
  <si>
    <t>2022-Q14-2</t>
  </si>
  <si>
    <t>2022-Q14-3</t>
  </si>
  <si>
    <t>2022-Q14-4</t>
  </si>
  <si>
    <t>2022-Q15-ABERTA</t>
  </si>
  <si>
    <t>2023-Q1-0</t>
  </si>
  <si>
    <t>2023-Q1-1</t>
  </si>
  <si>
    <t>2023-Q1-2</t>
  </si>
  <si>
    <t>2023-Q1-3</t>
  </si>
  <si>
    <t>2023-Q1-4</t>
  </si>
  <si>
    <t>2023-Q2-ABERTA</t>
  </si>
  <si>
    <t>2023-Q3-ABERTA</t>
  </si>
  <si>
    <t>2023-Q4-0</t>
  </si>
  <si>
    <t>2023-Q4-1</t>
  </si>
  <si>
    <t>2023-Q4-2</t>
  </si>
  <si>
    <t>2023-Q4-3</t>
  </si>
  <si>
    <t>2023-Q4-4</t>
  </si>
  <si>
    <t>2023-Q5-ABERTA</t>
  </si>
  <si>
    <t>2023-Q6-0</t>
  </si>
  <si>
    <t>2023-Q6-1</t>
  </si>
  <si>
    <t>2023-Q6-2</t>
  </si>
  <si>
    <t>2023-Q6-3</t>
  </si>
  <si>
    <t>2023-Q6-4</t>
  </si>
  <si>
    <t>2023-Q7-0</t>
  </si>
  <si>
    <t>2023-Q7-1</t>
  </si>
  <si>
    <t>2023-Q7-2</t>
  </si>
  <si>
    <t>2023-Q7-3</t>
  </si>
  <si>
    <t>2023-Q7-4</t>
  </si>
  <si>
    <t>2023-Q8-0</t>
  </si>
  <si>
    <t>2023-Q8-1</t>
  </si>
  <si>
    <t>2023-Q8-2</t>
  </si>
  <si>
    <t>2023-Q8-3</t>
  </si>
  <si>
    <t>2023-Q8-4</t>
  </si>
  <si>
    <t>2023-Q9-0</t>
  </si>
  <si>
    <t>2023-Q9-1</t>
  </si>
  <si>
    <t>2023-Q9-2</t>
  </si>
  <si>
    <t>2023-Q9-3</t>
  </si>
  <si>
    <t>2023-Q9-4</t>
  </si>
  <si>
    <t>2023-Q10-0</t>
  </si>
  <si>
    <t>2023-Q10-1</t>
  </si>
  <si>
    <t>2023-Q10-2</t>
  </si>
  <si>
    <t>2023-Q10-3</t>
  </si>
  <si>
    <t>2023-Q10-4</t>
  </si>
  <si>
    <t>2023-Q11-0</t>
  </si>
  <si>
    <t>2023-Q11-1</t>
  </si>
  <si>
    <t>2023-Q11-2</t>
  </si>
  <si>
    <t>2023-Q11-3</t>
  </si>
  <si>
    <t>2023-Q11-4</t>
  </si>
  <si>
    <t>2023-Q12-0</t>
  </si>
  <si>
    <t>2023-Q12-1</t>
  </si>
  <si>
    <t>2023-Q12-2</t>
  </si>
  <si>
    <t>2023-Q12-3</t>
  </si>
  <si>
    <t>2023-Q12-4</t>
  </si>
  <si>
    <t>2023-Q13-0</t>
  </si>
  <si>
    <t>2023-Q13-1</t>
  </si>
  <si>
    <t>2023-Q13-2</t>
  </si>
  <si>
    <t>2023-Q13-3</t>
  </si>
  <si>
    <t>2023-Q13-4</t>
  </si>
  <si>
    <t>2023-Q14-0</t>
  </si>
  <si>
    <t>2023-Q14-1</t>
  </si>
  <si>
    <t>2023-Q14-2</t>
  </si>
  <si>
    <t>2023-Q14-3</t>
  </si>
  <si>
    <t>2023-Q14-4</t>
  </si>
  <si>
    <t>2023-Q15-0</t>
  </si>
  <si>
    <t>2023-Q15-1</t>
  </si>
  <si>
    <t>2023-Q15-2</t>
  </si>
  <si>
    <t>2023-Q15-3</t>
  </si>
  <si>
    <t>2023-Q15-4</t>
  </si>
  <si>
    <t>2024-Q1-ABERTA</t>
  </si>
  <si>
    <t>2024-Q2-0</t>
  </si>
  <si>
    <t>2024-Q2-1</t>
  </si>
  <si>
    <t>2024-Q2-2</t>
  </si>
  <si>
    <t>2024-Q2-3</t>
  </si>
  <si>
    <t>2024-Q2-4</t>
  </si>
  <si>
    <t>2024-Q3-0</t>
  </si>
  <si>
    <t>2024-Q3-1</t>
  </si>
  <si>
    <t>2024-Q3-2</t>
  </si>
  <si>
    <t>2024-Q3-3</t>
  </si>
  <si>
    <t>2024-Q3-4</t>
  </si>
  <si>
    <t>2024-Q4-0</t>
  </si>
  <si>
    <t>2024-Q4-1</t>
  </si>
  <si>
    <t>2024-Q4-2</t>
  </si>
  <si>
    <t>2024-Q4-3</t>
  </si>
  <si>
    <t>2024-Q4-4</t>
  </si>
  <si>
    <t>2024-Q5-ABERTA</t>
  </si>
  <si>
    <t>2024-Q6-0</t>
  </si>
  <si>
    <t>2024-Q6-1</t>
  </si>
  <si>
    <t>2024-Q6-2</t>
  </si>
  <si>
    <t>2024-Q6-3</t>
  </si>
  <si>
    <t>2024-Q6-4</t>
  </si>
  <si>
    <t>2024-Q7-ABERTA</t>
  </si>
  <si>
    <t>2024-Q8-0</t>
  </si>
  <si>
    <t>2024-Q8-1</t>
  </si>
  <si>
    <t>2024-Q8-2</t>
  </si>
  <si>
    <t>2024-Q8-3</t>
  </si>
  <si>
    <t>2024-Q8-4</t>
  </si>
  <si>
    <t>2024-Q9-0</t>
  </si>
  <si>
    <t>2024-Q9-1</t>
  </si>
  <si>
    <t>2024-Q9-2</t>
  </si>
  <si>
    <t>2024-Q9-3</t>
  </si>
  <si>
    <t>2024-Q9-4</t>
  </si>
  <si>
    <t>2024-Q10-0</t>
  </si>
  <si>
    <t>2024-Q10-1</t>
  </si>
  <si>
    <t>2024-Q10-2</t>
  </si>
  <si>
    <t>2024-Q10-3</t>
  </si>
  <si>
    <t>2024-Q10-4</t>
  </si>
  <si>
    <t>2025-Q1-0</t>
  </si>
  <si>
    <t>2025-Q1-1</t>
  </si>
  <si>
    <t>2025-Q1-2</t>
  </si>
  <si>
    <t>2025-Q1-3</t>
  </si>
  <si>
    <t>2025-Q1-4</t>
  </si>
  <si>
    <t>2025-Q2-0</t>
  </si>
  <si>
    <t>2025-Q2-1</t>
  </si>
  <si>
    <t>2025-Q2-2</t>
  </si>
  <si>
    <t>2025-Q2-3</t>
  </si>
  <si>
    <t>2025-Q2-4</t>
  </si>
  <si>
    <t>2025-Q3-0</t>
  </si>
  <si>
    <t>2025-Q3-1</t>
  </si>
  <si>
    <t>2025-Q3-2</t>
  </si>
  <si>
    <t>2025-Q3-3</t>
  </si>
  <si>
    <t>2025-Q3-4</t>
  </si>
  <si>
    <t>2025-Q4-0</t>
  </si>
  <si>
    <t>2025-Q4-1</t>
  </si>
  <si>
    <t>2025-Q4-2</t>
  </si>
  <si>
    <t>2025-Q4-3</t>
  </si>
  <si>
    <t>2025-Q4-4</t>
  </si>
  <si>
    <t>2025-Q5-0</t>
  </si>
  <si>
    <t>2025-Q5-1</t>
  </si>
  <si>
    <t>2025-Q5-2</t>
  </si>
  <si>
    <t>2025-Q5-3</t>
  </si>
  <si>
    <t>2025-Q5-4</t>
  </si>
  <si>
    <t>2025-Q6-0</t>
  </si>
  <si>
    <t>2025-Q6-1</t>
  </si>
  <si>
    <t>2025-Q6-2</t>
  </si>
  <si>
    <t>2025-Q6-3</t>
  </si>
  <si>
    <t>2025-Q6-4</t>
  </si>
  <si>
    <t>2025-Q7-0</t>
  </si>
  <si>
    <t>2025-Q7-1</t>
  </si>
  <si>
    <t>2025-Q7-2</t>
  </si>
  <si>
    <t>2025-Q7-3</t>
  </si>
  <si>
    <t>2025-Q7-4</t>
  </si>
  <si>
    <t>2025-Q8-0</t>
  </si>
  <si>
    <t>2025-Q8-1</t>
  </si>
  <si>
    <t>2025-Q8-2</t>
  </si>
  <si>
    <t>2025-Q8-3</t>
  </si>
  <si>
    <t>2025-Q8-4</t>
  </si>
  <si>
    <t>2025-Q9-0</t>
  </si>
  <si>
    <t>2025-Q9-1</t>
  </si>
  <si>
    <t>2025-Q9-2</t>
  </si>
  <si>
    <t>2025-Q9-3</t>
  </si>
  <si>
    <t>2025-Q9-4</t>
  </si>
  <si>
    <t>2025-Q10-ABERTA</t>
  </si>
  <si>
    <t>2026-Q1-0</t>
  </si>
  <si>
    <t>2026-Q1-1</t>
  </si>
  <si>
    <t>2026-Q1-2</t>
  </si>
  <si>
    <t>2026-Q1-3</t>
  </si>
  <si>
    <t>2026-Q1-4</t>
  </si>
  <si>
    <t>2026-Q2-0</t>
  </si>
  <si>
    <t>2026-Q2-1</t>
  </si>
  <si>
    <t>2026-Q2-2</t>
  </si>
  <si>
    <t>2026-Q2-3</t>
  </si>
  <si>
    <t>2026-Q2-4</t>
  </si>
  <si>
    <t>2026-Q3-ABERTA</t>
  </si>
  <si>
    <t>2026-Q4-0</t>
  </si>
  <si>
    <t>2026-Q4-1</t>
  </si>
  <si>
    <t>2026-Q4-2</t>
  </si>
  <si>
    <t>2026-Q4-3</t>
  </si>
  <si>
    <t>2026-Q4-4</t>
  </si>
  <si>
    <t>2026-Q5-0</t>
  </si>
  <si>
    <t>2026-Q5-1</t>
  </si>
  <si>
    <t>2026-Q5-2</t>
  </si>
  <si>
    <t>2026-Q5-3</t>
  </si>
  <si>
    <t>2026-Q5-4</t>
  </si>
  <si>
    <t>2026-Q6-0</t>
  </si>
  <si>
    <t>2026-Q6-1</t>
  </si>
  <si>
    <t>2026-Q6-2</t>
  </si>
  <si>
    <t>2026-Q6-3</t>
  </si>
  <si>
    <t>2026-Q6-4</t>
  </si>
  <si>
    <t>2026-Q7-ABERTA</t>
  </si>
  <si>
    <t>2026-Q8-0</t>
  </si>
  <si>
    <t>2026-Q8-1</t>
  </si>
  <si>
    <t>2026-Q8-2</t>
  </si>
  <si>
    <t>2026-Q8-3</t>
  </si>
  <si>
    <t>2026-Q8-4</t>
  </si>
  <si>
    <t>2026-Q9-0</t>
  </si>
  <si>
    <t>2026-Q9-1</t>
  </si>
  <si>
    <t>2026-Q9-2</t>
  </si>
  <si>
    <t>2026-Q9-3</t>
  </si>
  <si>
    <t>2026-Q9-4</t>
  </si>
  <si>
    <t>2026-Q10-0</t>
  </si>
  <si>
    <t>2026-Q10-1</t>
  </si>
  <si>
    <t>2026-Q10-2</t>
  </si>
  <si>
    <t>2026-Q10-3</t>
  </si>
  <si>
    <t>2026-Q10-4</t>
  </si>
  <si>
    <t>Não</t>
  </si>
  <si>
    <t>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</si>
</sst>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name val="Carlito"/>
    </font>
    <font>
      <b/>
      <sz val="14"/>
      <color rgb="FFFFFFFF"/>
      <name val="Carlito"/>
    </font>
    <font>
      <b/>
      <sz val="11"/>
      <color rgb="FFFFFFFF"/>
      <name val="Carlito"/>
    </font>
    <font>
      <b/>
      <sz val="11"/>
      <name val="Carlito"/>
    </font>
    <font>
      <i/>
      <sz val="11"/>
      <color rgb="FF1F4E78"/>
      <name val="Carlito"/>
    </font>
    <font>
      <b/>
      <sz val="11"/>
      <color rgb="FF274E13"/>
      <name val="Carlito"/>
    </font>
    <font>
      <b/>
      <sz val="15"/>
      <color rgb="FFFFFFFF"/>
      <name val="Carlito"/>
    </font>
    <font>
      <b/>
      <sz val="11"/>
      <color rgb="FF17365D"/>
      <name val="Carlito"/>
    </font>
    <font>
      <b/>
      <sz val="11"/>
      <color rgb="FF7F6000"/>
      <name val="Carlito"/>
    </font>
    <font>
      <i/>
      <sz val="11"/>
      <color rgb="FF666666"/>
      <name val="Carlito"/>
    </font>
    <font>
      <b/>
      <sz val="11"/>
      <color rgb="FFFFFFFF"/>
      <name val="Calibri"/>
    </font>
    <font>
      <sz val="11"/>
      <name val="Calibri"/>
    </font>
    <font>
      <b/>
      <sz val="11"/>
      <name val="Calibri"/>
    </font>
    <font>
      <b/>
      <sz val="11"/>
      <color rgb="FFFFFFFF"/>
      <name val="Calibri"/>
    </font>
    <font>
      <sz val="11"/>
      <name val="Carlito"/>
    </font>
  </fonts>
  <fills count="14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2F75B5"/>
      </patternFill>
    </fill>
    <fill>
      <patternFill patternType="solid">
        <fgColor rgb="FFD9EAF7"/>
      </patternFill>
    </fill>
    <fill>
      <patternFill patternType="solid">
        <fgColor rgb="FFFFF2CC"/>
      </patternFill>
    </fill>
    <fill>
      <patternFill patternType="solid">
        <fgColor rgb="FFEAF2F8"/>
      </patternFill>
    </fill>
    <fill>
      <patternFill patternType="solid">
        <fgColor rgb="FFD9EAD3"/>
      </patternFill>
    </fill>
    <fill>
      <patternFill patternType="solid">
        <fgColor rgb="FF5B9BD5"/>
      </patternFill>
    </fill>
    <fill>
      <patternFill patternType="solid">
        <fgColor rgb="FFA9D18E"/>
      </patternFill>
    </fill>
    <fill>
      <patternFill patternType="solid">
        <fgColor rgb="FF17365D"/>
      </patternFill>
    </fill>
    <fill>
      <patternFill patternType="solid">
        <fgColor rgb="FFDCE6F1"/>
      </patternFill>
    </fill>
    <fill>
      <patternFill patternType="solid">
        <fgColor rgb="FFFFFFFF"/>
      </patternFill>
    </fill>
    <fill>
      <patternFill patternType="solid">
        <fgColor rgb="FF17365D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1"/>
    <xf numFmtId="9" fontId="14" fillId="0" borderId="0" applyFont="0" applyFill="0" applyBorder="0" applyAlignment="0" applyProtection="0"/>
  </cellStyleXfs>
  <cellXfs count="38">
    <xf numFmtId="0" fontId="0" fillId="0" borderId="0" xfId="0" applyBorder="1"/>
    <xf numFmtId="0" fontId="2" fillId="3" borderId="0" xfId="0" applyFont="1" applyFill="1" applyBorder="1" applyAlignment="1">
      <alignment horizontal="center"/>
    </xf>
    <xf numFmtId="0" fontId="0" fillId="0" borderId="0" xfId="0" applyBorder="1" applyAlignment="1">
      <alignment wrapText="1"/>
    </xf>
    <xf numFmtId="0" fontId="3" fillId="4" borderId="0" xfId="0" applyFont="1" applyFill="1" applyBorder="1"/>
    <xf numFmtId="0" fontId="2" fillId="3" borderId="0" xfId="0" applyFont="1" applyFill="1" applyBorder="1" applyAlignment="1">
      <alignment horizontal="center" vertical="center" wrapText="1"/>
    </xf>
    <xf numFmtId="2" fontId="0" fillId="0" borderId="0" xfId="0" applyNumberFormat="1" applyBorder="1"/>
    <xf numFmtId="0" fontId="5" fillId="7" borderId="0" xfId="0" applyFont="1" applyFill="1" applyBorder="1"/>
    <xf numFmtId="2" fontId="5" fillId="7" borderId="0" xfId="0" applyNumberFormat="1" applyFont="1" applyFill="1" applyBorder="1"/>
    <xf numFmtId="0" fontId="7" fillId="0" borderId="0" xfId="0" applyFont="1" applyBorder="1"/>
    <xf numFmtId="0" fontId="8" fillId="5" borderId="0" xfId="0" applyFont="1" applyFill="1" applyBorder="1" applyAlignment="1">
      <alignment horizontal="center"/>
    </xf>
    <xf numFmtId="0" fontId="2" fillId="8" borderId="0" xfId="0" applyFont="1" applyFill="1" applyBorder="1"/>
    <xf numFmtId="0" fontId="7" fillId="9" borderId="0" xfId="0" applyFont="1" applyFill="1" applyBorder="1" applyAlignment="1">
      <alignment wrapText="1"/>
    </xf>
    <xf numFmtId="0" fontId="0" fillId="0" borderId="0" xfId="0" applyBorder="1" applyAlignment="1">
      <alignment vertical="top" wrapText="1"/>
    </xf>
    <xf numFmtId="0" fontId="10" fillId="10" borderId="0" xfId="0" applyFont="1" applyFill="1" applyBorder="1" applyAlignment="1">
      <alignment vertical="center" wrapText="1"/>
    </xf>
    <xf numFmtId="0" fontId="11" fillId="11" borderId="0" xfId="0" applyFont="1" applyFill="1" applyBorder="1" applyAlignment="1">
      <alignment vertical="center"/>
    </xf>
    <xf numFmtId="2" fontId="11" fillId="11" borderId="0" xfId="0" applyNumberFormat="1" applyFont="1" applyFill="1" applyBorder="1" applyAlignment="1">
      <alignment vertical="center"/>
    </xf>
    <xf numFmtId="0" fontId="11" fillId="12" borderId="0" xfId="0" applyFont="1" applyFill="1" applyBorder="1" applyAlignment="1">
      <alignment vertical="center"/>
    </xf>
    <xf numFmtId="2" fontId="11" fillId="12" borderId="0" xfId="0" applyNumberFormat="1" applyFont="1" applyFill="1" applyBorder="1" applyAlignment="1">
      <alignment vertical="center"/>
    </xf>
    <xf numFmtId="0" fontId="12" fillId="11" borderId="0" xfId="0" applyFont="1" applyFill="1" applyBorder="1" applyAlignment="1">
      <alignment vertical="center"/>
    </xf>
    <xf numFmtId="2" fontId="12" fillId="11" borderId="0" xfId="0" applyNumberFormat="1" applyFont="1" applyFill="1" applyBorder="1" applyAlignment="1">
      <alignment vertical="center"/>
    </xf>
    <xf numFmtId="0" fontId="0" fillId="0" borderId="0" xfId="0" applyBorder="1" applyAlignment="1">
      <alignment horizontal="center"/>
    </xf>
    <xf numFmtId="0" fontId="13" fillId="13" borderId="0" xfId="0" applyFont="1" applyFill="1" applyBorder="1" applyAlignment="1">
      <alignment vertical="center" wrapText="1"/>
    </xf>
    <xf numFmtId="0" fontId="1" fillId="2" borderId="1" xfId="0" applyFont="1" applyFill="1" applyAlignment="1">
      <alignment horizontal="center" vertical="center"/>
    </xf>
    <xf numFmtId="0" fontId="0" fillId="0" borderId="0" xfId="0" applyBorder="1"/>
    <xf numFmtId="0" fontId="1" fillId="2" borderId="1" xfId="0" applyFont="1" applyFill="1" applyAlignment="1">
      <alignment horizontal="center"/>
    </xf>
    <xf numFmtId="0" fontId="9" fillId="0" borderId="1" xfId="0" applyFont="1" applyAlignment="1">
      <alignment wrapText="1"/>
    </xf>
    <xf numFmtId="0" fontId="6" fillId="2" borderId="1" xfId="0" applyFont="1" applyFill="1" applyAlignment="1">
      <alignment horizontal="center"/>
    </xf>
    <xf numFmtId="0" fontId="13" fillId="13" borderId="1" xfId="0" applyFont="1" applyFill="1" applyAlignment="1">
      <alignment vertical="center" wrapText="1"/>
    </xf>
    <xf numFmtId="0" fontId="4" fillId="6" borderId="1" xfId="0" applyFont="1" applyFill="1" applyAlignment="1">
      <alignment wrapText="1"/>
    </xf>
    <xf numFmtId="0" fontId="10" fillId="10" borderId="1" xfId="0" applyFont="1" applyFill="1" applyAlignment="1">
      <alignment vertical="center" wrapText="1"/>
    </xf>
    <xf numFmtId="0" fontId="0" fillId="0" borderId="1" xfId="0" applyAlignment="1">
      <alignment wrapText="1"/>
    </xf>
    <xf numFmtId="0" fontId="0" fillId="0" borderId="1" xfId="0" applyBorder="1"/>
    <xf numFmtId="0" fontId="0" fillId="0" borderId="1" xfId="0" applyBorder="1"/>
    <xf numFmtId="2" fontId="0" fillId="0" borderId="1" xfId="0" applyNumberFormat="1" applyBorder="1"/>
    <xf numFmtId="0" fontId="13" fillId="13" borderId="1" xfId="0" applyFont="1" applyFill="1" applyBorder="1" applyAlignment="1">
      <alignment vertical="center" wrapText="1"/>
    </xf>
    <xf numFmtId="0" fontId="0" fillId="0" borderId="1" xfId="0" applyBorder="1" applyAlignment="1">
      <alignment horizontal="center"/>
    </xf>
    <xf numFmtId="0" fontId="2" fillId="8" borderId="1" xfId="0" applyFont="1" applyFill="1" applyBorder="1" applyAlignment="1">
      <alignment horizontal="center"/>
    </xf>
    <xf numFmtId="10" fontId="0" fillId="0" borderId="1" xfId="1" applyNumberFormat="1" applyFont="1" applyBorder="1"/>
  </cellXfs>
  <cellStyles count="2">
    <cellStyle name="Normal" xfId="0" builtinId="0"/>
    <cellStyle name="Porcentagem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pt-BR"/>
              <a:t>% Itens equivalentes por tópico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4472C4"/>
            </a:solidFill>
            <a:ln>
              <a:prstDash val="solid"/>
            </a:ln>
          </c:spPr>
          <c:invertIfNegative val="1"/>
          <c:cat>
            <c:strRef>
              <c:f>Dashboard!$A$7:$A$23</c:f>
              <c:strCache>
                <c:ptCount val="17"/>
                <c:pt idx="0">
                  <c:v>01 — Contas Nacionais</c:v>
                </c:pt>
                <c:pt idx="1">
                  <c:v>02 — Balanço de Pagamentos</c:v>
                </c:pt>
                <c:pt idx="2">
                  <c:v>03 — Sistema Monetário</c:v>
                </c:pt>
                <c:pt idx="3">
                  <c:v>04 — Demanda por Moeda</c:v>
                </c:pt>
                <c:pt idx="4">
                  <c:v>05 — IS-LM</c:v>
                </c:pt>
                <c:pt idx="5">
                  <c:v>06 — IS-LM-BP</c:v>
                </c:pt>
                <c:pt idx="6">
                  <c:v>07a — Paridades</c:v>
                </c:pt>
                <c:pt idx="7">
                  <c:v>07b — OA-DA</c:v>
                </c:pt>
                <c:pt idx="8">
                  <c:v>08 — Curva de Phillips</c:v>
                </c:pt>
                <c:pt idx="9">
                  <c:v>09 — Expectativas, Novos Clássicos e Novos Keynesianos</c:v>
                </c:pt>
                <c:pt idx="10">
                  <c:v>10 — Ciclos Reais de Negócios (RBC)</c:v>
                </c:pt>
                <c:pt idx="11">
                  <c:v>11 — Crescimento Econômico</c:v>
                </c:pt>
                <c:pt idx="12">
                  <c:v>12 — Consumo</c:v>
                </c:pt>
                <c:pt idx="13">
                  <c:v>13 — Investimento</c:v>
                </c:pt>
                <c:pt idx="14">
                  <c:v>14 — Dívida Pública e Senhoriagem</c:v>
                </c:pt>
                <c:pt idx="15">
                  <c:v>E1 — Mercados Financeiros</c:v>
                </c:pt>
                <c:pt idx="16">
                  <c:v>E2 — Demanda de Bens e Complementaridade</c:v>
                </c:pt>
              </c:strCache>
            </c:strRef>
          </c:cat>
          <c:val>
            <c:numRef>
              <c:f>Dashboard!$C$7:$C$23</c:f>
              <c:numCache>
                <c:formatCode>0.00%</c:formatCode>
                <c:ptCount val="17"/>
                <c:pt idx="0">
                  <c:v>0.08</c:v>
                </c:pt>
                <c:pt idx="1">
                  <c:v>0.1</c:v>
                </c:pt>
                <c:pt idx="2">
                  <c:v>0.05</c:v>
                </c:pt>
                <c:pt idx="3">
                  <c:v>0.05</c:v>
                </c:pt>
                <c:pt idx="4">
                  <c:v>0.05</c:v>
                </c:pt>
                <c:pt idx="5">
                  <c:v>0</c:v>
                </c:pt>
                <c:pt idx="6">
                  <c:v>0.1</c:v>
                </c:pt>
                <c:pt idx="7">
                  <c:v>0.04</c:v>
                </c:pt>
                <c:pt idx="8">
                  <c:v>0.03</c:v>
                </c:pt>
                <c:pt idx="9">
                  <c:v>0.24</c:v>
                </c:pt>
                <c:pt idx="10">
                  <c:v>0.02</c:v>
                </c:pt>
                <c:pt idx="11">
                  <c:v>0.1</c:v>
                </c:pt>
                <c:pt idx="12">
                  <c:v>0.04</c:v>
                </c:pt>
                <c:pt idx="13">
                  <c:v>0.04</c:v>
                </c:pt>
                <c:pt idx="14">
                  <c:v>0.06</c:v>
                </c:pt>
                <c:pt idx="15">
                  <c:v>0</c:v>
                </c:pt>
                <c:pt idx="16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34E4-44B4-8BCD-0CBD060351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pt-BR"/>
                  <a:t>Tópicos</a:t>
                </a:r>
              </a:p>
            </c:rich>
          </c:tx>
          <c:overlay val="1"/>
        </c:title>
        <c:numFmt formatCode="General" sourceLinked="0"/>
        <c:majorTickMark val="none"/>
        <c:minorTickMark val="none"/>
        <c:tickLblPos val="nextTo"/>
        <c:txPr>
          <a:bodyPr anchorCtr="1"/>
          <a:lstStyle/>
          <a:p>
            <a:pPr>
              <a:defRPr sz="600"/>
            </a:pPr>
            <a:endParaRPr lang="pt-BR"/>
          </a:p>
        </c:txPr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0" sourceLinked="0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pt-BR"/>
              <a:t>Histórico de quantidade de itens por tópico — 2010 a 2026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Dashboard!$V$5</c:f>
              <c:strCache>
                <c:ptCount val="1"/>
                <c:pt idx="0">
                  <c:v>01 — Contas Nacionais</c:v>
                </c:pt>
              </c:strCache>
            </c:strRef>
          </c:tx>
          <c:spPr>
            <a:ln w="23000">
              <a:solidFill>
                <a:srgbClr val="2563EB"/>
              </a:solidFill>
              <a:prstDash val="solid"/>
            </a:ln>
          </c:spPr>
          <c:marker>
            <c:symbol val="none"/>
          </c:marker>
          <c:cat>
            <c:numRef>
              <c:f>Dashboard!$U$6:$U$22</c:f>
              <c:numCache>
                <c:formatCode>General</c:formatCode>
                <c:ptCount val="17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  <c:pt idx="15">
                  <c:v>2025</c:v>
                </c:pt>
                <c:pt idx="16">
                  <c:v>2026</c:v>
                </c:pt>
              </c:numCache>
            </c:numRef>
          </c:cat>
          <c:val>
            <c:numRef>
              <c:f>Dashboard!$V$6:$V$22</c:f>
              <c:numCache>
                <c:formatCode>0.00</c:formatCode>
                <c:ptCount val="17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FDB-4573-8476-25E5A4E87B38}"/>
            </c:ext>
          </c:extLst>
        </c:ser>
        <c:ser>
          <c:idx val="1"/>
          <c:order val="1"/>
          <c:tx>
            <c:strRef>
              <c:f>Dashboard!$W$5</c:f>
              <c:strCache>
                <c:ptCount val="1"/>
                <c:pt idx="0">
                  <c:v>02 — Balanço de Pagamentos</c:v>
                </c:pt>
              </c:strCache>
            </c:strRef>
          </c:tx>
          <c:spPr>
            <a:ln w="23000">
              <a:solidFill>
                <a:srgbClr val="DC2626"/>
              </a:solidFill>
              <a:prstDash val="solid"/>
            </a:ln>
          </c:spPr>
          <c:marker>
            <c:symbol val="none"/>
          </c:marker>
          <c:cat>
            <c:numRef>
              <c:f>Dashboard!$U$6:$U$22</c:f>
              <c:numCache>
                <c:formatCode>General</c:formatCode>
                <c:ptCount val="17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  <c:pt idx="15">
                  <c:v>2025</c:v>
                </c:pt>
                <c:pt idx="16">
                  <c:v>2026</c:v>
                </c:pt>
              </c:numCache>
            </c:numRef>
          </c:cat>
          <c:val>
            <c:numRef>
              <c:f>Dashboard!$W$6:$W$22</c:f>
              <c:numCache>
                <c:formatCode>0.00</c:formatCode>
                <c:ptCount val="17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FDB-4573-8476-25E5A4E87B38}"/>
            </c:ext>
          </c:extLst>
        </c:ser>
        <c:ser>
          <c:idx val="2"/>
          <c:order val="2"/>
          <c:tx>
            <c:strRef>
              <c:f>Dashboard!$X$5</c:f>
              <c:strCache>
                <c:ptCount val="1"/>
                <c:pt idx="0">
                  <c:v>03 — Sistema Monetário</c:v>
                </c:pt>
              </c:strCache>
            </c:strRef>
          </c:tx>
          <c:spPr>
            <a:ln w="23000">
              <a:solidFill>
                <a:srgbClr val="059669"/>
              </a:solidFill>
              <a:prstDash val="solid"/>
            </a:ln>
          </c:spPr>
          <c:marker>
            <c:symbol val="none"/>
          </c:marker>
          <c:cat>
            <c:numRef>
              <c:f>Dashboard!$U$6:$U$22</c:f>
              <c:numCache>
                <c:formatCode>General</c:formatCode>
                <c:ptCount val="17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  <c:pt idx="15">
                  <c:v>2025</c:v>
                </c:pt>
                <c:pt idx="16">
                  <c:v>2026</c:v>
                </c:pt>
              </c:numCache>
            </c:numRef>
          </c:cat>
          <c:val>
            <c:numRef>
              <c:f>Dashboard!$X$6:$X$22</c:f>
              <c:numCache>
                <c:formatCode>0.00</c:formatCode>
                <c:ptCount val="17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FDB-4573-8476-25E5A4E87B38}"/>
            </c:ext>
          </c:extLst>
        </c:ser>
        <c:ser>
          <c:idx val="3"/>
          <c:order val="3"/>
          <c:tx>
            <c:strRef>
              <c:f>Dashboard!$Y$5</c:f>
              <c:strCache>
                <c:ptCount val="1"/>
                <c:pt idx="0">
                  <c:v>04 — Demanda por Moeda</c:v>
                </c:pt>
              </c:strCache>
            </c:strRef>
          </c:tx>
          <c:spPr>
            <a:ln w="23000">
              <a:solidFill>
                <a:srgbClr val="9333EA"/>
              </a:solidFill>
              <a:prstDash val="solid"/>
            </a:ln>
          </c:spPr>
          <c:marker>
            <c:symbol val="none"/>
          </c:marker>
          <c:cat>
            <c:numRef>
              <c:f>Dashboard!$U$6:$U$22</c:f>
              <c:numCache>
                <c:formatCode>General</c:formatCode>
                <c:ptCount val="17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  <c:pt idx="15">
                  <c:v>2025</c:v>
                </c:pt>
                <c:pt idx="16">
                  <c:v>2026</c:v>
                </c:pt>
              </c:numCache>
            </c:numRef>
          </c:cat>
          <c:val>
            <c:numRef>
              <c:f>Dashboard!$Y$6:$Y$22</c:f>
              <c:numCache>
                <c:formatCode>0.00</c:formatCode>
                <c:ptCount val="17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FDB-4573-8476-25E5A4E87B38}"/>
            </c:ext>
          </c:extLst>
        </c:ser>
        <c:ser>
          <c:idx val="4"/>
          <c:order val="4"/>
          <c:tx>
            <c:strRef>
              <c:f>Dashboard!$Z$5</c:f>
              <c:strCache>
                <c:ptCount val="1"/>
                <c:pt idx="0">
                  <c:v>05 — IS-LM</c:v>
                </c:pt>
              </c:strCache>
            </c:strRef>
          </c:tx>
          <c:spPr>
            <a:ln w="23000">
              <a:solidFill>
                <a:srgbClr val="EA580C"/>
              </a:solidFill>
              <a:prstDash val="solid"/>
            </a:ln>
          </c:spPr>
          <c:marker>
            <c:symbol val="none"/>
          </c:marker>
          <c:cat>
            <c:numRef>
              <c:f>Dashboard!$U$6:$U$22</c:f>
              <c:numCache>
                <c:formatCode>General</c:formatCode>
                <c:ptCount val="17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  <c:pt idx="15">
                  <c:v>2025</c:v>
                </c:pt>
                <c:pt idx="16">
                  <c:v>2026</c:v>
                </c:pt>
              </c:numCache>
            </c:numRef>
          </c:cat>
          <c:val>
            <c:numRef>
              <c:f>Dashboard!$Z$6:$Z$22</c:f>
              <c:numCache>
                <c:formatCode>0.00</c:formatCode>
                <c:ptCount val="17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FDB-4573-8476-25E5A4E87B38}"/>
            </c:ext>
          </c:extLst>
        </c:ser>
        <c:ser>
          <c:idx val="5"/>
          <c:order val="5"/>
          <c:tx>
            <c:strRef>
              <c:f>Dashboard!$AA$5</c:f>
              <c:strCache>
                <c:ptCount val="1"/>
                <c:pt idx="0">
                  <c:v>06 — IS-LM-BP</c:v>
                </c:pt>
              </c:strCache>
            </c:strRef>
          </c:tx>
          <c:spPr>
            <a:ln w="23000">
              <a:solidFill>
                <a:srgbClr val="0891B2"/>
              </a:solidFill>
              <a:prstDash val="solid"/>
            </a:ln>
          </c:spPr>
          <c:marker>
            <c:symbol val="none"/>
          </c:marker>
          <c:cat>
            <c:numRef>
              <c:f>Dashboard!$U$6:$U$22</c:f>
              <c:numCache>
                <c:formatCode>General</c:formatCode>
                <c:ptCount val="17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  <c:pt idx="15">
                  <c:v>2025</c:v>
                </c:pt>
                <c:pt idx="16">
                  <c:v>2026</c:v>
                </c:pt>
              </c:numCache>
            </c:numRef>
          </c:cat>
          <c:val>
            <c:numRef>
              <c:f>Dashboard!$AA$6:$AA$22</c:f>
              <c:numCache>
                <c:formatCode>0.00</c:formatCode>
                <c:ptCount val="17"/>
                <c:pt idx="0">
                  <c:v>7</c:v>
                </c:pt>
                <c:pt idx="1">
                  <c:v>5</c:v>
                </c:pt>
                <c:pt idx="2">
                  <c:v>15</c:v>
                </c:pt>
                <c:pt idx="3">
                  <c:v>5</c:v>
                </c:pt>
                <c:pt idx="4">
                  <c:v>6</c:v>
                </c:pt>
                <c:pt idx="5">
                  <c:v>5</c:v>
                </c:pt>
                <c:pt idx="6">
                  <c:v>4.5</c:v>
                </c:pt>
                <c:pt idx="7">
                  <c:v>10</c:v>
                </c:pt>
                <c:pt idx="8">
                  <c:v>10</c:v>
                </c:pt>
                <c:pt idx="9">
                  <c:v>10</c:v>
                </c:pt>
                <c:pt idx="10">
                  <c:v>5</c:v>
                </c:pt>
                <c:pt idx="11">
                  <c:v>10</c:v>
                </c:pt>
                <c:pt idx="12">
                  <c:v>8</c:v>
                </c:pt>
                <c:pt idx="13">
                  <c:v>11</c:v>
                </c:pt>
                <c:pt idx="14">
                  <c:v>8</c:v>
                </c:pt>
                <c:pt idx="15">
                  <c:v>0</c:v>
                </c:pt>
                <c:pt idx="1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DFDB-4573-8476-25E5A4E87B38}"/>
            </c:ext>
          </c:extLst>
        </c:ser>
        <c:ser>
          <c:idx val="6"/>
          <c:order val="6"/>
          <c:tx>
            <c:strRef>
              <c:f>Dashboard!$AB$5</c:f>
              <c:strCache>
                <c:ptCount val="1"/>
                <c:pt idx="0">
                  <c:v>07a — Paridades</c:v>
                </c:pt>
              </c:strCache>
            </c:strRef>
          </c:tx>
          <c:spPr>
            <a:ln w="23000">
              <a:solidFill>
                <a:srgbClr val="BE185D"/>
              </a:solidFill>
              <a:prstDash val="solid"/>
            </a:ln>
          </c:spPr>
          <c:marker>
            <c:symbol val="none"/>
          </c:marker>
          <c:cat>
            <c:numRef>
              <c:f>Dashboard!$U$6:$U$22</c:f>
              <c:numCache>
                <c:formatCode>General</c:formatCode>
                <c:ptCount val="17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  <c:pt idx="15">
                  <c:v>2025</c:v>
                </c:pt>
                <c:pt idx="16">
                  <c:v>2026</c:v>
                </c:pt>
              </c:numCache>
            </c:numRef>
          </c:cat>
          <c:val>
            <c:numRef>
              <c:f>Dashboard!$AB$6:$AB$22</c:f>
              <c:numCache>
                <c:formatCode>0.00</c:formatCode>
                <c:ptCount val="17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DFDB-4573-8476-25E5A4E87B38}"/>
            </c:ext>
          </c:extLst>
        </c:ser>
        <c:ser>
          <c:idx val="7"/>
          <c:order val="7"/>
          <c:tx>
            <c:strRef>
              <c:f>Dashboard!$AC$5</c:f>
              <c:strCache>
                <c:ptCount val="1"/>
                <c:pt idx="0">
                  <c:v>07b — OA-DA</c:v>
                </c:pt>
              </c:strCache>
            </c:strRef>
          </c:tx>
          <c:spPr>
            <a:ln w="23000">
              <a:solidFill>
                <a:srgbClr val="4D7C0F"/>
              </a:solidFill>
              <a:prstDash val="solid"/>
            </a:ln>
          </c:spPr>
          <c:marker>
            <c:symbol val="none"/>
          </c:marker>
          <c:cat>
            <c:numRef>
              <c:f>Dashboard!$U$6:$U$22</c:f>
              <c:numCache>
                <c:formatCode>General</c:formatCode>
                <c:ptCount val="17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  <c:pt idx="15">
                  <c:v>2025</c:v>
                </c:pt>
                <c:pt idx="16">
                  <c:v>2026</c:v>
                </c:pt>
              </c:numCache>
            </c:numRef>
          </c:cat>
          <c:val>
            <c:numRef>
              <c:f>Dashboard!$AC$6:$AC$22</c:f>
              <c:numCache>
                <c:formatCode>0.00</c:formatCode>
                <c:ptCount val="17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DFDB-4573-8476-25E5A4E87B38}"/>
            </c:ext>
          </c:extLst>
        </c:ser>
        <c:ser>
          <c:idx val="8"/>
          <c:order val="8"/>
          <c:tx>
            <c:strRef>
              <c:f>Dashboard!$AD$5</c:f>
              <c:strCache>
                <c:ptCount val="1"/>
                <c:pt idx="0">
                  <c:v>08 — Curva de Phillips</c:v>
                </c:pt>
              </c:strCache>
            </c:strRef>
          </c:tx>
          <c:spPr>
            <a:ln w="23000">
              <a:solidFill>
                <a:srgbClr val="4338CA"/>
              </a:solidFill>
              <a:prstDash val="solid"/>
            </a:ln>
          </c:spPr>
          <c:marker>
            <c:symbol val="none"/>
          </c:marker>
          <c:cat>
            <c:numRef>
              <c:f>Dashboard!$U$6:$U$22</c:f>
              <c:numCache>
                <c:formatCode>General</c:formatCode>
                <c:ptCount val="17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  <c:pt idx="15">
                  <c:v>2025</c:v>
                </c:pt>
                <c:pt idx="16">
                  <c:v>2026</c:v>
                </c:pt>
              </c:numCache>
            </c:numRef>
          </c:cat>
          <c:val>
            <c:numRef>
              <c:f>Dashboard!$AD$6:$AD$22</c:f>
              <c:numCache>
                <c:formatCode>0.00</c:formatCode>
                <c:ptCount val="17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DFDB-4573-8476-25E5A4E87B38}"/>
            </c:ext>
          </c:extLst>
        </c:ser>
        <c:ser>
          <c:idx val="9"/>
          <c:order val="9"/>
          <c:tx>
            <c:strRef>
              <c:f>Dashboard!$AE$5</c:f>
              <c:strCache>
                <c:ptCount val="1"/>
                <c:pt idx="0">
                  <c:v>09 — Expectativas, Novos Clássicos e Novos Keynesianos</c:v>
                </c:pt>
              </c:strCache>
            </c:strRef>
          </c:tx>
          <c:spPr>
            <a:ln w="23000">
              <a:solidFill>
                <a:srgbClr val="A16207"/>
              </a:solidFill>
              <a:prstDash val="solid"/>
            </a:ln>
          </c:spPr>
          <c:marker>
            <c:symbol val="none"/>
          </c:marker>
          <c:cat>
            <c:numRef>
              <c:f>Dashboard!$U$6:$U$22</c:f>
              <c:numCache>
                <c:formatCode>General</c:formatCode>
                <c:ptCount val="17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  <c:pt idx="15">
                  <c:v>2025</c:v>
                </c:pt>
                <c:pt idx="16">
                  <c:v>2026</c:v>
                </c:pt>
              </c:numCache>
            </c:numRef>
          </c:cat>
          <c:val>
            <c:numRef>
              <c:f>Dashboard!$AE$6:$AE$22</c:f>
              <c:numCache>
                <c:formatCode>0.00</c:formatCode>
                <c:ptCount val="17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DFDB-4573-8476-25E5A4E87B38}"/>
            </c:ext>
          </c:extLst>
        </c:ser>
        <c:ser>
          <c:idx val="10"/>
          <c:order val="10"/>
          <c:tx>
            <c:strRef>
              <c:f>Dashboard!$AF$5</c:f>
              <c:strCache>
                <c:ptCount val="1"/>
                <c:pt idx="0">
                  <c:v>10 — Ciclos Reais de Negócios (RBC)</c:v>
                </c:pt>
              </c:strCache>
            </c:strRef>
          </c:tx>
          <c:spPr>
            <a:ln w="23000">
              <a:solidFill>
                <a:srgbClr val="0F766E"/>
              </a:solidFill>
              <a:prstDash val="dash"/>
            </a:ln>
          </c:spPr>
          <c:marker>
            <c:symbol val="none"/>
          </c:marker>
          <c:cat>
            <c:numRef>
              <c:f>Dashboard!$U$6:$U$22</c:f>
              <c:numCache>
                <c:formatCode>General</c:formatCode>
                <c:ptCount val="17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  <c:pt idx="15">
                  <c:v>2025</c:v>
                </c:pt>
                <c:pt idx="16">
                  <c:v>2026</c:v>
                </c:pt>
              </c:numCache>
            </c:numRef>
          </c:cat>
          <c:val>
            <c:numRef>
              <c:f>Dashboard!$AF$6:$AF$22</c:f>
              <c:numCache>
                <c:formatCode>0.00</c:formatCode>
                <c:ptCount val="17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DFDB-4573-8476-25E5A4E87B38}"/>
            </c:ext>
          </c:extLst>
        </c:ser>
        <c:ser>
          <c:idx val="11"/>
          <c:order val="11"/>
          <c:tx>
            <c:strRef>
              <c:f>Dashboard!$AG$5</c:f>
              <c:strCache>
                <c:ptCount val="1"/>
                <c:pt idx="0">
                  <c:v>11 — Crescimento Econômico</c:v>
                </c:pt>
              </c:strCache>
            </c:strRef>
          </c:tx>
          <c:spPr>
            <a:ln w="23000">
              <a:solidFill>
                <a:srgbClr val="C026D3"/>
              </a:solidFill>
              <a:prstDash val="dash"/>
            </a:ln>
          </c:spPr>
          <c:marker>
            <c:symbol val="none"/>
          </c:marker>
          <c:cat>
            <c:numRef>
              <c:f>Dashboard!$U$6:$U$22</c:f>
              <c:numCache>
                <c:formatCode>General</c:formatCode>
                <c:ptCount val="17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  <c:pt idx="15">
                  <c:v>2025</c:v>
                </c:pt>
                <c:pt idx="16">
                  <c:v>2026</c:v>
                </c:pt>
              </c:numCache>
            </c:numRef>
          </c:cat>
          <c:val>
            <c:numRef>
              <c:f>Dashboard!$AG$6:$AG$22</c:f>
              <c:numCache>
                <c:formatCode>0.00</c:formatCode>
                <c:ptCount val="17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DFDB-4573-8476-25E5A4E87B38}"/>
            </c:ext>
          </c:extLst>
        </c:ser>
        <c:ser>
          <c:idx val="12"/>
          <c:order val="12"/>
          <c:tx>
            <c:strRef>
              <c:f>Dashboard!$AH$5</c:f>
              <c:strCache>
                <c:ptCount val="1"/>
                <c:pt idx="0">
                  <c:v>12 — Consumo</c:v>
                </c:pt>
              </c:strCache>
            </c:strRef>
          </c:tx>
          <c:spPr>
            <a:ln w="23000">
              <a:solidFill>
                <a:srgbClr val="475569"/>
              </a:solidFill>
              <a:prstDash val="dash"/>
            </a:ln>
          </c:spPr>
          <c:marker>
            <c:symbol val="none"/>
          </c:marker>
          <c:cat>
            <c:numRef>
              <c:f>Dashboard!$U$6:$U$22</c:f>
              <c:numCache>
                <c:formatCode>General</c:formatCode>
                <c:ptCount val="17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  <c:pt idx="15">
                  <c:v>2025</c:v>
                </c:pt>
                <c:pt idx="16">
                  <c:v>2026</c:v>
                </c:pt>
              </c:numCache>
            </c:numRef>
          </c:cat>
          <c:val>
            <c:numRef>
              <c:f>Dashboard!$AH$6:$AH$22</c:f>
              <c:numCache>
                <c:formatCode>0.00</c:formatCode>
                <c:ptCount val="17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DFDB-4573-8476-25E5A4E87B38}"/>
            </c:ext>
          </c:extLst>
        </c:ser>
        <c:ser>
          <c:idx val="13"/>
          <c:order val="13"/>
          <c:tx>
            <c:strRef>
              <c:f>Dashboard!$AI$5</c:f>
              <c:strCache>
                <c:ptCount val="1"/>
                <c:pt idx="0">
                  <c:v>13 — Investimento</c:v>
                </c:pt>
              </c:strCache>
            </c:strRef>
          </c:tx>
          <c:spPr>
            <a:ln w="23000">
              <a:solidFill>
                <a:srgbClr val="E11D48"/>
              </a:solidFill>
              <a:prstDash val="dash"/>
            </a:ln>
          </c:spPr>
          <c:marker>
            <c:symbol val="none"/>
          </c:marker>
          <c:cat>
            <c:numRef>
              <c:f>Dashboard!$U$6:$U$22</c:f>
              <c:numCache>
                <c:formatCode>General</c:formatCode>
                <c:ptCount val="17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  <c:pt idx="15">
                  <c:v>2025</c:v>
                </c:pt>
                <c:pt idx="16">
                  <c:v>2026</c:v>
                </c:pt>
              </c:numCache>
            </c:numRef>
          </c:cat>
          <c:val>
            <c:numRef>
              <c:f>Dashboard!$AI$6:$AI$22</c:f>
              <c:numCache>
                <c:formatCode>0.00</c:formatCode>
                <c:ptCount val="17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DFDB-4573-8476-25E5A4E87B38}"/>
            </c:ext>
          </c:extLst>
        </c:ser>
        <c:ser>
          <c:idx val="14"/>
          <c:order val="14"/>
          <c:tx>
            <c:strRef>
              <c:f>Dashboard!$AJ$5</c:f>
              <c:strCache>
                <c:ptCount val="1"/>
                <c:pt idx="0">
                  <c:v>14 — Dívida Pública e Senhoriagem</c:v>
                </c:pt>
              </c:strCache>
            </c:strRef>
          </c:tx>
          <c:spPr>
            <a:ln w="23000">
              <a:solidFill>
                <a:srgbClr val="0284C7"/>
              </a:solidFill>
              <a:prstDash val="dash"/>
            </a:ln>
          </c:spPr>
          <c:marker>
            <c:symbol val="none"/>
          </c:marker>
          <c:cat>
            <c:numRef>
              <c:f>Dashboard!$U$6:$U$22</c:f>
              <c:numCache>
                <c:formatCode>General</c:formatCode>
                <c:ptCount val="17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  <c:pt idx="15">
                  <c:v>2025</c:v>
                </c:pt>
                <c:pt idx="16">
                  <c:v>2026</c:v>
                </c:pt>
              </c:numCache>
            </c:numRef>
          </c:cat>
          <c:val>
            <c:numRef>
              <c:f>Dashboard!$AJ$6:$AJ$22</c:f>
              <c:numCache>
                <c:formatCode>0.00</c:formatCode>
                <c:ptCount val="17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DFDB-4573-8476-25E5A4E87B38}"/>
            </c:ext>
          </c:extLst>
        </c:ser>
        <c:ser>
          <c:idx val="15"/>
          <c:order val="15"/>
          <c:tx>
            <c:strRef>
              <c:f>Dashboard!$AK$5</c:f>
              <c:strCache>
                <c:ptCount val="1"/>
                <c:pt idx="0">
                  <c:v>E1 — Mercados Financeiros</c:v>
                </c:pt>
              </c:strCache>
            </c:strRef>
          </c:tx>
          <c:spPr>
            <a:ln w="23000">
              <a:solidFill>
                <a:srgbClr val="65A30D"/>
              </a:solidFill>
              <a:prstDash val="dash"/>
            </a:ln>
          </c:spPr>
          <c:marker>
            <c:symbol val="none"/>
          </c:marker>
          <c:cat>
            <c:numRef>
              <c:f>Dashboard!$U$6:$U$22</c:f>
              <c:numCache>
                <c:formatCode>General</c:formatCode>
                <c:ptCount val="17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  <c:pt idx="15">
                  <c:v>2025</c:v>
                </c:pt>
                <c:pt idx="16">
                  <c:v>2026</c:v>
                </c:pt>
              </c:numCache>
            </c:numRef>
          </c:cat>
          <c:val>
            <c:numRef>
              <c:f>Dashboard!$AK$6:$AK$22</c:f>
              <c:numCache>
                <c:formatCode>0.00</c:formatCode>
                <c:ptCount val="17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DFDB-4573-8476-25E5A4E87B38}"/>
            </c:ext>
          </c:extLst>
        </c:ser>
        <c:ser>
          <c:idx val="16"/>
          <c:order val="16"/>
          <c:tx>
            <c:strRef>
              <c:f>Dashboard!$AL$5</c:f>
              <c:strCache>
                <c:ptCount val="1"/>
                <c:pt idx="0">
                  <c:v>E2 — Demanda de Bens e Complementaridade</c:v>
                </c:pt>
              </c:strCache>
            </c:strRef>
          </c:tx>
          <c:spPr>
            <a:ln w="23000">
              <a:solidFill>
                <a:srgbClr val="7C3AED"/>
              </a:solidFill>
              <a:prstDash val="dash"/>
            </a:ln>
          </c:spPr>
          <c:marker>
            <c:symbol val="none"/>
          </c:marker>
          <c:cat>
            <c:numRef>
              <c:f>Dashboard!$U$6:$U$22</c:f>
              <c:numCache>
                <c:formatCode>General</c:formatCode>
                <c:ptCount val="17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  <c:pt idx="15">
                  <c:v>2025</c:v>
                </c:pt>
                <c:pt idx="16">
                  <c:v>2026</c:v>
                </c:pt>
              </c:numCache>
            </c:numRef>
          </c:cat>
          <c:val>
            <c:numRef>
              <c:f>Dashboard!$AL$6:$AL$22</c:f>
              <c:numCache>
                <c:formatCode>0.00</c:formatCode>
                <c:ptCount val="17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DFDB-4573-8476-25E5A4E87B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pt-BR"/>
                  <a:t>Ano</a:t>
                </a:r>
              </a:p>
            </c:rich>
          </c:tx>
          <c:overlay val="1"/>
        </c:title>
        <c:numFmt formatCode="General" sourceLinked="0"/>
        <c:majorTickMark val="none"/>
        <c:minorTickMark val="none"/>
        <c:tickLblPos val="nextTo"/>
        <c:txPr>
          <a:bodyPr anchorCtr="1"/>
          <a:lstStyle/>
          <a:p>
            <a:pPr>
              <a:defRPr sz="675"/>
            </a:pPr>
            <a:endParaRPr lang="pt-BR"/>
          </a:p>
        </c:txPr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0" sourceLinked="0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5</xdr:row>
      <xdr:rowOff>0</xdr:rowOff>
    </xdr:from>
    <xdr:ext cx="12960000" cy="46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4</xdr:col>
      <xdr:colOff>0</xdr:colOff>
      <xdr:row>29</xdr:row>
      <xdr:rowOff>0</xdr:rowOff>
    </xdr:from>
    <xdr:ext cx="12960000" cy="900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5"/>
  <sheetViews>
    <sheetView workbookViewId="0">
      <selection activeCell="F15" sqref="F15"/>
    </sheetView>
  </sheetViews>
  <sheetFormatPr defaultRowHeight="14.25"/>
  <cols>
    <col min="1" max="1" width="10" customWidth="1"/>
    <col min="2" max="2" width="58" customWidth="1"/>
    <col min="3" max="3" width="14" customWidth="1"/>
    <col min="5" max="5" width="62" customWidth="1"/>
  </cols>
  <sheetData>
    <row r="1" spans="1:5" ht="18" customHeight="1">
      <c r="A1" s="22" t="s">
        <v>0</v>
      </c>
      <c r="B1" s="23"/>
      <c r="C1" s="23"/>
    </row>
    <row r="3" spans="1:5" ht="15" customHeight="1">
      <c r="A3" s="1" t="s">
        <v>1</v>
      </c>
      <c r="B3" s="1" t="s">
        <v>2</v>
      </c>
      <c r="C3" s="1" t="s">
        <v>3</v>
      </c>
      <c r="E3" s="3" t="s">
        <v>4</v>
      </c>
    </row>
    <row r="4" spans="1:5">
      <c r="A4" s="2" t="s">
        <v>5</v>
      </c>
      <c r="B4" s="2" t="s">
        <v>6</v>
      </c>
      <c r="C4" s="2" t="s">
        <v>7</v>
      </c>
      <c r="E4" t="s">
        <v>8</v>
      </c>
    </row>
    <row r="5" spans="1:5">
      <c r="A5" s="2" t="s">
        <v>9</v>
      </c>
      <c r="B5" s="2" t="s">
        <v>10</v>
      </c>
      <c r="C5" s="2" t="s">
        <v>7</v>
      </c>
      <c r="E5" t="s">
        <v>11</v>
      </c>
    </row>
    <row r="6" spans="1:5">
      <c r="A6" s="2" t="s">
        <v>12</v>
      </c>
      <c r="B6" s="2" t="s">
        <v>13</v>
      </c>
      <c r="C6" s="2" t="s">
        <v>7</v>
      </c>
      <c r="E6" t="s">
        <v>14</v>
      </c>
    </row>
    <row r="7" spans="1:5">
      <c r="A7" s="2" t="s">
        <v>15</v>
      </c>
      <c r="B7" s="2" t="s">
        <v>16</v>
      </c>
      <c r="C7" s="2" t="s">
        <v>7</v>
      </c>
      <c r="E7" t="s">
        <v>17</v>
      </c>
    </row>
    <row r="8" spans="1:5">
      <c r="A8" s="2" t="s">
        <v>18</v>
      </c>
      <c r="B8" s="2" t="s">
        <v>19</v>
      </c>
      <c r="C8" s="2" t="s">
        <v>7</v>
      </c>
      <c r="E8" t="s">
        <v>20</v>
      </c>
    </row>
    <row r="9" spans="1:5">
      <c r="A9" s="2" t="s">
        <v>21</v>
      </c>
      <c r="B9" s="2" t="s">
        <v>22</v>
      </c>
      <c r="C9" s="2" t="s">
        <v>7</v>
      </c>
      <c r="E9" t="s">
        <v>23</v>
      </c>
    </row>
    <row r="10" spans="1:5">
      <c r="A10" s="2" t="s">
        <v>24</v>
      </c>
      <c r="B10" s="2" t="s">
        <v>25</v>
      </c>
      <c r="C10" s="2" t="s">
        <v>7</v>
      </c>
      <c r="E10" t="s">
        <v>26</v>
      </c>
    </row>
    <row r="11" spans="1:5">
      <c r="A11" s="2" t="s">
        <v>27</v>
      </c>
      <c r="B11" s="2" t="s">
        <v>28</v>
      </c>
      <c r="C11" s="2" t="s">
        <v>7</v>
      </c>
      <c r="E11" t="s">
        <v>29</v>
      </c>
    </row>
    <row r="12" spans="1:5">
      <c r="A12" s="2" t="s">
        <v>30</v>
      </c>
      <c r="B12" s="2" t="s">
        <v>31</v>
      </c>
      <c r="C12" s="2" t="s">
        <v>7</v>
      </c>
      <c r="E12" t="s">
        <v>32</v>
      </c>
    </row>
    <row r="13" spans="1:5">
      <c r="A13" s="2" t="s">
        <v>33</v>
      </c>
      <c r="B13" s="2" t="s">
        <v>34</v>
      </c>
      <c r="C13" s="2" t="s">
        <v>7</v>
      </c>
      <c r="E13" t="s">
        <v>35</v>
      </c>
    </row>
    <row r="14" spans="1:5">
      <c r="A14" s="2" t="s">
        <v>36</v>
      </c>
      <c r="B14" s="2" t="s">
        <v>37</v>
      </c>
      <c r="C14" s="2" t="s">
        <v>7</v>
      </c>
      <c r="E14" t="s">
        <v>38</v>
      </c>
    </row>
    <row r="15" spans="1:5">
      <c r="A15" s="2" t="s">
        <v>39</v>
      </c>
      <c r="B15" s="2" t="s">
        <v>40</v>
      </c>
      <c r="C15" s="2" t="s">
        <v>7</v>
      </c>
      <c r="E15" t="s">
        <v>41</v>
      </c>
    </row>
    <row r="16" spans="1:5">
      <c r="A16" s="2" t="s">
        <v>42</v>
      </c>
      <c r="B16" s="2" t="s">
        <v>43</v>
      </c>
      <c r="C16" s="2" t="s">
        <v>7</v>
      </c>
      <c r="E16" t="s">
        <v>44</v>
      </c>
    </row>
    <row r="17" spans="1:5">
      <c r="A17" s="2" t="s">
        <v>45</v>
      </c>
      <c r="B17" s="2" t="s">
        <v>46</v>
      </c>
      <c r="C17" s="2" t="s">
        <v>7</v>
      </c>
      <c r="E17" t="s">
        <v>47</v>
      </c>
    </row>
    <row r="18" spans="1:5">
      <c r="A18" s="2" t="s">
        <v>48</v>
      </c>
      <c r="B18" s="2" t="s">
        <v>49</v>
      </c>
      <c r="C18" s="2" t="s">
        <v>7</v>
      </c>
      <c r="E18" t="s">
        <v>50</v>
      </c>
    </row>
    <row r="19" spans="1:5">
      <c r="A19" s="2" t="s">
        <v>51</v>
      </c>
      <c r="B19" s="2" t="s">
        <v>52</v>
      </c>
      <c r="C19" s="2" t="s">
        <v>53</v>
      </c>
      <c r="E19" t="s">
        <v>54</v>
      </c>
    </row>
    <row r="20" spans="1:5">
      <c r="A20" s="2" t="s">
        <v>55</v>
      </c>
      <c r="B20" s="2" t="s">
        <v>56</v>
      </c>
      <c r="C20" s="2" t="s">
        <v>53</v>
      </c>
      <c r="E20" t="s">
        <v>57</v>
      </c>
    </row>
    <row r="21" spans="1:5">
      <c r="A21" s="2"/>
      <c r="B21" s="2"/>
      <c r="C21" s="2"/>
    </row>
    <row r="22" spans="1:5">
      <c r="A22" s="2"/>
      <c r="B22" s="2"/>
      <c r="C22" s="2"/>
    </row>
    <row r="23" spans="1:5">
      <c r="A23" s="2"/>
      <c r="B23" s="2"/>
      <c r="C23" s="2"/>
    </row>
    <row r="25" spans="1:5">
      <c r="A25" t="s">
        <v>58</v>
      </c>
    </row>
  </sheetData>
  <mergeCells count="1">
    <mergeCell ref="A1:C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26"/>
  <sheetViews>
    <sheetView workbookViewId="0">
      <selection activeCell="S4" sqref="S4"/>
    </sheetView>
  </sheetViews>
  <sheetFormatPr defaultRowHeight="14.25"/>
  <cols>
    <col min="1" max="1" width="54" customWidth="1"/>
    <col min="2" max="19" width="10" customWidth="1"/>
  </cols>
  <sheetData>
    <row r="1" spans="1:19" ht="18" customHeight="1">
      <c r="A1" s="24" t="s">
        <v>59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</row>
    <row r="2" spans="1:19">
      <c r="A2" t="s">
        <v>60</v>
      </c>
    </row>
    <row r="3" spans="1:19" ht="15" customHeight="1">
      <c r="A3" s="1" t="s">
        <v>2</v>
      </c>
      <c r="B3" s="1">
        <v>2010</v>
      </c>
      <c r="C3" s="1">
        <v>2011</v>
      </c>
      <c r="D3" s="1">
        <v>2012</v>
      </c>
      <c r="E3" s="1">
        <v>2013</v>
      </c>
      <c r="F3" s="1">
        <v>2014</v>
      </c>
      <c r="G3" s="1">
        <v>2015</v>
      </c>
      <c r="H3" s="1">
        <v>2016</v>
      </c>
      <c r="I3" s="1">
        <v>2017</v>
      </c>
      <c r="J3" s="1">
        <v>2018</v>
      </c>
      <c r="K3" s="1">
        <v>2019</v>
      </c>
      <c r="L3" s="1">
        <v>2020</v>
      </c>
      <c r="M3" s="1">
        <v>2021</v>
      </c>
      <c r="N3" s="1">
        <v>2022</v>
      </c>
      <c r="O3" s="1">
        <v>2023</v>
      </c>
      <c r="P3" s="1">
        <v>2024</v>
      </c>
      <c r="Q3" s="1">
        <v>2025</v>
      </c>
      <c r="R3" s="1">
        <v>2026</v>
      </c>
      <c r="S3" s="1" t="s">
        <v>61</v>
      </c>
    </row>
    <row r="4" spans="1:19">
      <c r="A4" s="2" t="s">
        <v>8</v>
      </c>
      <c r="B4" s="5">
        <f>SUMIFS(Base_Itens!$I$5:$I$1504,Base_Itens!$A$5:$A$1504,B$3,Base_Itens!$G$5:$G$1504,$A4)</f>
        <v>10</v>
      </c>
      <c r="C4" s="5">
        <f>SUMIFS(Base_Itens!$I$5:$I$1504,Base_Itens!$A$5:$A$1504,C$3,Base_Itens!$G$5:$G$1504,$A4)</f>
        <v>5</v>
      </c>
      <c r="D4" s="5">
        <f>SUMIFS(Base_Itens!$I$5:$I$1504,Base_Itens!$A$5:$A$1504,D$3,Base_Itens!$G$5:$G$1504,$A4)</f>
        <v>1</v>
      </c>
      <c r="E4" s="5">
        <f>SUMIFS(Base_Itens!$I$5:$I$1504,Base_Itens!$A$5:$A$1504,E$3,Base_Itens!$G$5:$G$1504,$A4)</f>
        <v>7.5</v>
      </c>
      <c r="F4" s="5">
        <f>SUMIFS(Base_Itens!$I$5:$I$1504,Base_Itens!$A$5:$A$1504,F$3,Base_Itens!$G$5:$G$1504,$A4)</f>
        <v>4</v>
      </c>
      <c r="G4" s="5">
        <f>SUMIFS(Base_Itens!$I$5:$I$1504,Base_Itens!$A$5:$A$1504,G$3,Base_Itens!$G$5:$G$1504,$A4)</f>
        <v>5</v>
      </c>
      <c r="H4" s="5">
        <f>SUMIFS(Base_Itens!$I$5:$I$1504,Base_Itens!$A$5:$A$1504,H$3,Base_Itens!$G$5:$G$1504,$A4)</f>
        <v>4</v>
      </c>
      <c r="I4" s="5">
        <f>SUMIFS(Base_Itens!$I$5:$I$1504,Base_Itens!$A$5:$A$1504,I$3,Base_Itens!$G$5:$G$1504,$A4)</f>
        <v>8</v>
      </c>
      <c r="J4" s="5">
        <f>SUMIFS(Base_Itens!$I$5:$I$1504,Base_Itens!$A$5:$A$1504,J$3,Base_Itens!$G$5:$G$1504,$A4)</f>
        <v>0</v>
      </c>
      <c r="K4" s="5">
        <f>SUMIFS(Base_Itens!$I$5:$I$1504,Base_Itens!$A$5:$A$1504,K$3,Base_Itens!$G$5:$G$1504,$A4)</f>
        <v>4.5</v>
      </c>
      <c r="L4" s="5">
        <f>SUMIFS(Base_Itens!$I$5:$I$1504,Base_Itens!$A$5:$A$1504,L$3,Base_Itens!$G$5:$G$1504,$A4)</f>
        <v>9</v>
      </c>
      <c r="M4" s="5">
        <f>SUMIFS(Base_Itens!$I$5:$I$1504,Base_Itens!$A$5:$A$1504,M$3,Base_Itens!$G$5:$G$1504,$A4)</f>
        <v>10</v>
      </c>
      <c r="N4" s="5">
        <f>SUMIFS(Base_Itens!$I$5:$I$1504,Base_Itens!$A$5:$A$1504,N$3,Base_Itens!$G$5:$G$1504,$A4)</f>
        <v>5.5</v>
      </c>
      <c r="O4" s="5">
        <f>SUMIFS(Base_Itens!$I$5:$I$1504,Base_Itens!$A$5:$A$1504,O$3,Base_Itens!$G$5:$G$1504,$A4)</f>
        <v>2</v>
      </c>
      <c r="P4" s="5">
        <f>SUMIFS(Base_Itens!$I$5:$I$1504,Base_Itens!$A$5:$A$1504,P$3,Base_Itens!$G$5:$G$1504,$A4)</f>
        <v>1</v>
      </c>
      <c r="Q4" s="5">
        <f>SUMIFS(Base_Itens!$I$5:$I$1504,Base_Itens!$A$5:$A$1504,Q$3,Base_Itens!$G$5:$G$1504,$A4)</f>
        <v>7</v>
      </c>
      <c r="R4" s="5">
        <f>SUMIFS(Base_Itens!$I$5:$I$1504,Base_Itens!$A$5:$A$1504,R$3,Base_Itens!$G$5:$G$1504,$A4)</f>
        <v>4</v>
      </c>
      <c r="S4" s="5">
        <f t="shared" ref="S4:S20" si="0">SUM(B4:R4)</f>
        <v>87.5</v>
      </c>
    </row>
    <row r="5" spans="1:19">
      <c r="A5" s="2" t="s">
        <v>11</v>
      </c>
      <c r="B5" s="5">
        <f>SUMIFS(Base_Itens!$I$5:$I$1504,Base_Itens!$A$5:$A$1504,B$3,Base_Itens!$G$5:$G$1504,$A5)</f>
        <v>0</v>
      </c>
      <c r="C5" s="5">
        <f>SUMIFS(Base_Itens!$I$5:$I$1504,Base_Itens!$A$5:$A$1504,C$3,Base_Itens!$G$5:$G$1504,$A5)</f>
        <v>5</v>
      </c>
      <c r="D5" s="5">
        <f>SUMIFS(Base_Itens!$I$5:$I$1504,Base_Itens!$A$5:$A$1504,D$3,Base_Itens!$G$5:$G$1504,$A5)</f>
        <v>4</v>
      </c>
      <c r="E5" s="5">
        <f>SUMIFS(Base_Itens!$I$5:$I$1504,Base_Itens!$A$5:$A$1504,E$3,Base_Itens!$G$5:$G$1504,$A5)</f>
        <v>4.5</v>
      </c>
      <c r="F5" s="5">
        <f>SUMIFS(Base_Itens!$I$5:$I$1504,Base_Itens!$A$5:$A$1504,F$3,Base_Itens!$G$5:$G$1504,$A5)</f>
        <v>1</v>
      </c>
      <c r="G5" s="5">
        <f>SUMIFS(Base_Itens!$I$5:$I$1504,Base_Itens!$A$5:$A$1504,G$3,Base_Itens!$G$5:$G$1504,$A5)</f>
        <v>6</v>
      </c>
      <c r="H5" s="5">
        <f>SUMIFS(Base_Itens!$I$5:$I$1504,Base_Itens!$A$5:$A$1504,H$3,Base_Itens!$G$5:$G$1504,$A5)</f>
        <v>5</v>
      </c>
      <c r="I5" s="5">
        <f>SUMIFS(Base_Itens!$I$5:$I$1504,Base_Itens!$A$5:$A$1504,I$3,Base_Itens!$G$5:$G$1504,$A5)</f>
        <v>2</v>
      </c>
      <c r="J5" s="5">
        <f>SUMIFS(Base_Itens!$I$5:$I$1504,Base_Itens!$A$5:$A$1504,J$3,Base_Itens!$G$5:$G$1504,$A5)</f>
        <v>5</v>
      </c>
      <c r="K5" s="5">
        <f>SUMIFS(Base_Itens!$I$5:$I$1504,Base_Itens!$A$5:$A$1504,K$3,Base_Itens!$G$5:$G$1504,$A5)</f>
        <v>5.5</v>
      </c>
      <c r="L5" s="5">
        <f>SUMIFS(Base_Itens!$I$5:$I$1504,Base_Itens!$A$5:$A$1504,L$3,Base_Itens!$G$5:$G$1504,$A5)</f>
        <v>5</v>
      </c>
      <c r="M5" s="5">
        <f>SUMIFS(Base_Itens!$I$5:$I$1504,Base_Itens!$A$5:$A$1504,M$3,Base_Itens!$G$5:$G$1504,$A5)</f>
        <v>1</v>
      </c>
      <c r="N5" s="5">
        <f>SUMIFS(Base_Itens!$I$5:$I$1504,Base_Itens!$A$5:$A$1504,N$3,Base_Itens!$G$5:$G$1504,$A5)</f>
        <v>4.5</v>
      </c>
      <c r="O5" s="5">
        <f>SUMIFS(Base_Itens!$I$5:$I$1504,Base_Itens!$A$5:$A$1504,O$3,Base_Itens!$G$5:$G$1504,$A5)</f>
        <v>3</v>
      </c>
      <c r="P5" s="5">
        <f>SUMIFS(Base_Itens!$I$5:$I$1504,Base_Itens!$A$5:$A$1504,P$3,Base_Itens!$G$5:$G$1504,$A5)</f>
        <v>5</v>
      </c>
      <c r="Q5" s="5">
        <f>SUMIFS(Base_Itens!$I$5:$I$1504,Base_Itens!$A$5:$A$1504,Q$3,Base_Itens!$G$5:$G$1504,$A5)</f>
        <v>0</v>
      </c>
      <c r="R5" s="5">
        <f>SUMIFS(Base_Itens!$I$5:$I$1504,Base_Itens!$A$5:$A$1504,R$3,Base_Itens!$G$5:$G$1504,$A5)</f>
        <v>5</v>
      </c>
      <c r="S5" s="5">
        <f t="shared" si="0"/>
        <v>61.5</v>
      </c>
    </row>
    <row r="6" spans="1:19">
      <c r="A6" s="2" t="s">
        <v>14</v>
      </c>
      <c r="B6" s="5">
        <f>SUMIFS(Base_Itens!$I$5:$I$1504,Base_Itens!$A$5:$A$1504,B$3,Base_Itens!$G$5:$G$1504,$A6)</f>
        <v>7.666666666666667</v>
      </c>
      <c r="C6" s="5">
        <f>SUMIFS(Base_Itens!$I$5:$I$1504,Base_Itens!$A$5:$A$1504,C$3,Base_Itens!$G$5:$G$1504,$A6)</f>
        <v>5</v>
      </c>
      <c r="D6" s="5">
        <f>SUMIFS(Base_Itens!$I$5:$I$1504,Base_Itens!$A$5:$A$1504,D$3,Base_Itens!$G$5:$G$1504,$A6)</f>
        <v>8</v>
      </c>
      <c r="E6" s="5">
        <f>SUMIFS(Base_Itens!$I$5:$I$1504,Base_Itens!$A$5:$A$1504,E$3,Base_Itens!$G$5:$G$1504,$A6)</f>
        <v>4</v>
      </c>
      <c r="F6" s="5">
        <f>SUMIFS(Base_Itens!$I$5:$I$1504,Base_Itens!$A$5:$A$1504,F$3,Base_Itens!$G$5:$G$1504,$A6)</f>
        <v>4</v>
      </c>
      <c r="G6" s="5">
        <f>SUMIFS(Base_Itens!$I$5:$I$1504,Base_Itens!$A$5:$A$1504,G$3,Base_Itens!$G$5:$G$1504,$A6)</f>
        <v>2</v>
      </c>
      <c r="H6" s="5">
        <f>SUMIFS(Base_Itens!$I$5:$I$1504,Base_Itens!$A$5:$A$1504,H$3,Base_Itens!$G$5:$G$1504,$A6)</f>
        <v>5</v>
      </c>
      <c r="I6" s="5">
        <f>SUMIFS(Base_Itens!$I$5:$I$1504,Base_Itens!$A$5:$A$1504,I$3,Base_Itens!$G$5:$G$1504,$A6)</f>
        <v>6</v>
      </c>
      <c r="J6" s="5">
        <f>SUMIFS(Base_Itens!$I$5:$I$1504,Base_Itens!$A$5:$A$1504,J$3,Base_Itens!$G$5:$G$1504,$A6)</f>
        <v>2</v>
      </c>
      <c r="K6" s="5">
        <f>SUMIFS(Base_Itens!$I$5:$I$1504,Base_Itens!$A$5:$A$1504,K$3,Base_Itens!$G$5:$G$1504,$A6)</f>
        <v>2.5</v>
      </c>
      <c r="L6" s="5">
        <f>SUMIFS(Base_Itens!$I$5:$I$1504,Base_Itens!$A$5:$A$1504,L$3,Base_Itens!$G$5:$G$1504,$A6)</f>
        <v>9</v>
      </c>
      <c r="M6" s="5">
        <f>SUMIFS(Base_Itens!$I$5:$I$1504,Base_Itens!$A$5:$A$1504,M$3,Base_Itens!$G$5:$G$1504,$A6)</f>
        <v>1</v>
      </c>
      <c r="N6" s="5">
        <f>SUMIFS(Base_Itens!$I$5:$I$1504,Base_Itens!$A$5:$A$1504,N$3,Base_Itens!$G$5:$G$1504,$A6)</f>
        <v>5</v>
      </c>
      <c r="O6" s="5">
        <f>SUMIFS(Base_Itens!$I$5:$I$1504,Base_Itens!$A$5:$A$1504,O$3,Base_Itens!$G$5:$G$1504,$A6)</f>
        <v>6</v>
      </c>
      <c r="P6" s="5">
        <f>SUMIFS(Base_Itens!$I$5:$I$1504,Base_Itens!$A$5:$A$1504,P$3,Base_Itens!$G$5:$G$1504,$A6)</f>
        <v>0</v>
      </c>
      <c r="Q6" s="5">
        <f>SUMIFS(Base_Itens!$I$5:$I$1504,Base_Itens!$A$5:$A$1504,Q$3,Base_Itens!$G$5:$G$1504,$A6)</f>
        <v>0</v>
      </c>
      <c r="R6" s="5">
        <f>SUMIFS(Base_Itens!$I$5:$I$1504,Base_Itens!$A$5:$A$1504,R$3,Base_Itens!$G$5:$G$1504,$A6)</f>
        <v>2.5</v>
      </c>
      <c r="S6" s="5">
        <f t="shared" si="0"/>
        <v>69.666666666666671</v>
      </c>
    </row>
    <row r="7" spans="1:19">
      <c r="A7" s="2" t="s">
        <v>17</v>
      </c>
      <c r="B7" s="5">
        <f>SUMIFS(Base_Itens!$I$5:$I$1504,Base_Itens!$A$5:$A$1504,B$3,Base_Itens!$G$5:$G$1504,$A7)</f>
        <v>2.166666666666667</v>
      </c>
      <c r="C7" s="5">
        <f>SUMIFS(Base_Itens!$I$5:$I$1504,Base_Itens!$A$5:$A$1504,C$3,Base_Itens!$G$5:$G$1504,$A7)</f>
        <v>3</v>
      </c>
      <c r="D7" s="5">
        <f>SUMIFS(Base_Itens!$I$5:$I$1504,Base_Itens!$A$5:$A$1504,D$3,Base_Itens!$G$5:$G$1504,$A7)</f>
        <v>5</v>
      </c>
      <c r="E7" s="5">
        <f>SUMIFS(Base_Itens!$I$5:$I$1504,Base_Itens!$A$5:$A$1504,E$3,Base_Itens!$G$5:$G$1504,$A7)</f>
        <v>4</v>
      </c>
      <c r="F7" s="5">
        <f>SUMIFS(Base_Itens!$I$5:$I$1504,Base_Itens!$A$5:$A$1504,F$3,Base_Itens!$G$5:$G$1504,$A7)</f>
        <v>2</v>
      </c>
      <c r="G7" s="5">
        <f>SUMIFS(Base_Itens!$I$5:$I$1504,Base_Itens!$A$5:$A$1504,G$3,Base_Itens!$G$5:$G$1504,$A7)</f>
        <v>3</v>
      </c>
      <c r="H7" s="5">
        <f>SUMIFS(Base_Itens!$I$5:$I$1504,Base_Itens!$A$5:$A$1504,H$3,Base_Itens!$G$5:$G$1504,$A7)</f>
        <v>1</v>
      </c>
      <c r="I7" s="5">
        <f>SUMIFS(Base_Itens!$I$5:$I$1504,Base_Itens!$A$5:$A$1504,I$3,Base_Itens!$G$5:$G$1504,$A7)</f>
        <v>0</v>
      </c>
      <c r="J7" s="5">
        <f>SUMIFS(Base_Itens!$I$5:$I$1504,Base_Itens!$A$5:$A$1504,J$3,Base_Itens!$G$5:$G$1504,$A7)</f>
        <v>2</v>
      </c>
      <c r="K7" s="5">
        <f>SUMIFS(Base_Itens!$I$5:$I$1504,Base_Itens!$A$5:$A$1504,K$3,Base_Itens!$G$5:$G$1504,$A7)</f>
        <v>2.5</v>
      </c>
      <c r="L7" s="5">
        <f>SUMIFS(Base_Itens!$I$5:$I$1504,Base_Itens!$A$5:$A$1504,L$3,Base_Itens!$G$5:$G$1504,$A7)</f>
        <v>2.5</v>
      </c>
      <c r="M7" s="5">
        <f>SUMIFS(Base_Itens!$I$5:$I$1504,Base_Itens!$A$5:$A$1504,M$3,Base_Itens!$G$5:$G$1504,$A7)</f>
        <v>6</v>
      </c>
      <c r="N7" s="5">
        <f>SUMIFS(Base_Itens!$I$5:$I$1504,Base_Itens!$A$5:$A$1504,N$3,Base_Itens!$G$5:$G$1504,$A7)</f>
        <v>0</v>
      </c>
      <c r="O7" s="5">
        <f>SUMIFS(Base_Itens!$I$5:$I$1504,Base_Itens!$A$5:$A$1504,O$3,Base_Itens!$G$5:$G$1504,$A7)</f>
        <v>3</v>
      </c>
      <c r="P7" s="5">
        <f>SUMIFS(Base_Itens!$I$5:$I$1504,Base_Itens!$A$5:$A$1504,P$3,Base_Itens!$G$5:$G$1504,$A7)</f>
        <v>1</v>
      </c>
      <c r="Q7" s="5">
        <f>SUMIFS(Base_Itens!$I$5:$I$1504,Base_Itens!$A$5:$A$1504,Q$3,Base_Itens!$G$5:$G$1504,$A7)</f>
        <v>1</v>
      </c>
      <c r="R7" s="5">
        <f>SUMIFS(Base_Itens!$I$5:$I$1504,Base_Itens!$A$5:$A$1504,R$3,Base_Itens!$G$5:$G$1504,$A7)</f>
        <v>2.5</v>
      </c>
      <c r="S7" s="5">
        <f t="shared" si="0"/>
        <v>40.666666666666671</v>
      </c>
    </row>
    <row r="8" spans="1:19">
      <c r="A8" s="2" t="s">
        <v>20</v>
      </c>
      <c r="B8" s="5">
        <f>SUMIFS(Base_Itens!$I$5:$I$1504,Base_Itens!$A$5:$A$1504,B$3,Base_Itens!$G$5:$G$1504,$A8)</f>
        <v>9</v>
      </c>
      <c r="C8" s="5">
        <f>SUMIFS(Base_Itens!$I$5:$I$1504,Base_Itens!$A$5:$A$1504,C$3,Base_Itens!$G$5:$G$1504,$A8)</f>
        <v>10</v>
      </c>
      <c r="D8" s="5">
        <f>SUMIFS(Base_Itens!$I$5:$I$1504,Base_Itens!$A$5:$A$1504,D$3,Base_Itens!$G$5:$G$1504,$A8)</f>
        <v>5</v>
      </c>
      <c r="E8" s="5">
        <f>SUMIFS(Base_Itens!$I$5:$I$1504,Base_Itens!$A$5:$A$1504,E$3,Base_Itens!$G$5:$G$1504,$A8)</f>
        <v>5</v>
      </c>
      <c r="F8" s="5">
        <f>SUMIFS(Base_Itens!$I$5:$I$1504,Base_Itens!$A$5:$A$1504,F$3,Base_Itens!$G$5:$G$1504,$A8)</f>
        <v>4</v>
      </c>
      <c r="G8" s="5">
        <f>SUMIFS(Base_Itens!$I$5:$I$1504,Base_Itens!$A$5:$A$1504,G$3,Base_Itens!$G$5:$G$1504,$A8)</f>
        <v>6.5</v>
      </c>
      <c r="H8" s="5">
        <f>SUMIFS(Base_Itens!$I$5:$I$1504,Base_Itens!$A$5:$A$1504,H$3,Base_Itens!$G$5:$G$1504,$A8)</f>
        <v>8</v>
      </c>
      <c r="I8" s="5">
        <f>SUMIFS(Base_Itens!$I$5:$I$1504,Base_Itens!$A$5:$A$1504,I$3,Base_Itens!$G$5:$G$1504,$A8)</f>
        <v>5</v>
      </c>
      <c r="J8" s="5">
        <f>SUMIFS(Base_Itens!$I$5:$I$1504,Base_Itens!$A$5:$A$1504,J$3,Base_Itens!$G$5:$G$1504,$A8)</f>
        <v>6</v>
      </c>
      <c r="K8" s="5">
        <f>SUMIFS(Base_Itens!$I$5:$I$1504,Base_Itens!$A$5:$A$1504,K$3,Base_Itens!$G$5:$G$1504,$A8)</f>
        <v>6.5</v>
      </c>
      <c r="L8" s="5">
        <f>SUMIFS(Base_Itens!$I$5:$I$1504,Base_Itens!$A$5:$A$1504,L$3,Base_Itens!$G$5:$G$1504,$A8)</f>
        <v>0.5</v>
      </c>
      <c r="M8" s="5">
        <f>SUMIFS(Base_Itens!$I$5:$I$1504,Base_Itens!$A$5:$A$1504,M$3,Base_Itens!$G$5:$G$1504,$A8)</f>
        <v>2.5</v>
      </c>
      <c r="N8" s="5">
        <f>SUMIFS(Base_Itens!$I$5:$I$1504,Base_Itens!$A$5:$A$1504,N$3,Base_Itens!$G$5:$G$1504,$A8)</f>
        <v>1</v>
      </c>
      <c r="O8" s="5">
        <f>SUMIFS(Base_Itens!$I$5:$I$1504,Base_Itens!$A$5:$A$1504,O$3,Base_Itens!$G$5:$G$1504,$A8)</f>
        <v>0</v>
      </c>
      <c r="P8" s="5">
        <f>SUMIFS(Base_Itens!$I$5:$I$1504,Base_Itens!$A$5:$A$1504,P$3,Base_Itens!$G$5:$G$1504,$A8)</f>
        <v>1</v>
      </c>
      <c r="Q8" s="5">
        <f>SUMIFS(Base_Itens!$I$5:$I$1504,Base_Itens!$A$5:$A$1504,Q$3,Base_Itens!$G$5:$G$1504,$A8)</f>
        <v>2</v>
      </c>
      <c r="R8" s="5">
        <f>SUMIFS(Base_Itens!$I$5:$I$1504,Base_Itens!$A$5:$A$1504,R$3,Base_Itens!$G$5:$G$1504,$A8)</f>
        <v>2.5</v>
      </c>
      <c r="S8" s="5">
        <f t="shared" si="0"/>
        <v>74.5</v>
      </c>
    </row>
    <row r="9" spans="1:19">
      <c r="A9" s="2" t="s">
        <v>23</v>
      </c>
      <c r="B9" s="5">
        <f>SUMIFS(Base_Itens!$I$5:$I$1504,Base_Itens!$A$5:$A$1504,B$3,Base_Itens!$G$5:$G$1504,$A9)</f>
        <v>7</v>
      </c>
      <c r="C9" s="5">
        <f>SUMIFS(Base_Itens!$I$5:$I$1504,Base_Itens!$A$5:$A$1504,C$3,Base_Itens!$G$5:$G$1504,$A9)</f>
        <v>5</v>
      </c>
      <c r="D9" s="5">
        <f>SUMIFS(Base_Itens!$I$5:$I$1504,Base_Itens!$A$5:$A$1504,D$3,Base_Itens!$G$5:$G$1504,$A9)</f>
        <v>15</v>
      </c>
      <c r="E9" s="5">
        <f>SUMIFS(Base_Itens!$I$5:$I$1504,Base_Itens!$A$5:$A$1504,E$3,Base_Itens!$G$5:$G$1504,$A9)</f>
        <v>5</v>
      </c>
      <c r="F9" s="5">
        <f>SUMIFS(Base_Itens!$I$5:$I$1504,Base_Itens!$A$5:$A$1504,F$3,Base_Itens!$G$5:$G$1504,$A9)</f>
        <v>6</v>
      </c>
      <c r="G9" s="5">
        <f>SUMIFS(Base_Itens!$I$5:$I$1504,Base_Itens!$A$5:$A$1504,G$3,Base_Itens!$G$5:$G$1504,$A9)</f>
        <v>5</v>
      </c>
      <c r="H9" s="5">
        <f>SUMIFS(Base_Itens!$I$5:$I$1504,Base_Itens!$A$5:$A$1504,H$3,Base_Itens!$G$5:$G$1504,$A9)</f>
        <v>4.5</v>
      </c>
      <c r="I9" s="5">
        <f>SUMIFS(Base_Itens!$I$5:$I$1504,Base_Itens!$A$5:$A$1504,I$3,Base_Itens!$G$5:$G$1504,$A9)</f>
        <v>10</v>
      </c>
      <c r="J9" s="5">
        <f>SUMIFS(Base_Itens!$I$5:$I$1504,Base_Itens!$A$5:$A$1504,J$3,Base_Itens!$G$5:$G$1504,$A9)</f>
        <v>10</v>
      </c>
      <c r="K9" s="5">
        <f>SUMIFS(Base_Itens!$I$5:$I$1504,Base_Itens!$A$5:$A$1504,K$3,Base_Itens!$G$5:$G$1504,$A9)</f>
        <v>10</v>
      </c>
      <c r="L9" s="5">
        <f>SUMIFS(Base_Itens!$I$5:$I$1504,Base_Itens!$A$5:$A$1504,L$3,Base_Itens!$G$5:$G$1504,$A9)</f>
        <v>5</v>
      </c>
      <c r="M9" s="5">
        <f>SUMIFS(Base_Itens!$I$5:$I$1504,Base_Itens!$A$5:$A$1504,M$3,Base_Itens!$G$5:$G$1504,$A9)</f>
        <v>10</v>
      </c>
      <c r="N9" s="5">
        <f>SUMIFS(Base_Itens!$I$5:$I$1504,Base_Itens!$A$5:$A$1504,N$3,Base_Itens!$G$5:$G$1504,$A9)</f>
        <v>8</v>
      </c>
      <c r="O9" s="5">
        <f>SUMIFS(Base_Itens!$I$5:$I$1504,Base_Itens!$A$5:$A$1504,O$3,Base_Itens!$G$5:$G$1504,$A9)</f>
        <v>11</v>
      </c>
      <c r="P9" s="5">
        <f>SUMIFS(Base_Itens!$I$5:$I$1504,Base_Itens!$A$5:$A$1504,P$3,Base_Itens!$G$5:$G$1504,$A9)</f>
        <v>8</v>
      </c>
      <c r="Q9" s="5">
        <f>SUMIFS(Base_Itens!$I$5:$I$1504,Base_Itens!$A$5:$A$1504,Q$3,Base_Itens!$G$5:$G$1504,$A9)</f>
        <v>0</v>
      </c>
      <c r="R9" s="5">
        <f>SUMIFS(Base_Itens!$I$5:$I$1504,Base_Itens!$A$5:$A$1504,R$3,Base_Itens!$G$5:$G$1504,$A9)</f>
        <v>0</v>
      </c>
      <c r="S9" s="5">
        <f t="shared" si="0"/>
        <v>119.5</v>
      </c>
    </row>
    <row r="10" spans="1:19">
      <c r="A10" s="2" t="s">
        <v>26</v>
      </c>
      <c r="B10" s="5">
        <f>SUMIFS(Base_Itens!$I$5:$I$1504,Base_Itens!$A$5:$A$1504,B$3,Base_Itens!$G$5:$G$1504,$A10)</f>
        <v>7.5</v>
      </c>
      <c r="C10" s="5">
        <f>SUMIFS(Base_Itens!$I$5:$I$1504,Base_Itens!$A$5:$A$1504,C$3,Base_Itens!$G$5:$G$1504,$A10)</f>
        <v>5</v>
      </c>
      <c r="D10" s="5">
        <f>SUMIFS(Base_Itens!$I$5:$I$1504,Base_Itens!$A$5:$A$1504,D$3,Base_Itens!$G$5:$G$1504,$A10)</f>
        <v>4</v>
      </c>
      <c r="E10" s="5">
        <f>SUMIFS(Base_Itens!$I$5:$I$1504,Base_Itens!$A$5:$A$1504,E$3,Base_Itens!$G$5:$G$1504,$A10)</f>
        <v>11</v>
      </c>
      <c r="F10" s="5">
        <f>SUMIFS(Base_Itens!$I$5:$I$1504,Base_Itens!$A$5:$A$1504,F$3,Base_Itens!$G$5:$G$1504,$A10)</f>
        <v>7</v>
      </c>
      <c r="G10" s="5">
        <f>SUMIFS(Base_Itens!$I$5:$I$1504,Base_Itens!$A$5:$A$1504,G$3,Base_Itens!$G$5:$G$1504,$A10)</f>
        <v>6</v>
      </c>
      <c r="H10" s="5">
        <f>SUMIFS(Base_Itens!$I$5:$I$1504,Base_Itens!$A$5:$A$1504,H$3,Base_Itens!$G$5:$G$1504,$A10)</f>
        <v>5.5</v>
      </c>
      <c r="I10" s="5">
        <f>SUMIFS(Base_Itens!$I$5:$I$1504,Base_Itens!$A$5:$A$1504,I$3,Base_Itens!$G$5:$G$1504,$A10)</f>
        <v>0</v>
      </c>
      <c r="J10" s="5">
        <f>SUMIFS(Base_Itens!$I$5:$I$1504,Base_Itens!$A$5:$A$1504,J$3,Base_Itens!$G$5:$G$1504,$A10)</f>
        <v>11</v>
      </c>
      <c r="K10" s="5">
        <f>SUMIFS(Base_Itens!$I$5:$I$1504,Base_Itens!$A$5:$A$1504,K$3,Base_Itens!$G$5:$G$1504,$A10)</f>
        <v>9</v>
      </c>
      <c r="L10" s="5">
        <f>SUMIFS(Base_Itens!$I$5:$I$1504,Base_Itens!$A$5:$A$1504,L$3,Base_Itens!$G$5:$G$1504,$A10)</f>
        <v>7.5</v>
      </c>
      <c r="M10" s="5">
        <f>SUMIFS(Base_Itens!$I$5:$I$1504,Base_Itens!$A$5:$A$1504,M$3,Base_Itens!$G$5:$G$1504,$A10)</f>
        <v>6</v>
      </c>
      <c r="N10" s="5">
        <f>SUMIFS(Base_Itens!$I$5:$I$1504,Base_Itens!$A$5:$A$1504,N$3,Base_Itens!$G$5:$G$1504,$A10)</f>
        <v>15</v>
      </c>
      <c r="O10" s="5">
        <f>SUMIFS(Base_Itens!$I$5:$I$1504,Base_Itens!$A$5:$A$1504,O$3,Base_Itens!$G$5:$G$1504,$A10)</f>
        <v>19</v>
      </c>
      <c r="P10" s="5">
        <f>SUMIFS(Base_Itens!$I$5:$I$1504,Base_Itens!$A$5:$A$1504,P$3,Base_Itens!$G$5:$G$1504,$A10)</f>
        <v>6</v>
      </c>
      <c r="Q10" s="5">
        <f>SUMIFS(Base_Itens!$I$5:$I$1504,Base_Itens!$A$5:$A$1504,Q$3,Base_Itens!$G$5:$G$1504,$A10)</f>
        <v>2.5</v>
      </c>
      <c r="R10" s="5">
        <f>SUMIFS(Base_Itens!$I$5:$I$1504,Base_Itens!$A$5:$A$1504,R$3,Base_Itens!$G$5:$G$1504,$A10)</f>
        <v>5</v>
      </c>
      <c r="S10" s="5">
        <f t="shared" si="0"/>
        <v>127</v>
      </c>
    </row>
    <row r="11" spans="1:19">
      <c r="A11" s="2" t="s">
        <v>29</v>
      </c>
      <c r="B11" s="5">
        <f>SUMIFS(Base_Itens!$I$5:$I$1504,Base_Itens!$A$5:$A$1504,B$3,Base_Itens!$G$5:$G$1504,$A11)</f>
        <v>2.5</v>
      </c>
      <c r="C11" s="5">
        <f>SUMIFS(Base_Itens!$I$5:$I$1504,Base_Itens!$A$5:$A$1504,C$3,Base_Itens!$G$5:$G$1504,$A11)</f>
        <v>1</v>
      </c>
      <c r="D11" s="5">
        <f>SUMIFS(Base_Itens!$I$5:$I$1504,Base_Itens!$A$5:$A$1504,D$3,Base_Itens!$G$5:$G$1504,$A11)</f>
        <v>1</v>
      </c>
      <c r="E11" s="5">
        <f>SUMIFS(Base_Itens!$I$5:$I$1504,Base_Itens!$A$5:$A$1504,E$3,Base_Itens!$G$5:$G$1504,$A11)</f>
        <v>1</v>
      </c>
      <c r="F11" s="5">
        <f>SUMIFS(Base_Itens!$I$5:$I$1504,Base_Itens!$A$5:$A$1504,F$3,Base_Itens!$G$5:$G$1504,$A11)</f>
        <v>1</v>
      </c>
      <c r="G11" s="5">
        <f>SUMIFS(Base_Itens!$I$5:$I$1504,Base_Itens!$A$5:$A$1504,G$3,Base_Itens!$G$5:$G$1504,$A11)</f>
        <v>0</v>
      </c>
      <c r="H11" s="5">
        <f>SUMIFS(Base_Itens!$I$5:$I$1504,Base_Itens!$A$5:$A$1504,H$3,Base_Itens!$G$5:$G$1504,$A11)</f>
        <v>4.5</v>
      </c>
      <c r="I11" s="5">
        <f>SUMIFS(Base_Itens!$I$5:$I$1504,Base_Itens!$A$5:$A$1504,I$3,Base_Itens!$G$5:$G$1504,$A11)</f>
        <v>0.5</v>
      </c>
      <c r="J11" s="5">
        <f>SUMIFS(Base_Itens!$I$5:$I$1504,Base_Itens!$A$5:$A$1504,J$3,Base_Itens!$G$5:$G$1504,$A11)</f>
        <v>4</v>
      </c>
      <c r="K11" s="5">
        <f>SUMIFS(Base_Itens!$I$5:$I$1504,Base_Itens!$A$5:$A$1504,K$3,Base_Itens!$G$5:$G$1504,$A11)</f>
        <v>2</v>
      </c>
      <c r="L11" s="5">
        <f>SUMIFS(Base_Itens!$I$5:$I$1504,Base_Itens!$A$5:$A$1504,L$3,Base_Itens!$G$5:$G$1504,$A11)</f>
        <v>0</v>
      </c>
      <c r="M11" s="5">
        <f>SUMIFS(Base_Itens!$I$5:$I$1504,Base_Itens!$A$5:$A$1504,M$3,Base_Itens!$G$5:$G$1504,$A11)</f>
        <v>7</v>
      </c>
      <c r="N11" s="5">
        <f>SUMIFS(Base_Itens!$I$5:$I$1504,Base_Itens!$A$5:$A$1504,N$3,Base_Itens!$G$5:$G$1504,$A11)</f>
        <v>3</v>
      </c>
      <c r="O11" s="5">
        <f>SUMIFS(Base_Itens!$I$5:$I$1504,Base_Itens!$A$5:$A$1504,O$3,Base_Itens!$G$5:$G$1504,$A11)</f>
        <v>1</v>
      </c>
      <c r="P11" s="5">
        <f>SUMIFS(Base_Itens!$I$5:$I$1504,Base_Itens!$A$5:$A$1504,P$3,Base_Itens!$G$5:$G$1504,$A11)</f>
        <v>0</v>
      </c>
      <c r="Q11" s="5">
        <f>SUMIFS(Base_Itens!$I$5:$I$1504,Base_Itens!$A$5:$A$1504,Q$3,Base_Itens!$G$5:$G$1504,$A11)</f>
        <v>4.5</v>
      </c>
      <c r="R11" s="5">
        <f>SUMIFS(Base_Itens!$I$5:$I$1504,Base_Itens!$A$5:$A$1504,R$3,Base_Itens!$G$5:$G$1504,$A11)</f>
        <v>2</v>
      </c>
      <c r="S11" s="5">
        <f t="shared" si="0"/>
        <v>35</v>
      </c>
    </row>
    <row r="12" spans="1:19">
      <c r="A12" s="2" t="s">
        <v>32</v>
      </c>
      <c r="B12" s="5">
        <f>SUMIFS(Base_Itens!$I$5:$I$1504,Base_Itens!$A$5:$A$1504,B$3,Base_Itens!$G$5:$G$1504,$A12)</f>
        <v>7.5</v>
      </c>
      <c r="C12" s="5">
        <f>SUMIFS(Base_Itens!$I$5:$I$1504,Base_Itens!$A$5:$A$1504,C$3,Base_Itens!$G$5:$G$1504,$A12)</f>
        <v>4</v>
      </c>
      <c r="D12" s="5">
        <f>SUMIFS(Base_Itens!$I$5:$I$1504,Base_Itens!$A$5:$A$1504,D$3,Base_Itens!$G$5:$G$1504,$A12)</f>
        <v>5.5</v>
      </c>
      <c r="E12" s="5">
        <f>SUMIFS(Base_Itens!$I$5:$I$1504,Base_Itens!$A$5:$A$1504,E$3,Base_Itens!$G$5:$G$1504,$A12)</f>
        <v>1</v>
      </c>
      <c r="F12" s="5">
        <f>SUMIFS(Base_Itens!$I$5:$I$1504,Base_Itens!$A$5:$A$1504,F$3,Base_Itens!$G$5:$G$1504,$A12)</f>
        <v>7</v>
      </c>
      <c r="G12" s="5">
        <f>SUMIFS(Base_Itens!$I$5:$I$1504,Base_Itens!$A$5:$A$1504,G$3,Base_Itens!$G$5:$G$1504,$A12)</f>
        <v>5</v>
      </c>
      <c r="H12" s="5">
        <f>SUMIFS(Base_Itens!$I$5:$I$1504,Base_Itens!$A$5:$A$1504,H$3,Base_Itens!$G$5:$G$1504,$A12)</f>
        <v>3.5</v>
      </c>
      <c r="I12" s="5">
        <f>SUMIFS(Base_Itens!$I$5:$I$1504,Base_Itens!$A$5:$A$1504,I$3,Base_Itens!$G$5:$G$1504,$A12)</f>
        <v>6.5</v>
      </c>
      <c r="J12" s="5">
        <f>SUMIFS(Base_Itens!$I$5:$I$1504,Base_Itens!$A$5:$A$1504,J$3,Base_Itens!$G$5:$G$1504,$A12)</f>
        <v>2</v>
      </c>
      <c r="K12" s="5">
        <f>SUMIFS(Base_Itens!$I$5:$I$1504,Base_Itens!$A$5:$A$1504,K$3,Base_Itens!$G$5:$G$1504,$A12)</f>
        <v>2</v>
      </c>
      <c r="L12" s="5">
        <f>SUMIFS(Base_Itens!$I$5:$I$1504,Base_Itens!$A$5:$A$1504,L$3,Base_Itens!$G$5:$G$1504,$A12)</f>
        <v>4</v>
      </c>
      <c r="M12" s="5">
        <f>SUMIFS(Base_Itens!$I$5:$I$1504,Base_Itens!$A$5:$A$1504,M$3,Base_Itens!$G$5:$G$1504,$A12)</f>
        <v>0</v>
      </c>
      <c r="N12" s="5">
        <f>SUMIFS(Base_Itens!$I$5:$I$1504,Base_Itens!$A$5:$A$1504,N$3,Base_Itens!$G$5:$G$1504,$A12)</f>
        <v>8</v>
      </c>
      <c r="O12" s="5">
        <f>SUMIFS(Base_Itens!$I$5:$I$1504,Base_Itens!$A$5:$A$1504,O$3,Base_Itens!$G$5:$G$1504,$A12)</f>
        <v>10</v>
      </c>
      <c r="P12" s="5">
        <f>SUMIFS(Base_Itens!$I$5:$I$1504,Base_Itens!$A$5:$A$1504,P$3,Base_Itens!$G$5:$G$1504,$A12)</f>
        <v>9</v>
      </c>
      <c r="Q12" s="5">
        <f>SUMIFS(Base_Itens!$I$5:$I$1504,Base_Itens!$A$5:$A$1504,Q$3,Base_Itens!$G$5:$G$1504,$A12)</f>
        <v>5</v>
      </c>
      <c r="R12" s="5">
        <f>SUMIFS(Base_Itens!$I$5:$I$1504,Base_Itens!$A$5:$A$1504,R$3,Base_Itens!$G$5:$G$1504,$A12)</f>
        <v>1.5</v>
      </c>
      <c r="S12" s="5">
        <f t="shared" si="0"/>
        <v>81.5</v>
      </c>
    </row>
    <row r="13" spans="1:19">
      <c r="A13" s="2" t="s">
        <v>35</v>
      </c>
      <c r="B13" s="5">
        <f>SUMIFS(Base_Itens!$I$5:$I$1504,Base_Itens!$A$5:$A$1504,B$3,Base_Itens!$G$5:$G$1504,$A13)</f>
        <v>6</v>
      </c>
      <c r="C13" s="5">
        <f>SUMIFS(Base_Itens!$I$5:$I$1504,Base_Itens!$A$5:$A$1504,C$3,Base_Itens!$G$5:$G$1504,$A13)</f>
        <v>2</v>
      </c>
      <c r="D13" s="5">
        <f>SUMIFS(Base_Itens!$I$5:$I$1504,Base_Itens!$A$5:$A$1504,D$3,Base_Itens!$G$5:$G$1504,$A13)</f>
        <v>9.5</v>
      </c>
      <c r="E13" s="5">
        <f>SUMIFS(Base_Itens!$I$5:$I$1504,Base_Itens!$A$5:$A$1504,E$3,Base_Itens!$G$5:$G$1504,$A13)</f>
        <v>6</v>
      </c>
      <c r="F13" s="5">
        <f>SUMIFS(Base_Itens!$I$5:$I$1504,Base_Itens!$A$5:$A$1504,F$3,Base_Itens!$G$5:$G$1504,$A13)</f>
        <v>14.5</v>
      </c>
      <c r="G13" s="5">
        <f>SUMIFS(Base_Itens!$I$5:$I$1504,Base_Itens!$A$5:$A$1504,G$3,Base_Itens!$G$5:$G$1504,$A13)</f>
        <v>13.5</v>
      </c>
      <c r="H13" s="5">
        <f>SUMIFS(Base_Itens!$I$5:$I$1504,Base_Itens!$A$5:$A$1504,H$3,Base_Itens!$G$5:$G$1504,$A13)</f>
        <v>5</v>
      </c>
      <c r="I13" s="5">
        <f>SUMIFS(Base_Itens!$I$5:$I$1504,Base_Itens!$A$5:$A$1504,I$3,Base_Itens!$G$5:$G$1504,$A13)</f>
        <v>7</v>
      </c>
      <c r="J13" s="5">
        <f>SUMIFS(Base_Itens!$I$5:$I$1504,Base_Itens!$A$5:$A$1504,J$3,Base_Itens!$G$5:$G$1504,$A13)</f>
        <v>11</v>
      </c>
      <c r="K13" s="5">
        <f>SUMIFS(Base_Itens!$I$5:$I$1504,Base_Itens!$A$5:$A$1504,K$3,Base_Itens!$G$5:$G$1504,$A13)</f>
        <v>8.5</v>
      </c>
      <c r="L13" s="5">
        <f>SUMIFS(Base_Itens!$I$5:$I$1504,Base_Itens!$A$5:$A$1504,L$3,Base_Itens!$G$5:$G$1504,$A13)</f>
        <v>5.5</v>
      </c>
      <c r="M13" s="5">
        <f>SUMIFS(Base_Itens!$I$5:$I$1504,Base_Itens!$A$5:$A$1504,M$3,Base_Itens!$G$5:$G$1504,$A13)</f>
        <v>10.5</v>
      </c>
      <c r="N13" s="5">
        <f>SUMIFS(Base_Itens!$I$5:$I$1504,Base_Itens!$A$5:$A$1504,N$3,Base_Itens!$G$5:$G$1504,$A13)</f>
        <v>6.5</v>
      </c>
      <c r="O13" s="5">
        <f>SUMIFS(Base_Itens!$I$5:$I$1504,Base_Itens!$A$5:$A$1504,O$3,Base_Itens!$G$5:$G$1504,$A13)</f>
        <v>5</v>
      </c>
      <c r="P13" s="5">
        <f>SUMIFS(Base_Itens!$I$5:$I$1504,Base_Itens!$A$5:$A$1504,P$3,Base_Itens!$G$5:$G$1504,$A13)</f>
        <v>8.5</v>
      </c>
      <c r="Q13" s="5">
        <f>SUMIFS(Base_Itens!$I$5:$I$1504,Base_Itens!$A$5:$A$1504,Q$3,Base_Itens!$G$5:$G$1504,$A13)</f>
        <v>13</v>
      </c>
      <c r="R13" s="5">
        <f>SUMIFS(Base_Itens!$I$5:$I$1504,Base_Itens!$A$5:$A$1504,R$3,Base_Itens!$G$5:$G$1504,$A13)</f>
        <v>12</v>
      </c>
      <c r="S13" s="5">
        <f t="shared" si="0"/>
        <v>144</v>
      </c>
    </row>
    <row r="14" spans="1:19">
      <c r="A14" s="2" t="s">
        <v>38</v>
      </c>
      <c r="B14" s="5">
        <f>SUMIFS(Base_Itens!$I$5:$I$1504,Base_Itens!$A$5:$A$1504,B$3,Base_Itens!$G$5:$G$1504,$A14)</f>
        <v>1</v>
      </c>
      <c r="C14" s="5">
        <f>SUMIFS(Base_Itens!$I$5:$I$1504,Base_Itens!$A$5:$A$1504,C$3,Base_Itens!$G$5:$G$1504,$A14)</f>
        <v>5</v>
      </c>
      <c r="D14" s="5">
        <f>SUMIFS(Base_Itens!$I$5:$I$1504,Base_Itens!$A$5:$A$1504,D$3,Base_Itens!$G$5:$G$1504,$A14)</f>
        <v>0</v>
      </c>
      <c r="E14" s="5">
        <f>SUMIFS(Base_Itens!$I$5:$I$1504,Base_Itens!$A$5:$A$1504,E$3,Base_Itens!$G$5:$G$1504,$A14)</f>
        <v>3</v>
      </c>
      <c r="F14" s="5">
        <f>SUMIFS(Base_Itens!$I$5:$I$1504,Base_Itens!$A$5:$A$1504,F$3,Base_Itens!$G$5:$G$1504,$A14)</f>
        <v>0.5</v>
      </c>
      <c r="G14" s="5">
        <f>SUMIFS(Base_Itens!$I$5:$I$1504,Base_Itens!$A$5:$A$1504,G$3,Base_Itens!$G$5:$G$1504,$A14)</f>
        <v>2</v>
      </c>
      <c r="H14" s="5">
        <f>SUMIFS(Base_Itens!$I$5:$I$1504,Base_Itens!$A$5:$A$1504,H$3,Base_Itens!$G$5:$G$1504,$A14)</f>
        <v>2</v>
      </c>
      <c r="I14" s="5">
        <f>SUMIFS(Base_Itens!$I$5:$I$1504,Base_Itens!$A$5:$A$1504,I$3,Base_Itens!$G$5:$G$1504,$A14)</f>
        <v>3</v>
      </c>
      <c r="J14" s="5">
        <f>SUMIFS(Base_Itens!$I$5:$I$1504,Base_Itens!$A$5:$A$1504,J$3,Base_Itens!$G$5:$G$1504,$A14)</f>
        <v>1</v>
      </c>
      <c r="K14" s="5">
        <f>SUMIFS(Base_Itens!$I$5:$I$1504,Base_Itens!$A$5:$A$1504,K$3,Base_Itens!$G$5:$G$1504,$A14)</f>
        <v>0</v>
      </c>
      <c r="L14" s="5">
        <f>SUMIFS(Base_Itens!$I$5:$I$1504,Base_Itens!$A$5:$A$1504,L$3,Base_Itens!$G$5:$G$1504,$A14)</f>
        <v>2</v>
      </c>
      <c r="M14" s="5">
        <f>SUMIFS(Base_Itens!$I$5:$I$1504,Base_Itens!$A$5:$A$1504,M$3,Base_Itens!$G$5:$G$1504,$A14)</f>
        <v>0</v>
      </c>
      <c r="N14" s="5">
        <f>SUMIFS(Base_Itens!$I$5:$I$1504,Base_Itens!$A$5:$A$1504,N$3,Base_Itens!$G$5:$G$1504,$A14)</f>
        <v>1.5</v>
      </c>
      <c r="O14" s="5">
        <f>SUMIFS(Base_Itens!$I$5:$I$1504,Base_Itens!$A$5:$A$1504,O$3,Base_Itens!$G$5:$G$1504,$A14)</f>
        <v>0</v>
      </c>
      <c r="P14" s="5">
        <f>SUMIFS(Base_Itens!$I$5:$I$1504,Base_Itens!$A$5:$A$1504,P$3,Base_Itens!$G$5:$G$1504,$A14)</f>
        <v>0.5</v>
      </c>
      <c r="Q14" s="5">
        <f>SUMIFS(Base_Itens!$I$5:$I$1504,Base_Itens!$A$5:$A$1504,Q$3,Base_Itens!$G$5:$G$1504,$A14)</f>
        <v>0</v>
      </c>
      <c r="R14" s="5">
        <f>SUMIFS(Base_Itens!$I$5:$I$1504,Base_Itens!$A$5:$A$1504,R$3,Base_Itens!$G$5:$G$1504,$A14)</f>
        <v>1</v>
      </c>
      <c r="S14" s="5">
        <f t="shared" si="0"/>
        <v>22.5</v>
      </c>
    </row>
    <row r="15" spans="1:19">
      <c r="A15" s="2" t="s">
        <v>41</v>
      </c>
      <c r="B15" s="5">
        <f>SUMIFS(Base_Itens!$I$5:$I$1504,Base_Itens!$A$5:$A$1504,B$3,Base_Itens!$G$5:$G$1504,$A15)</f>
        <v>10</v>
      </c>
      <c r="C15" s="5">
        <f>SUMIFS(Base_Itens!$I$5:$I$1504,Base_Itens!$A$5:$A$1504,C$3,Base_Itens!$G$5:$G$1504,$A15)</f>
        <v>10</v>
      </c>
      <c r="D15" s="5">
        <f>SUMIFS(Base_Itens!$I$5:$I$1504,Base_Itens!$A$5:$A$1504,D$3,Base_Itens!$G$5:$G$1504,$A15)</f>
        <v>10</v>
      </c>
      <c r="E15" s="5">
        <f>SUMIFS(Base_Itens!$I$5:$I$1504,Base_Itens!$A$5:$A$1504,E$3,Base_Itens!$G$5:$G$1504,$A15)</f>
        <v>10</v>
      </c>
      <c r="F15" s="5">
        <f>SUMIFS(Base_Itens!$I$5:$I$1504,Base_Itens!$A$5:$A$1504,F$3,Base_Itens!$G$5:$G$1504,$A15)</f>
        <v>10</v>
      </c>
      <c r="G15" s="5">
        <f>SUMIFS(Base_Itens!$I$5:$I$1504,Base_Itens!$A$5:$A$1504,G$3,Base_Itens!$G$5:$G$1504,$A15)</f>
        <v>10</v>
      </c>
      <c r="H15" s="5">
        <f>SUMIFS(Base_Itens!$I$5:$I$1504,Base_Itens!$A$5:$A$1504,H$3,Base_Itens!$G$5:$G$1504,$A15)</f>
        <v>15</v>
      </c>
      <c r="I15" s="5">
        <f>SUMIFS(Base_Itens!$I$5:$I$1504,Base_Itens!$A$5:$A$1504,I$3,Base_Itens!$G$5:$G$1504,$A15)</f>
        <v>10</v>
      </c>
      <c r="J15" s="5">
        <f>SUMIFS(Base_Itens!$I$5:$I$1504,Base_Itens!$A$5:$A$1504,J$3,Base_Itens!$G$5:$G$1504,$A15)</f>
        <v>10</v>
      </c>
      <c r="K15" s="5">
        <f>SUMIFS(Base_Itens!$I$5:$I$1504,Base_Itens!$A$5:$A$1504,K$3,Base_Itens!$G$5:$G$1504,$A15)</f>
        <v>10</v>
      </c>
      <c r="L15" s="5">
        <f>SUMIFS(Base_Itens!$I$5:$I$1504,Base_Itens!$A$5:$A$1504,L$3,Base_Itens!$G$5:$G$1504,$A15)</f>
        <v>10</v>
      </c>
      <c r="M15" s="5">
        <f>SUMIFS(Base_Itens!$I$5:$I$1504,Base_Itens!$A$5:$A$1504,M$3,Base_Itens!$G$5:$G$1504,$A15)</f>
        <v>15</v>
      </c>
      <c r="N15" s="5">
        <f>SUMIFS(Base_Itens!$I$5:$I$1504,Base_Itens!$A$5:$A$1504,N$3,Base_Itens!$G$5:$G$1504,$A15)</f>
        <v>5</v>
      </c>
      <c r="O15" s="5">
        <f>SUMIFS(Base_Itens!$I$5:$I$1504,Base_Itens!$A$5:$A$1504,O$3,Base_Itens!$G$5:$G$1504,$A15)</f>
        <v>5</v>
      </c>
      <c r="P15" s="5">
        <f>SUMIFS(Base_Itens!$I$5:$I$1504,Base_Itens!$A$5:$A$1504,P$3,Base_Itens!$G$5:$G$1504,$A15)</f>
        <v>5</v>
      </c>
      <c r="Q15" s="5">
        <f>SUMIFS(Base_Itens!$I$5:$I$1504,Base_Itens!$A$5:$A$1504,Q$3,Base_Itens!$G$5:$G$1504,$A15)</f>
        <v>5</v>
      </c>
      <c r="R15" s="5">
        <f>SUMIFS(Base_Itens!$I$5:$I$1504,Base_Itens!$A$5:$A$1504,R$3,Base_Itens!$G$5:$G$1504,$A15)</f>
        <v>5</v>
      </c>
      <c r="S15" s="5">
        <f t="shared" si="0"/>
        <v>155</v>
      </c>
    </row>
    <row r="16" spans="1:19">
      <c r="A16" s="2" t="s">
        <v>44</v>
      </c>
      <c r="B16" s="5">
        <f>SUMIFS(Base_Itens!$I$5:$I$1504,Base_Itens!$A$5:$A$1504,B$3,Base_Itens!$G$5:$G$1504,$A16)</f>
        <v>3</v>
      </c>
      <c r="C16" s="5">
        <f>SUMIFS(Base_Itens!$I$5:$I$1504,Base_Itens!$A$5:$A$1504,C$3,Base_Itens!$G$5:$G$1504,$A16)</f>
        <v>8</v>
      </c>
      <c r="D16" s="5">
        <f>SUMIFS(Base_Itens!$I$5:$I$1504,Base_Itens!$A$5:$A$1504,D$3,Base_Itens!$G$5:$G$1504,$A16)</f>
        <v>2</v>
      </c>
      <c r="E16" s="5">
        <f>SUMIFS(Base_Itens!$I$5:$I$1504,Base_Itens!$A$5:$A$1504,E$3,Base_Itens!$G$5:$G$1504,$A16)</f>
        <v>8</v>
      </c>
      <c r="F16" s="5">
        <f>SUMIFS(Base_Itens!$I$5:$I$1504,Base_Itens!$A$5:$A$1504,F$3,Base_Itens!$G$5:$G$1504,$A16)</f>
        <v>5</v>
      </c>
      <c r="G16" s="5">
        <f>SUMIFS(Base_Itens!$I$5:$I$1504,Base_Itens!$A$5:$A$1504,G$3,Base_Itens!$G$5:$G$1504,$A16)</f>
        <v>5</v>
      </c>
      <c r="H16" s="5">
        <f>SUMIFS(Base_Itens!$I$5:$I$1504,Base_Itens!$A$5:$A$1504,H$3,Base_Itens!$G$5:$G$1504,$A16)</f>
        <v>6</v>
      </c>
      <c r="I16" s="5">
        <f>SUMIFS(Base_Itens!$I$5:$I$1504,Base_Itens!$A$5:$A$1504,I$3,Base_Itens!$G$5:$G$1504,$A16)</f>
        <v>7</v>
      </c>
      <c r="J16" s="5">
        <f>SUMIFS(Base_Itens!$I$5:$I$1504,Base_Itens!$A$5:$A$1504,J$3,Base_Itens!$G$5:$G$1504,$A16)</f>
        <v>3</v>
      </c>
      <c r="K16" s="5">
        <f>SUMIFS(Base_Itens!$I$5:$I$1504,Base_Itens!$A$5:$A$1504,K$3,Base_Itens!$G$5:$G$1504,$A16)</f>
        <v>8</v>
      </c>
      <c r="L16" s="5">
        <f>SUMIFS(Base_Itens!$I$5:$I$1504,Base_Itens!$A$5:$A$1504,L$3,Base_Itens!$G$5:$G$1504,$A16)</f>
        <v>7</v>
      </c>
      <c r="M16" s="5">
        <f>SUMIFS(Base_Itens!$I$5:$I$1504,Base_Itens!$A$5:$A$1504,M$3,Base_Itens!$G$5:$G$1504,$A16)</f>
        <v>3</v>
      </c>
      <c r="N16" s="5">
        <f>SUMIFS(Base_Itens!$I$5:$I$1504,Base_Itens!$A$5:$A$1504,N$3,Base_Itens!$G$5:$G$1504,$A16)</f>
        <v>12</v>
      </c>
      <c r="O16" s="5">
        <f>SUMIFS(Base_Itens!$I$5:$I$1504,Base_Itens!$A$5:$A$1504,O$3,Base_Itens!$G$5:$G$1504,$A16)</f>
        <v>4</v>
      </c>
      <c r="P16" s="5">
        <f>SUMIFS(Base_Itens!$I$5:$I$1504,Base_Itens!$A$5:$A$1504,P$3,Base_Itens!$G$5:$G$1504,$A16)</f>
        <v>5</v>
      </c>
      <c r="Q16" s="5">
        <f>SUMIFS(Base_Itens!$I$5:$I$1504,Base_Itens!$A$5:$A$1504,Q$3,Base_Itens!$G$5:$G$1504,$A16)</f>
        <v>5</v>
      </c>
      <c r="R16" s="5">
        <f>SUMIFS(Base_Itens!$I$5:$I$1504,Base_Itens!$A$5:$A$1504,R$3,Base_Itens!$G$5:$G$1504,$A16)</f>
        <v>2</v>
      </c>
      <c r="S16" s="5">
        <f t="shared" si="0"/>
        <v>93</v>
      </c>
    </row>
    <row r="17" spans="1:19">
      <c r="A17" s="2" t="s">
        <v>47</v>
      </c>
      <c r="B17" s="5">
        <f>SUMIFS(Base_Itens!$I$5:$I$1504,Base_Itens!$A$5:$A$1504,B$3,Base_Itens!$G$5:$G$1504,$A17)</f>
        <v>0</v>
      </c>
      <c r="C17" s="5">
        <f>SUMIFS(Base_Itens!$I$5:$I$1504,Base_Itens!$A$5:$A$1504,C$3,Base_Itens!$G$5:$G$1504,$A17)</f>
        <v>2</v>
      </c>
      <c r="D17" s="5">
        <f>SUMIFS(Base_Itens!$I$5:$I$1504,Base_Itens!$A$5:$A$1504,D$3,Base_Itens!$G$5:$G$1504,$A17)</f>
        <v>3</v>
      </c>
      <c r="E17" s="5">
        <f>SUMIFS(Base_Itens!$I$5:$I$1504,Base_Itens!$A$5:$A$1504,E$3,Base_Itens!$G$5:$G$1504,$A17)</f>
        <v>3</v>
      </c>
      <c r="F17" s="5">
        <f>SUMIFS(Base_Itens!$I$5:$I$1504,Base_Itens!$A$5:$A$1504,F$3,Base_Itens!$G$5:$G$1504,$A17)</f>
        <v>2</v>
      </c>
      <c r="G17" s="5">
        <f>SUMIFS(Base_Itens!$I$5:$I$1504,Base_Itens!$A$5:$A$1504,G$3,Base_Itens!$G$5:$G$1504,$A17)</f>
        <v>1</v>
      </c>
      <c r="H17" s="5">
        <f>SUMIFS(Base_Itens!$I$5:$I$1504,Base_Itens!$A$5:$A$1504,H$3,Base_Itens!$G$5:$G$1504,$A17)</f>
        <v>3</v>
      </c>
      <c r="I17" s="5">
        <f>SUMIFS(Base_Itens!$I$5:$I$1504,Base_Itens!$A$5:$A$1504,I$3,Base_Itens!$G$5:$G$1504,$A17)</f>
        <v>4</v>
      </c>
      <c r="J17" s="5">
        <f>SUMIFS(Base_Itens!$I$5:$I$1504,Base_Itens!$A$5:$A$1504,J$3,Base_Itens!$G$5:$G$1504,$A17)</f>
        <v>1</v>
      </c>
      <c r="K17" s="5">
        <f>SUMIFS(Base_Itens!$I$5:$I$1504,Base_Itens!$A$5:$A$1504,K$3,Base_Itens!$G$5:$G$1504,$A17)</f>
        <v>1</v>
      </c>
      <c r="L17" s="5">
        <f>SUMIFS(Base_Itens!$I$5:$I$1504,Base_Itens!$A$5:$A$1504,L$3,Base_Itens!$G$5:$G$1504,$A17)</f>
        <v>2</v>
      </c>
      <c r="M17" s="5">
        <f>SUMIFS(Base_Itens!$I$5:$I$1504,Base_Itens!$A$5:$A$1504,M$3,Base_Itens!$G$5:$G$1504,$A17)</f>
        <v>2</v>
      </c>
      <c r="N17" s="5">
        <f>SUMIFS(Base_Itens!$I$5:$I$1504,Base_Itens!$A$5:$A$1504,N$3,Base_Itens!$G$5:$G$1504,$A17)</f>
        <v>0</v>
      </c>
      <c r="O17" s="5">
        <f>SUMIFS(Base_Itens!$I$5:$I$1504,Base_Itens!$A$5:$A$1504,O$3,Base_Itens!$G$5:$G$1504,$A17)</f>
        <v>0</v>
      </c>
      <c r="P17" s="5">
        <f>SUMIFS(Base_Itens!$I$5:$I$1504,Base_Itens!$A$5:$A$1504,P$3,Base_Itens!$G$5:$G$1504,$A17)</f>
        <v>0</v>
      </c>
      <c r="Q17" s="5">
        <f>SUMIFS(Base_Itens!$I$5:$I$1504,Base_Itens!$A$5:$A$1504,Q$3,Base_Itens!$G$5:$G$1504,$A17)</f>
        <v>0</v>
      </c>
      <c r="R17" s="5">
        <f>SUMIFS(Base_Itens!$I$5:$I$1504,Base_Itens!$A$5:$A$1504,R$3,Base_Itens!$G$5:$G$1504,$A17)</f>
        <v>2</v>
      </c>
      <c r="S17" s="5">
        <f t="shared" si="0"/>
        <v>26</v>
      </c>
    </row>
    <row r="18" spans="1:19">
      <c r="A18" s="2" t="s">
        <v>50</v>
      </c>
      <c r="B18" s="5">
        <f>SUMIFS(Base_Itens!$I$5:$I$1504,Base_Itens!$A$5:$A$1504,B$3,Base_Itens!$G$5:$G$1504,$A18)</f>
        <v>1.6666666666666667</v>
      </c>
      <c r="C18" s="5">
        <f>SUMIFS(Base_Itens!$I$5:$I$1504,Base_Itens!$A$5:$A$1504,C$3,Base_Itens!$G$5:$G$1504,$A18)</f>
        <v>5</v>
      </c>
      <c r="D18" s="5">
        <f>SUMIFS(Base_Itens!$I$5:$I$1504,Base_Itens!$A$5:$A$1504,D$3,Base_Itens!$G$5:$G$1504,$A18)</f>
        <v>1</v>
      </c>
      <c r="E18" s="5">
        <f>SUMIFS(Base_Itens!$I$5:$I$1504,Base_Itens!$A$5:$A$1504,E$3,Base_Itens!$G$5:$G$1504,$A18)</f>
        <v>2</v>
      </c>
      <c r="F18" s="5">
        <f>SUMIFS(Base_Itens!$I$5:$I$1504,Base_Itens!$A$5:$A$1504,F$3,Base_Itens!$G$5:$G$1504,$A18)</f>
        <v>7</v>
      </c>
      <c r="G18" s="5">
        <f>SUMIFS(Base_Itens!$I$5:$I$1504,Base_Itens!$A$5:$A$1504,G$3,Base_Itens!$G$5:$G$1504,$A18)</f>
        <v>5</v>
      </c>
      <c r="H18" s="5">
        <f>SUMIFS(Base_Itens!$I$5:$I$1504,Base_Itens!$A$5:$A$1504,H$3,Base_Itens!$G$5:$G$1504,$A18)</f>
        <v>3</v>
      </c>
      <c r="I18" s="5">
        <f>SUMIFS(Base_Itens!$I$5:$I$1504,Base_Itens!$A$5:$A$1504,I$3,Base_Itens!$G$5:$G$1504,$A18)</f>
        <v>6</v>
      </c>
      <c r="J18" s="5">
        <f>SUMIFS(Base_Itens!$I$5:$I$1504,Base_Itens!$A$5:$A$1504,J$3,Base_Itens!$G$5:$G$1504,$A18)</f>
        <v>5</v>
      </c>
      <c r="K18" s="5">
        <f>SUMIFS(Base_Itens!$I$5:$I$1504,Base_Itens!$A$5:$A$1504,K$3,Base_Itens!$G$5:$G$1504,$A18)</f>
        <v>3</v>
      </c>
      <c r="L18" s="5">
        <f>SUMIFS(Base_Itens!$I$5:$I$1504,Base_Itens!$A$5:$A$1504,L$3,Base_Itens!$G$5:$G$1504,$A18)</f>
        <v>5</v>
      </c>
      <c r="M18" s="5">
        <f>SUMIFS(Base_Itens!$I$5:$I$1504,Base_Itens!$A$5:$A$1504,M$3,Base_Itens!$G$5:$G$1504,$A18)</f>
        <v>1</v>
      </c>
      <c r="N18" s="5">
        <f>SUMIFS(Base_Itens!$I$5:$I$1504,Base_Itens!$A$5:$A$1504,N$3,Base_Itens!$G$5:$G$1504,$A18)</f>
        <v>0</v>
      </c>
      <c r="O18" s="5">
        <f>SUMIFS(Base_Itens!$I$5:$I$1504,Base_Itens!$A$5:$A$1504,O$3,Base_Itens!$G$5:$G$1504,$A18)</f>
        <v>6</v>
      </c>
      <c r="P18" s="5">
        <f>SUMIFS(Base_Itens!$I$5:$I$1504,Base_Itens!$A$5:$A$1504,P$3,Base_Itens!$G$5:$G$1504,$A18)</f>
        <v>0</v>
      </c>
      <c r="Q18" s="5">
        <f>SUMIFS(Base_Itens!$I$5:$I$1504,Base_Itens!$A$5:$A$1504,Q$3,Base_Itens!$G$5:$G$1504,$A18)</f>
        <v>5</v>
      </c>
      <c r="R18" s="5">
        <f>SUMIFS(Base_Itens!$I$5:$I$1504,Base_Itens!$A$5:$A$1504,R$3,Base_Itens!$G$5:$G$1504,$A18)</f>
        <v>3</v>
      </c>
      <c r="S18" s="5">
        <f t="shared" si="0"/>
        <v>58.666666666666671</v>
      </c>
    </row>
    <row r="19" spans="1:19">
      <c r="A19" s="2" t="s">
        <v>54</v>
      </c>
      <c r="B19" s="5">
        <f>SUMIFS(Base_Itens!$I$5:$I$1504,Base_Itens!$A$5:$A$1504,B$3,Base_Itens!$G$5:$G$1504,$A19)</f>
        <v>0</v>
      </c>
      <c r="C19" s="5">
        <f>SUMIFS(Base_Itens!$I$5:$I$1504,Base_Itens!$A$5:$A$1504,C$3,Base_Itens!$G$5:$G$1504,$A19)</f>
        <v>0</v>
      </c>
      <c r="D19" s="5">
        <f>SUMIFS(Base_Itens!$I$5:$I$1504,Base_Itens!$A$5:$A$1504,D$3,Base_Itens!$G$5:$G$1504,$A19)</f>
        <v>1</v>
      </c>
      <c r="E19" s="5">
        <f>SUMIFS(Base_Itens!$I$5:$I$1504,Base_Itens!$A$5:$A$1504,E$3,Base_Itens!$G$5:$G$1504,$A19)</f>
        <v>0</v>
      </c>
      <c r="F19" s="5">
        <f>SUMIFS(Base_Itens!$I$5:$I$1504,Base_Itens!$A$5:$A$1504,F$3,Base_Itens!$G$5:$G$1504,$A19)</f>
        <v>0</v>
      </c>
      <c r="G19" s="5">
        <f>SUMIFS(Base_Itens!$I$5:$I$1504,Base_Itens!$A$5:$A$1504,G$3,Base_Itens!$G$5:$G$1504,$A19)</f>
        <v>0</v>
      </c>
      <c r="H19" s="5">
        <f>SUMIFS(Base_Itens!$I$5:$I$1504,Base_Itens!$A$5:$A$1504,H$3,Base_Itens!$G$5:$G$1504,$A19)</f>
        <v>0</v>
      </c>
      <c r="I19" s="5">
        <f>SUMIFS(Base_Itens!$I$5:$I$1504,Base_Itens!$A$5:$A$1504,I$3,Base_Itens!$G$5:$G$1504,$A19)</f>
        <v>0</v>
      </c>
      <c r="J19" s="5">
        <f>SUMIFS(Base_Itens!$I$5:$I$1504,Base_Itens!$A$5:$A$1504,J$3,Base_Itens!$G$5:$G$1504,$A19)</f>
        <v>2</v>
      </c>
      <c r="K19" s="5">
        <f>SUMIFS(Base_Itens!$I$5:$I$1504,Base_Itens!$A$5:$A$1504,K$3,Base_Itens!$G$5:$G$1504,$A19)</f>
        <v>0</v>
      </c>
      <c r="L19" s="5">
        <f>SUMIFS(Base_Itens!$I$5:$I$1504,Base_Itens!$A$5:$A$1504,L$3,Base_Itens!$G$5:$G$1504,$A19)</f>
        <v>0</v>
      </c>
      <c r="M19" s="5">
        <f>SUMIFS(Base_Itens!$I$5:$I$1504,Base_Itens!$A$5:$A$1504,M$3,Base_Itens!$G$5:$G$1504,$A19)</f>
        <v>0</v>
      </c>
      <c r="N19" s="5">
        <f>SUMIFS(Base_Itens!$I$5:$I$1504,Base_Itens!$A$5:$A$1504,N$3,Base_Itens!$G$5:$G$1504,$A19)</f>
        <v>0</v>
      </c>
      <c r="O19" s="5">
        <f>SUMIFS(Base_Itens!$I$5:$I$1504,Base_Itens!$A$5:$A$1504,O$3,Base_Itens!$G$5:$G$1504,$A19)</f>
        <v>0</v>
      </c>
      <c r="P19" s="5">
        <f>SUMIFS(Base_Itens!$I$5:$I$1504,Base_Itens!$A$5:$A$1504,P$3,Base_Itens!$G$5:$G$1504,$A19)</f>
        <v>0</v>
      </c>
      <c r="Q19" s="5">
        <f>SUMIFS(Base_Itens!$I$5:$I$1504,Base_Itens!$A$5:$A$1504,Q$3,Base_Itens!$G$5:$G$1504,$A19)</f>
        <v>0</v>
      </c>
      <c r="R19" s="5">
        <f>SUMIFS(Base_Itens!$I$5:$I$1504,Base_Itens!$A$5:$A$1504,R$3,Base_Itens!$G$5:$G$1504,$A19)</f>
        <v>0</v>
      </c>
      <c r="S19" s="5">
        <f t="shared" si="0"/>
        <v>3</v>
      </c>
    </row>
    <row r="20" spans="1:19">
      <c r="A20" s="2" t="s">
        <v>57</v>
      </c>
      <c r="B20" s="5">
        <f>SUMIFS(Base_Itens!$I$5:$I$1504,Base_Itens!$A$5:$A$1504,B$3,Base_Itens!$G$5:$G$1504,$A20)</f>
        <v>0</v>
      </c>
      <c r="C20" s="5">
        <f>SUMIFS(Base_Itens!$I$5:$I$1504,Base_Itens!$A$5:$A$1504,C$3,Base_Itens!$G$5:$G$1504,$A20)</f>
        <v>0</v>
      </c>
      <c r="D20" s="5">
        <f>SUMIFS(Base_Itens!$I$5:$I$1504,Base_Itens!$A$5:$A$1504,D$3,Base_Itens!$G$5:$G$1504,$A20)</f>
        <v>0</v>
      </c>
      <c r="E20" s="5">
        <f>SUMIFS(Base_Itens!$I$5:$I$1504,Base_Itens!$A$5:$A$1504,E$3,Base_Itens!$G$5:$G$1504,$A20)</f>
        <v>0</v>
      </c>
      <c r="F20" s="5">
        <f>SUMIFS(Base_Itens!$I$5:$I$1504,Base_Itens!$A$5:$A$1504,F$3,Base_Itens!$G$5:$G$1504,$A20)</f>
        <v>0</v>
      </c>
      <c r="G20" s="5">
        <f>SUMIFS(Base_Itens!$I$5:$I$1504,Base_Itens!$A$5:$A$1504,G$3,Base_Itens!$G$5:$G$1504,$A20)</f>
        <v>0</v>
      </c>
      <c r="H20" s="5">
        <f>SUMIFS(Base_Itens!$I$5:$I$1504,Base_Itens!$A$5:$A$1504,H$3,Base_Itens!$G$5:$G$1504,$A20)</f>
        <v>0</v>
      </c>
      <c r="I20" s="5">
        <f>SUMIFS(Base_Itens!$I$5:$I$1504,Base_Itens!$A$5:$A$1504,I$3,Base_Itens!$G$5:$G$1504,$A20)</f>
        <v>0</v>
      </c>
      <c r="J20" s="5">
        <f>SUMIFS(Base_Itens!$I$5:$I$1504,Base_Itens!$A$5:$A$1504,J$3,Base_Itens!$G$5:$G$1504,$A20)</f>
        <v>0</v>
      </c>
      <c r="K20" s="5">
        <f>SUMIFS(Base_Itens!$I$5:$I$1504,Base_Itens!$A$5:$A$1504,K$3,Base_Itens!$G$5:$G$1504,$A20)</f>
        <v>0</v>
      </c>
      <c r="L20" s="5">
        <f>SUMIFS(Base_Itens!$I$5:$I$1504,Base_Itens!$A$5:$A$1504,L$3,Base_Itens!$G$5:$G$1504,$A20)</f>
        <v>1</v>
      </c>
      <c r="M20" s="5">
        <f>SUMIFS(Base_Itens!$I$5:$I$1504,Base_Itens!$A$5:$A$1504,M$3,Base_Itens!$G$5:$G$1504,$A20)</f>
        <v>0</v>
      </c>
      <c r="N20" s="5">
        <f>SUMIFS(Base_Itens!$I$5:$I$1504,Base_Itens!$A$5:$A$1504,N$3,Base_Itens!$G$5:$G$1504,$A20)</f>
        <v>0</v>
      </c>
      <c r="O20" s="5">
        <f>SUMIFS(Base_Itens!$I$5:$I$1504,Base_Itens!$A$5:$A$1504,O$3,Base_Itens!$G$5:$G$1504,$A20)</f>
        <v>0</v>
      </c>
      <c r="P20" s="5">
        <f>SUMIFS(Base_Itens!$I$5:$I$1504,Base_Itens!$A$5:$A$1504,P$3,Base_Itens!$G$5:$G$1504,$A20)</f>
        <v>0</v>
      </c>
      <c r="Q20" s="5">
        <f>SUMIFS(Base_Itens!$I$5:$I$1504,Base_Itens!$A$5:$A$1504,Q$3,Base_Itens!$G$5:$G$1504,$A20)</f>
        <v>0</v>
      </c>
      <c r="R20" s="5">
        <f>SUMIFS(Base_Itens!$I$5:$I$1504,Base_Itens!$A$5:$A$1504,R$3,Base_Itens!$G$5:$G$1504,$A20)</f>
        <v>0</v>
      </c>
      <c r="S20" s="5">
        <f t="shared" si="0"/>
        <v>1</v>
      </c>
    </row>
    <row r="21" spans="1:19">
      <c r="A21" s="2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</row>
    <row r="22" spans="1:19">
      <c r="A22" s="2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</row>
    <row r="23" spans="1:19">
      <c r="A23" s="2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</row>
    <row r="24" spans="1:19"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</row>
    <row r="25" spans="1:19" ht="15" customHeight="1">
      <c r="A25" s="6" t="s">
        <v>62</v>
      </c>
      <c r="B25" s="7">
        <f t="shared" ref="B25:S25" si="1">SUM(B4:B20)</f>
        <v>75.000000000000014</v>
      </c>
      <c r="C25" s="7">
        <f t="shared" si="1"/>
        <v>75</v>
      </c>
      <c r="D25" s="7">
        <f t="shared" si="1"/>
        <v>75</v>
      </c>
      <c r="E25" s="7">
        <f t="shared" si="1"/>
        <v>75</v>
      </c>
      <c r="F25" s="7">
        <f t="shared" si="1"/>
        <v>75</v>
      </c>
      <c r="G25" s="7">
        <f t="shared" si="1"/>
        <v>75</v>
      </c>
      <c r="H25" s="7">
        <f t="shared" si="1"/>
        <v>75</v>
      </c>
      <c r="I25" s="7">
        <f t="shared" si="1"/>
        <v>75</v>
      </c>
      <c r="J25" s="7">
        <f t="shared" si="1"/>
        <v>75</v>
      </c>
      <c r="K25" s="7">
        <f t="shared" si="1"/>
        <v>75</v>
      </c>
      <c r="L25" s="7">
        <f t="shared" si="1"/>
        <v>75</v>
      </c>
      <c r="M25" s="7">
        <f t="shared" si="1"/>
        <v>75</v>
      </c>
      <c r="N25" s="7">
        <f t="shared" si="1"/>
        <v>75</v>
      </c>
      <c r="O25" s="7">
        <f t="shared" si="1"/>
        <v>75</v>
      </c>
      <c r="P25" s="7">
        <f t="shared" si="1"/>
        <v>50</v>
      </c>
      <c r="Q25" s="7">
        <f t="shared" si="1"/>
        <v>50</v>
      </c>
      <c r="R25" s="7">
        <f t="shared" si="1"/>
        <v>50</v>
      </c>
      <c r="S25" s="7">
        <f t="shared" si="1"/>
        <v>1200.0000000000002</v>
      </c>
    </row>
    <row r="26" spans="1:19"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</row>
  </sheetData>
  <mergeCells count="1">
    <mergeCell ref="A1:S1"/>
  </mergeCells>
  <conditionalFormatting sqref="B4:R23">
    <cfRule type="colorScale" priority="1">
      <colorScale>
        <cfvo type="min"/>
        <cfvo type="percentile" val="50"/>
        <cfvo type="max"/>
        <color rgb="FFFFFFFF"/>
        <color rgb="FFFFE699"/>
        <color rgb="FF70AD47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O48"/>
  <sheetViews>
    <sheetView tabSelected="1" zoomScale="70" zoomScaleNormal="70" workbookViewId="0">
      <selection activeCell="B3" sqref="B3"/>
    </sheetView>
  </sheetViews>
  <sheetFormatPr defaultRowHeight="14.25"/>
  <cols>
    <col min="1" max="1" width="52" customWidth="1"/>
    <col min="2" max="2" width="14" customWidth="1"/>
    <col min="3" max="3" width="14" style="32" customWidth="1"/>
  </cols>
  <sheetData>
    <row r="1" spans="1:41" ht="19.5" customHeight="1">
      <c r="A1" s="26" t="s">
        <v>63</v>
      </c>
      <c r="B1" s="23"/>
      <c r="C1" s="31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</row>
    <row r="3" spans="1:41" ht="15" customHeight="1">
      <c r="A3" s="8" t="s">
        <v>64</v>
      </c>
      <c r="B3" s="9">
        <v>2026</v>
      </c>
      <c r="E3" s="25" t="s">
        <v>65</v>
      </c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</row>
    <row r="5" spans="1:41" ht="15" customHeight="1">
      <c r="U5" s="11" t="s">
        <v>66</v>
      </c>
      <c r="V5" s="11" t="s">
        <v>8</v>
      </c>
      <c r="W5" s="11" t="s">
        <v>11</v>
      </c>
      <c r="X5" s="11" t="s">
        <v>14</v>
      </c>
      <c r="Y5" s="11" t="s">
        <v>17</v>
      </c>
      <c r="Z5" s="11" t="s">
        <v>20</v>
      </c>
      <c r="AA5" s="11" t="s">
        <v>23</v>
      </c>
      <c r="AB5" s="11" t="s">
        <v>26</v>
      </c>
      <c r="AC5" s="11" t="s">
        <v>29</v>
      </c>
      <c r="AD5" s="11" t="s">
        <v>32</v>
      </c>
      <c r="AE5" s="11" t="s">
        <v>35</v>
      </c>
      <c r="AF5" s="11" t="s">
        <v>38</v>
      </c>
      <c r="AG5" s="11" t="s">
        <v>41</v>
      </c>
      <c r="AH5" s="11" t="s">
        <v>44</v>
      </c>
      <c r="AI5" s="11" t="s">
        <v>47</v>
      </c>
      <c r="AJ5" s="11" t="s">
        <v>50</v>
      </c>
      <c r="AK5" s="11" t="s">
        <v>54</v>
      </c>
      <c r="AL5" s="11" t="s">
        <v>57</v>
      </c>
      <c r="AM5" s="11">
        <f>Tópicos!E21</f>
        <v>0</v>
      </c>
      <c r="AN5" s="11">
        <f>Tópicos!E22</f>
        <v>0</v>
      </c>
      <c r="AO5" s="11">
        <f>Tópicos!E23</f>
        <v>0</v>
      </c>
    </row>
    <row r="6" spans="1:41" ht="15" customHeight="1">
      <c r="A6" s="10" t="s">
        <v>2</v>
      </c>
      <c r="B6" s="10" t="s">
        <v>67</v>
      </c>
      <c r="C6" s="36" t="s">
        <v>3178</v>
      </c>
      <c r="U6">
        <v>2010</v>
      </c>
      <c r="V6" s="5" t="e">
        <f>IF($B$32="Sim",INDEX(Matriz!$B$4:$R$4,1,MATCH($U6,Matriz!$B$3:$R$3,0)),NA())</f>
        <v>#N/A</v>
      </c>
      <c r="W6" s="5" t="e">
        <f>IF($B$33="Sim",INDEX(Matriz!$B$5:$R$5,1,MATCH($U6,Matriz!$B$3:$R$3,0)),NA())</f>
        <v>#N/A</v>
      </c>
      <c r="X6" s="5" t="e">
        <f>IF($B$34="Sim",INDEX(Matriz!$B$6:$R$6,1,MATCH($U6,Matriz!$B$3:$R$3,0)),NA())</f>
        <v>#N/A</v>
      </c>
      <c r="Y6" s="5" t="e">
        <f>IF($B$35="Sim",INDEX(Matriz!$B$7:$R$7,1,MATCH($U6,Matriz!$B$3:$R$3,0)),NA())</f>
        <v>#N/A</v>
      </c>
      <c r="Z6" s="5" t="e">
        <f>IF($B$36="Sim",INDEX(Matriz!$B$8:$R$8,1,MATCH($U6,Matriz!$B$3:$R$3,0)),NA())</f>
        <v>#N/A</v>
      </c>
      <c r="AA6" s="5">
        <f>IF($B$37="Sim",INDEX(Matriz!$B$9:$R$9,1,MATCH($U6,Matriz!$B$3:$R$3,0)),NA())</f>
        <v>7</v>
      </c>
      <c r="AB6" s="5" t="e">
        <f>IF($B$38="Sim",INDEX(Matriz!$B$10:$R$10,1,MATCH($U6,Matriz!$B$3:$R$3,0)),NA())</f>
        <v>#N/A</v>
      </c>
      <c r="AC6" s="5" t="e">
        <f>IF($B$39="Sim",INDEX(Matriz!$B$11:$R$11,1,MATCH($U6,Matriz!$B$3:$R$3,0)),NA())</f>
        <v>#N/A</v>
      </c>
      <c r="AD6" s="5" t="e">
        <f>IF($B$40="Sim",INDEX(Matriz!$B$12:$R$12,1,MATCH($U6,Matriz!$B$3:$R$3,0)),NA())</f>
        <v>#N/A</v>
      </c>
      <c r="AE6" s="5" t="e">
        <f>IF($B$41="Sim",INDEX(Matriz!$B$13:$R$13,1,MATCH($U6,Matriz!$B$3:$R$3,0)),NA())</f>
        <v>#N/A</v>
      </c>
      <c r="AF6" s="5" t="e">
        <f>IF($B$42="Sim",INDEX(Matriz!$B$14:$R$14,1,MATCH($U6,Matriz!$B$3:$R$3,0)),NA())</f>
        <v>#N/A</v>
      </c>
      <c r="AG6" s="5" t="e">
        <f>IF($B$43="Sim",INDEX(Matriz!$B$15:$R$15,1,MATCH($U6,Matriz!$B$3:$R$3,0)),NA())</f>
        <v>#N/A</v>
      </c>
      <c r="AH6" s="5" t="e">
        <f>IF($B$44="Sim",INDEX(Matriz!$B$16:$R$16,1,MATCH($U6,Matriz!$B$3:$R$3,0)),NA())</f>
        <v>#N/A</v>
      </c>
      <c r="AI6" s="5" t="e">
        <f>IF($B$45="Sim",INDEX(Matriz!$B$17:$R$17,1,MATCH($U6,Matriz!$B$3:$R$3,0)),NA())</f>
        <v>#N/A</v>
      </c>
      <c r="AJ6" s="5" t="e">
        <f>IF($B$46="Sim",INDEX(Matriz!$B$18:$R$18,1,MATCH($U6,Matriz!$B$3:$R$3,0)),NA())</f>
        <v>#N/A</v>
      </c>
      <c r="AK6" s="5" t="e">
        <f>IF($B$47="Sim",INDEX(Matriz!$B$19:$R$19,1,MATCH($U6,Matriz!$B$3:$R$3,0)),NA())</f>
        <v>#N/A</v>
      </c>
      <c r="AL6" s="5" t="e">
        <f>IF($B$48="Sim",INDEX(Matriz!$B$20:$R$20,1,MATCH($U6,Matriz!$B$3:$R$3,0)),NA())</f>
        <v>#N/A</v>
      </c>
      <c r="AM6" s="5">
        <f>INDEX(Matriz!$B$21:$R$21,1,MATCH($U6,Matriz!$B$3:$R$3,0))</f>
        <v>0</v>
      </c>
      <c r="AN6" s="5">
        <f>INDEX(Matriz!$B$22:$R$22,1,MATCH($U6,Matriz!$B$3:$R$3,0))</f>
        <v>0</v>
      </c>
      <c r="AO6" s="5">
        <f>INDEX(Matriz!$B$23:$R$23,1,MATCH($U6,Matriz!$B$3:$R$3,0))</f>
        <v>0</v>
      </c>
    </row>
    <row r="7" spans="1:41">
      <c r="A7" t="s">
        <v>8</v>
      </c>
      <c r="B7" s="5">
        <f>INDEX(Matriz!$B$4:$R$4,1,MATCH(VALUE($B$3),Matriz!$B$3:$R$3,0))</f>
        <v>4</v>
      </c>
      <c r="C7" s="37">
        <f>B7/SUM($B$7:$B$23)</f>
        <v>0.08</v>
      </c>
      <c r="U7">
        <v>2011</v>
      </c>
      <c r="V7" s="5" t="e">
        <f>IF($B$32="Sim",INDEX(Matriz!$B$4:$R$4,1,MATCH($U7,Matriz!$B$3:$R$3,0)),NA())</f>
        <v>#N/A</v>
      </c>
      <c r="W7" s="5" t="e">
        <f>IF($B$33="Sim",INDEX(Matriz!$B$5:$R$5,1,MATCH($U7,Matriz!$B$3:$R$3,0)),NA())</f>
        <v>#N/A</v>
      </c>
      <c r="X7" s="5" t="e">
        <f>IF($B$34="Sim",INDEX(Matriz!$B$6:$R$6,1,MATCH($U7,Matriz!$B$3:$R$3,0)),NA())</f>
        <v>#N/A</v>
      </c>
      <c r="Y7" s="5" t="e">
        <f>IF($B$35="Sim",INDEX(Matriz!$B$7:$R$7,1,MATCH($U7,Matriz!$B$3:$R$3,0)),NA())</f>
        <v>#N/A</v>
      </c>
      <c r="Z7" s="5" t="e">
        <f>IF($B$36="Sim",INDEX(Matriz!$B$8:$R$8,1,MATCH($U7,Matriz!$B$3:$R$3,0)),NA())</f>
        <v>#N/A</v>
      </c>
      <c r="AA7" s="5">
        <f>IF($B$37="Sim",INDEX(Matriz!$B$9:$R$9,1,MATCH($U7,Matriz!$B$3:$R$3,0)),NA())</f>
        <v>5</v>
      </c>
      <c r="AB7" s="5" t="e">
        <f>IF($B$38="Sim",INDEX(Matriz!$B$10:$R$10,1,MATCH($U7,Matriz!$B$3:$R$3,0)),NA())</f>
        <v>#N/A</v>
      </c>
      <c r="AC7" s="5" t="e">
        <f>IF($B$39="Sim",INDEX(Matriz!$B$11:$R$11,1,MATCH($U7,Matriz!$B$3:$R$3,0)),NA())</f>
        <v>#N/A</v>
      </c>
      <c r="AD7" s="5" t="e">
        <f>IF($B$40="Sim",INDEX(Matriz!$B$12:$R$12,1,MATCH($U7,Matriz!$B$3:$R$3,0)),NA())</f>
        <v>#N/A</v>
      </c>
      <c r="AE7" s="5" t="e">
        <f>IF($B$41="Sim",INDEX(Matriz!$B$13:$R$13,1,MATCH($U7,Matriz!$B$3:$R$3,0)),NA())</f>
        <v>#N/A</v>
      </c>
      <c r="AF7" s="5" t="e">
        <f>IF($B$42="Sim",INDEX(Matriz!$B$14:$R$14,1,MATCH($U7,Matriz!$B$3:$R$3,0)),NA())</f>
        <v>#N/A</v>
      </c>
      <c r="AG7" s="5" t="e">
        <f>IF($B$43="Sim",INDEX(Matriz!$B$15:$R$15,1,MATCH($U7,Matriz!$B$3:$R$3,0)),NA())</f>
        <v>#N/A</v>
      </c>
      <c r="AH7" s="5" t="e">
        <f>IF($B$44="Sim",INDEX(Matriz!$B$16:$R$16,1,MATCH($U7,Matriz!$B$3:$R$3,0)),NA())</f>
        <v>#N/A</v>
      </c>
      <c r="AI7" s="5" t="e">
        <f>IF($B$45="Sim",INDEX(Matriz!$B$17:$R$17,1,MATCH($U7,Matriz!$B$3:$R$3,0)),NA())</f>
        <v>#N/A</v>
      </c>
      <c r="AJ7" s="5" t="e">
        <f>IF($B$46="Sim",INDEX(Matriz!$B$18:$R$18,1,MATCH($U7,Matriz!$B$3:$R$3,0)),NA())</f>
        <v>#N/A</v>
      </c>
      <c r="AK7" s="5" t="e">
        <f>IF($B$47="Sim",INDEX(Matriz!$B$19:$R$19,1,MATCH($U7,Matriz!$B$3:$R$3,0)),NA())</f>
        <v>#N/A</v>
      </c>
      <c r="AL7" s="5" t="e">
        <f>IF($B$48="Sim",INDEX(Matriz!$B$20:$R$20,1,MATCH($U7,Matriz!$B$3:$R$3,0)),NA())</f>
        <v>#N/A</v>
      </c>
      <c r="AM7" s="5">
        <f>INDEX(Matriz!$B$21:$R$21,1,MATCH($U7,Matriz!$B$3:$R$3,0))</f>
        <v>0</v>
      </c>
      <c r="AN7" s="5">
        <f>INDEX(Matriz!$B$22:$R$22,1,MATCH($U7,Matriz!$B$3:$R$3,0))</f>
        <v>0</v>
      </c>
      <c r="AO7" s="5">
        <f>INDEX(Matriz!$B$23:$R$23,1,MATCH($U7,Matriz!$B$3:$R$3,0))</f>
        <v>0</v>
      </c>
    </row>
    <row r="8" spans="1:41">
      <c r="A8" t="s">
        <v>11</v>
      </c>
      <c r="B8" s="5">
        <f>INDEX(Matriz!$B$5:$R$5,1,MATCH(VALUE($B$3),Matriz!$B$3:$R$3,0))</f>
        <v>5</v>
      </c>
      <c r="C8" s="37">
        <f t="shared" ref="C8:C23" si="0">B8/SUM($B$7:$B$23)</f>
        <v>0.1</v>
      </c>
      <c r="U8">
        <v>2012</v>
      </c>
      <c r="V8" s="5" t="e">
        <f>IF($B$32="Sim",INDEX(Matriz!$B$4:$R$4,1,MATCH($U8,Matriz!$B$3:$R$3,0)),NA())</f>
        <v>#N/A</v>
      </c>
      <c r="W8" s="5" t="e">
        <f>IF($B$33="Sim",INDEX(Matriz!$B$5:$R$5,1,MATCH($U8,Matriz!$B$3:$R$3,0)),NA())</f>
        <v>#N/A</v>
      </c>
      <c r="X8" s="5" t="e">
        <f>IF($B$34="Sim",INDEX(Matriz!$B$6:$R$6,1,MATCH($U8,Matriz!$B$3:$R$3,0)),NA())</f>
        <v>#N/A</v>
      </c>
      <c r="Y8" s="5" t="e">
        <f>IF($B$35="Sim",INDEX(Matriz!$B$7:$R$7,1,MATCH($U8,Matriz!$B$3:$R$3,0)),NA())</f>
        <v>#N/A</v>
      </c>
      <c r="Z8" s="5" t="e">
        <f>IF($B$36="Sim",INDEX(Matriz!$B$8:$R$8,1,MATCH($U8,Matriz!$B$3:$R$3,0)),NA())</f>
        <v>#N/A</v>
      </c>
      <c r="AA8" s="5">
        <f>IF($B$37="Sim",INDEX(Matriz!$B$9:$R$9,1,MATCH($U8,Matriz!$B$3:$R$3,0)),NA())</f>
        <v>15</v>
      </c>
      <c r="AB8" s="5" t="e">
        <f>IF($B$38="Sim",INDEX(Matriz!$B$10:$R$10,1,MATCH($U8,Matriz!$B$3:$R$3,0)),NA())</f>
        <v>#N/A</v>
      </c>
      <c r="AC8" s="5" t="e">
        <f>IF($B$39="Sim",INDEX(Matriz!$B$11:$R$11,1,MATCH($U8,Matriz!$B$3:$R$3,0)),NA())</f>
        <v>#N/A</v>
      </c>
      <c r="AD8" s="5" t="e">
        <f>IF($B$40="Sim",INDEX(Matriz!$B$12:$R$12,1,MATCH($U8,Matriz!$B$3:$R$3,0)),NA())</f>
        <v>#N/A</v>
      </c>
      <c r="AE8" s="5" t="e">
        <f>IF($B$41="Sim",INDEX(Matriz!$B$13:$R$13,1,MATCH($U8,Matriz!$B$3:$R$3,0)),NA())</f>
        <v>#N/A</v>
      </c>
      <c r="AF8" s="5" t="e">
        <f>IF($B$42="Sim",INDEX(Matriz!$B$14:$R$14,1,MATCH($U8,Matriz!$B$3:$R$3,0)),NA())</f>
        <v>#N/A</v>
      </c>
      <c r="AG8" s="5" t="e">
        <f>IF($B$43="Sim",INDEX(Matriz!$B$15:$R$15,1,MATCH($U8,Matriz!$B$3:$R$3,0)),NA())</f>
        <v>#N/A</v>
      </c>
      <c r="AH8" s="5" t="e">
        <f>IF($B$44="Sim",INDEX(Matriz!$B$16:$R$16,1,MATCH($U8,Matriz!$B$3:$R$3,0)),NA())</f>
        <v>#N/A</v>
      </c>
      <c r="AI8" s="5" t="e">
        <f>IF($B$45="Sim",INDEX(Matriz!$B$17:$R$17,1,MATCH($U8,Matriz!$B$3:$R$3,0)),NA())</f>
        <v>#N/A</v>
      </c>
      <c r="AJ8" s="5" t="e">
        <f>IF($B$46="Sim",INDEX(Matriz!$B$18:$R$18,1,MATCH($U8,Matriz!$B$3:$R$3,0)),NA())</f>
        <v>#N/A</v>
      </c>
      <c r="AK8" s="5" t="e">
        <f>IF($B$47="Sim",INDEX(Matriz!$B$19:$R$19,1,MATCH($U8,Matriz!$B$3:$R$3,0)),NA())</f>
        <v>#N/A</v>
      </c>
      <c r="AL8" s="5" t="e">
        <f>IF($B$48="Sim",INDEX(Matriz!$B$20:$R$20,1,MATCH($U8,Matriz!$B$3:$R$3,0)),NA())</f>
        <v>#N/A</v>
      </c>
      <c r="AM8" s="5">
        <f>INDEX(Matriz!$B$21:$R$21,1,MATCH($U8,Matriz!$B$3:$R$3,0))</f>
        <v>0</v>
      </c>
      <c r="AN8" s="5">
        <f>INDEX(Matriz!$B$22:$R$22,1,MATCH($U8,Matriz!$B$3:$R$3,0))</f>
        <v>0</v>
      </c>
      <c r="AO8" s="5">
        <f>INDEX(Matriz!$B$23:$R$23,1,MATCH($U8,Matriz!$B$3:$R$3,0))</f>
        <v>0</v>
      </c>
    </row>
    <row r="9" spans="1:41">
      <c r="A9" t="s">
        <v>14</v>
      </c>
      <c r="B9" s="5">
        <f>INDEX(Matriz!$B$6:$R$6,1,MATCH(VALUE($B$3),Matriz!$B$3:$R$3,0))</f>
        <v>2.5</v>
      </c>
      <c r="C9" s="37">
        <f t="shared" si="0"/>
        <v>0.05</v>
      </c>
      <c r="U9">
        <v>2013</v>
      </c>
      <c r="V9" s="5" t="e">
        <f>IF($B$32="Sim",INDEX(Matriz!$B$4:$R$4,1,MATCH($U9,Matriz!$B$3:$R$3,0)),NA())</f>
        <v>#N/A</v>
      </c>
      <c r="W9" s="5" t="e">
        <f>IF($B$33="Sim",INDEX(Matriz!$B$5:$R$5,1,MATCH($U9,Matriz!$B$3:$R$3,0)),NA())</f>
        <v>#N/A</v>
      </c>
      <c r="X9" s="5" t="e">
        <f>IF($B$34="Sim",INDEX(Matriz!$B$6:$R$6,1,MATCH($U9,Matriz!$B$3:$R$3,0)),NA())</f>
        <v>#N/A</v>
      </c>
      <c r="Y9" s="5" t="e">
        <f>IF($B$35="Sim",INDEX(Matriz!$B$7:$R$7,1,MATCH($U9,Matriz!$B$3:$R$3,0)),NA())</f>
        <v>#N/A</v>
      </c>
      <c r="Z9" s="5" t="e">
        <f>IF($B$36="Sim",INDEX(Matriz!$B$8:$R$8,1,MATCH($U9,Matriz!$B$3:$R$3,0)),NA())</f>
        <v>#N/A</v>
      </c>
      <c r="AA9" s="5">
        <f>IF($B$37="Sim",INDEX(Matriz!$B$9:$R$9,1,MATCH($U9,Matriz!$B$3:$R$3,0)),NA())</f>
        <v>5</v>
      </c>
      <c r="AB9" s="5" t="e">
        <f>IF($B$38="Sim",INDEX(Matriz!$B$10:$R$10,1,MATCH($U9,Matriz!$B$3:$R$3,0)),NA())</f>
        <v>#N/A</v>
      </c>
      <c r="AC9" s="5" t="e">
        <f>IF($B$39="Sim",INDEX(Matriz!$B$11:$R$11,1,MATCH($U9,Matriz!$B$3:$R$3,0)),NA())</f>
        <v>#N/A</v>
      </c>
      <c r="AD9" s="5" t="e">
        <f>IF($B$40="Sim",INDEX(Matriz!$B$12:$R$12,1,MATCH($U9,Matriz!$B$3:$R$3,0)),NA())</f>
        <v>#N/A</v>
      </c>
      <c r="AE9" s="5" t="e">
        <f>IF($B$41="Sim",INDEX(Matriz!$B$13:$R$13,1,MATCH($U9,Matriz!$B$3:$R$3,0)),NA())</f>
        <v>#N/A</v>
      </c>
      <c r="AF9" s="5" t="e">
        <f>IF($B$42="Sim",INDEX(Matriz!$B$14:$R$14,1,MATCH($U9,Matriz!$B$3:$R$3,0)),NA())</f>
        <v>#N/A</v>
      </c>
      <c r="AG9" s="5" t="e">
        <f>IF($B$43="Sim",INDEX(Matriz!$B$15:$R$15,1,MATCH($U9,Matriz!$B$3:$R$3,0)),NA())</f>
        <v>#N/A</v>
      </c>
      <c r="AH9" s="5" t="e">
        <f>IF($B$44="Sim",INDEX(Matriz!$B$16:$R$16,1,MATCH($U9,Matriz!$B$3:$R$3,0)),NA())</f>
        <v>#N/A</v>
      </c>
      <c r="AI9" s="5" t="e">
        <f>IF($B$45="Sim",INDEX(Matriz!$B$17:$R$17,1,MATCH($U9,Matriz!$B$3:$R$3,0)),NA())</f>
        <v>#N/A</v>
      </c>
      <c r="AJ9" s="5" t="e">
        <f>IF($B$46="Sim",INDEX(Matriz!$B$18:$R$18,1,MATCH($U9,Matriz!$B$3:$R$3,0)),NA())</f>
        <v>#N/A</v>
      </c>
      <c r="AK9" s="5" t="e">
        <f>IF($B$47="Sim",INDEX(Matriz!$B$19:$R$19,1,MATCH($U9,Matriz!$B$3:$R$3,0)),NA())</f>
        <v>#N/A</v>
      </c>
      <c r="AL9" s="5" t="e">
        <f>IF($B$48="Sim",INDEX(Matriz!$B$20:$R$20,1,MATCH($U9,Matriz!$B$3:$R$3,0)),NA())</f>
        <v>#N/A</v>
      </c>
      <c r="AM9" s="5">
        <f>INDEX(Matriz!$B$21:$R$21,1,MATCH($U9,Matriz!$B$3:$R$3,0))</f>
        <v>0</v>
      </c>
      <c r="AN9" s="5">
        <f>INDEX(Matriz!$B$22:$R$22,1,MATCH($U9,Matriz!$B$3:$R$3,0))</f>
        <v>0</v>
      </c>
      <c r="AO9" s="5">
        <f>INDEX(Matriz!$B$23:$R$23,1,MATCH($U9,Matriz!$B$3:$R$3,0))</f>
        <v>0</v>
      </c>
    </row>
    <row r="10" spans="1:41">
      <c r="A10" t="s">
        <v>17</v>
      </c>
      <c r="B10" s="5">
        <f>INDEX(Matriz!$B$7:$R$7,1,MATCH(VALUE($B$3),Matriz!$B$3:$R$3,0))</f>
        <v>2.5</v>
      </c>
      <c r="C10" s="37">
        <f t="shared" si="0"/>
        <v>0.05</v>
      </c>
      <c r="U10">
        <v>2014</v>
      </c>
      <c r="V10" s="5" t="e">
        <f>IF($B$32="Sim",INDEX(Matriz!$B$4:$R$4,1,MATCH($U10,Matriz!$B$3:$R$3,0)),NA())</f>
        <v>#N/A</v>
      </c>
      <c r="W10" s="5" t="e">
        <f>IF($B$33="Sim",INDEX(Matriz!$B$5:$R$5,1,MATCH($U10,Matriz!$B$3:$R$3,0)),NA())</f>
        <v>#N/A</v>
      </c>
      <c r="X10" s="5" t="e">
        <f>IF($B$34="Sim",INDEX(Matriz!$B$6:$R$6,1,MATCH($U10,Matriz!$B$3:$R$3,0)),NA())</f>
        <v>#N/A</v>
      </c>
      <c r="Y10" s="5" t="e">
        <f>IF($B$35="Sim",INDEX(Matriz!$B$7:$R$7,1,MATCH($U10,Matriz!$B$3:$R$3,0)),NA())</f>
        <v>#N/A</v>
      </c>
      <c r="Z10" s="5" t="e">
        <f>IF($B$36="Sim",INDEX(Matriz!$B$8:$R$8,1,MATCH($U10,Matriz!$B$3:$R$3,0)),NA())</f>
        <v>#N/A</v>
      </c>
      <c r="AA10" s="5">
        <f>IF($B$37="Sim",INDEX(Matriz!$B$9:$R$9,1,MATCH($U10,Matriz!$B$3:$R$3,0)),NA())</f>
        <v>6</v>
      </c>
      <c r="AB10" s="5" t="e">
        <f>IF($B$38="Sim",INDEX(Matriz!$B$10:$R$10,1,MATCH($U10,Matriz!$B$3:$R$3,0)),NA())</f>
        <v>#N/A</v>
      </c>
      <c r="AC10" s="5" t="e">
        <f>IF($B$39="Sim",INDEX(Matriz!$B$11:$R$11,1,MATCH($U10,Matriz!$B$3:$R$3,0)),NA())</f>
        <v>#N/A</v>
      </c>
      <c r="AD10" s="5" t="e">
        <f>IF($B$40="Sim",INDEX(Matriz!$B$12:$R$12,1,MATCH($U10,Matriz!$B$3:$R$3,0)),NA())</f>
        <v>#N/A</v>
      </c>
      <c r="AE10" s="5" t="e">
        <f>IF($B$41="Sim",INDEX(Matriz!$B$13:$R$13,1,MATCH($U10,Matriz!$B$3:$R$3,0)),NA())</f>
        <v>#N/A</v>
      </c>
      <c r="AF10" s="5" t="e">
        <f>IF($B$42="Sim",INDEX(Matriz!$B$14:$R$14,1,MATCH($U10,Matriz!$B$3:$R$3,0)),NA())</f>
        <v>#N/A</v>
      </c>
      <c r="AG10" s="5" t="e">
        <f>IF($B$43="Sim",INDEX(Matriz!$B$15:$R$15,1,MATCH($U10,Matriz!$B$3:$R$3,0)),NA())</f>
        <v>#N/A</v>
      </c>
      <c r="AH10" s="5" t="e">
        <f>IF($B$44="Sim",INDEX(Matriz!$B$16:$R$16,1,MATCH($U10,Matriz!$B$3:$R$3,0)),NA())</f>
        <v>#N/A</v>
      </c>
      <c r="AI10" s="5" t="e">
        <f>IF($B$45="Sim",INDEX(Matriz!$B$17:$R$17,1,MATCH($U10,Matriz!$B$3:$R$3,0)),NA())</f>
        <v>#N/A</v>
      </c>
      <c r="AJ10" s="5" t="e">
        <f>IF($B$46="Sim",INDEX(Matriz!$B$18:$R$18,1,MATCH($U10,Matriz!$B$3:$R$3,0)),NA())</f>
        <v>#N/A</v>
      </c>
      <c r="AK10" s="5" t="e">
        <f>IF($B$47="Sim",INDEX(Matriz!$B$19:$R$19,1,MATCH($U10,Matriz!$B$3:$R$3,0)),NA())</f>
        <v>#N/A</v>
      </c>
      <c r="AL10" s="5" t="e">
        <f>IF($B$48="Sim",INDEX(Matriz!$B$20:$R$20,1,MATCH($U10,Matriz!$B$3:$R$3,0)),NA())</f>
        <v>#N/A</v>
      </c>
      <c r="AM10" s="5">
        <f>INDEX(Matriz!$B$21:$R$21,1,MATCH($U10,Matriz!$B$3:$R$3,0))</f>
        <v>0</v>
      </c>
      <c r="AN10" s="5">
        <f>INDEX(Matriz!$B$22:$R$22,1,MATCH($U10,Matriz!$B$3:$R$3,0))</f>
        <v>0</v>
      </c>
      <c r="AO10" s="5">
        <f>INDEX(Matriz!$B$23:$R$23,1,MATCH($U10,Matriz!$B$3:$R$3,0))</f>
        <v>0</v>
      </c>
    </row>
    <row r="11" spans="1:41">
      <c r="A11" t="s">
        <v>20</v>
      </c>
      <c r="B11" s="5">
        <f>INDEX(Matriz!$B$8:$R$8,1,MATCH(VALUE($B$3),Matriz!$B$3:$R$3,0))</f>
        <v>2.5</v>
      </c>
      <c r="C11" s="37">
        <f t="shared" si="0"/>
        <v>0.05</v>
      </c>
      <c r="U11">
        <v>2015</v>
      </c>
      <c r="V11" s="5" t="e">
        <f>IF($B$32="Sim",INDEX(Matriz!$B$4:$R$4,1,MATCH($U11,Matriz!$B$3:$R$3,0)),NA())</f>
        <v>#N/A</v>
      </c>
      <c r="W11" s="5" t="e">
        <f>IF($B$33="Sim",INDEX(Matriz!$B$5:$R$5,1,MATCH($U11,Matriz!$B$3:$R$3,0)),NA())</f>
        <v>#N/A</v>
      </c>
      <c r="X11" s="5" t="e">
        <f>IF($B$34="Sim",INDEX(Matriz!$B$6:$R$6,1,MATCH($U11,Matriz!$B$3:$R$3,0)),NA())</f>
        <v>#N/A</v>
      </c>
      <c r="Y11" s="5" t="e">
        <f>IF($B$35="Sim",INDEX(Matriz!$B$7:$R$7,1,MATCH($U11,Matriz!$B$3:$R$3,0)),NA())</f>
        <v>#N/A</v>
      </c>
      <c r="Z11" s="5" t="e">
        <f>IF($B$36="Sim",INDEX(Matriz!$B$8:$R$8,1,MATCH($U11,Matriz!$B$3:$R$3,0)),NA())</f>
        <v>#N/A</v>
      </c>
      <c r="AA11" s="5">
        <f>IF($B$37="Sim",INDEX(Matriz!$B$9:$R$9,1,MATCH($U11,Matriz!$B$3:$R$3,0)),NA())</f>
        <v>5</v>
      </c>
      <c r="AB11" s="5" t="e">
        <f>IF($B$38="Sim",INDEX(Matriz!$B$10:$R$10,1,MATCH($U11,Matriz!$B$3:$R$3,0)),NA())</f>
        <v>#N/A</v>
      </c>
      <c r="AC11" s="5" t="e">
        <f>IF($B$39="Sim",INDEX(Matriz!$B$11:$R$11,1,MATCH($U11,Matriz!$B$3:$R$3,0)),NA())</f>
        <v>#N/A</v>
      </c>
      <c r="AD11" s="5" t="e">
        <f>IF($B$40="Sim",INDEX(Matriz!$B$12:$R$12,1,MATCH($U11,Matriz!$B$3:$R$3,0)),NA())</f>
        <v>#N/A</v>
      </c>
      <c r="AE11" s="5" t="e">
        <f>IF($B$41="Sim",INDEX(Matriz!$B$13:$R$13,1,MATCH($U11,Matriz!$B$3:$R$3,0)),NA())</f>
        <v>#N/A</v>
      </c>
      <c r="AF11" s="5" t="e">
        <f>IF($B$42="Sim",INDEX(Matriz!$B$14:$R$14,1,MATCH($U11,Matriz!$B$3:$R$3,0)),NA())</f>
        <v>#N/A</v>
      </c>
      <c r="AG11" s="5" t="e">
        <f>IF($B$43="Sim",INDEX(Matriz!$B$15:$R$15,1,MATCH($U11,Matriz!$B$3:$R$3,0)),NA())</f>
        <v>#N/A</v>
      </c>
      <c r="AH11" s="5" t="e">
        <f>IF($B$44="Sim",INDEX(Matriz!$B$16:$R$16,1,MATCH($U11,Matriz!$B$3:$R$3,0)),NA())</f>
        <v>#N/A</v>
      </c>
      <c r="AI11" s="5" t="e">
        <f>IF($B$45="Sim",INDEX(Matriz!$B$17:$R$17,1,MATCH($U11,Matriz!$B$3:$R$3,0)),NA())</f>
        <v>#N/A</v>
      </c>
      <c r="AJ11" s="5" t="e">
        <f>IF($B$46="Sim",INDEX(Matriz!$B$18:$R$18,1,MATCH($U11,Matriz!$B$3:$R$3,0)),NA())</f>
        <v>#N/A</v>
      </c>
      <c r="AK11" s="5" t="e">
        <f>IF($B$47="Sim",INDEX(Matriz!$B$19:$R$19,1,MATCH($U11,Matriz!$B$3:$R$3,0)),NA())</f>
        <v>#N/A</v>
      </c>
      <c r="AL11" s="5" t="e">
        <f>IF($B$48="Sim",INDEX(Matriz!$B$20:$R$20,1,MATCH($U11,Matriz!$B$3:$R$3,0)),NA())</f>
        <v>#N/A</v>
      </c>
      <c r="AM11" s="5">
        <f>INDEX(Matriz!$B$21:$R$21,1,MATCH($U11,Matriz!$B$3:$R$3,0))</f>
        <v>0</v>
      </c>
      <c r="AN11" s="5">
        <f>INDEX(Matriz!$B$22:$R$22,1,MATCH($U11,Matriz!$B$3:$R$3,0))</f>
        <v>0</v>
      </c>
      <c r="AO11" s="5">
        <f>INDEX(Matriz!$B$23:$R$23,1,MATCH($U11,Matriz!$B$3:$R$3,0))</f>
        <v>0</v>
      </c>
    </row>
    <row r="12" spans="1:41">
      <c r="A12" t="s">
        <v>23</v>
      </c>
      <c r="B12" s="5">
        <f>INDEX(Matriz!$B$9:$R$9,1,MATCH(VALUE($B$3),Matriz!$B$3:$R$3,0))</f>
        <v>0</v>
      </c>
      <c r="C12" s="37">
        <f t="shared" si="0"/>
        <v>0</v>
      </c>
      <c r="U12">
        <v>2016</v>
      </c>
      <c r="V12" s="5" t="e">
        <f>IF($B$32="Sim",INDEX(Matriz!$B$4:$R$4,1,MATCH($U12,Matriz!$B$3:$R$3,0)),NA())</f>
        <v>#N/A</v>
      </c>
      <c r="W12" s="5" t="e">
        <f>IF($B$33="Sim",INDEX(Matriz!$B$5:$R$5,1,MATCH($U12,Matriz!$B$3:$R$3,0)),NA())</f>
        <v>#N/A</v>
      </c>
      <c r="X12" s="5" t="e">
        <f>IF($B$34="Sim",INDEX(Matriz!$B$6:$R$6,1,MATCH($U12,Matriz!$B$3:$R$3,0)),NA())</f>
        <v>#N/A</v>
      </c>
      <c r="Y12" s="5" t="e">
        <f>IF($B$35="Sim",INDEX(Matriz!$B$7:$R$7,1,MATCH($U12,Matriz!$B$3:$R$3,0)),NA())</f>
        <v>#N/A</v>
      </c>
      <c r="Z12" s="5" t="e">
        <f>IF($B$36="Sim",INDEX(Matriz!$B$8:$R$8,1,MATCH($U12,Matriz!$B$3:$R$3,0)),NA())</f>
        <v>#N/A</v>
      </c>
      <c r="AA12" s="5">
        <f>IF($B$37="Sim",INDEX(Matriz!$B$9:$R$9,1,MATCH($U12,Matriz!$B$3:$R$3,0)),NA())</f>
        <v>4.5</v>
      </c>
      <c r="AB12" s="5" t="e">
        <f>IF($B$38="Sim",INDEX(Matriz!$B$10:$R$10,1,MATCH($U12,Matriz!$B$3:$R$3,0)),NA())</f>
        <v>#N/A</v>
      </c>
      <c r="AC12" s="5" t="e">
        <f>IF($B$39="Sim",INDEX(Matriz!$B$11:$R$11,1,MATCH($U12,Matriz!$B$3:$R$3,0)),NA())</f>
        <v>#N/A</v>
      </c>
      <c r="AD12" s="5" t="e">
        <f>IF($B$40="Sim",INDEX(Matriz!$B$12:$R$12,1,MATCH($U12,Matriz!$B$3:$R$3,0)),NA())</f>
        <v>#N/A</v>
      </c>
      <c r="AE12" s="5" t="e">
        <f>IF($B$41="Sim",INDEX(Matriz!$B$13:$R$13,1,MATCH($U12,Matriz!$B$3:$R$3,0)),NA())</f>
        <v>#N/A</v>
      </c>
      <c r="AF12" s="5" t="e">
        <f>IF($B$42="Sim",INDEX(Matriz!$B$14:$R$14,1,MATCH($U12,Matriz!$B$3:$R$3,0)),NA())</f>
        <v>#N/A</v>
      </c>
      <c r="AG12" s="5" t="e">
        <f>IF($B$43="Sim",INDEX(Matriz!$B$15:$R$15,1,MATCH($U12,Matriz!$B$3:$R$3,0)),NA())</f>
        <v>#N/A</v>
      </c>
      <c r="AH12" s="5" t="e">
        <f>IF($B$44="Sim",INDEX(Matriz!$B$16:$R$16,1,MATCH($U12,Matriz!$B$3:$R$3,0)),NA())</f>
        <v>#N/A</v>
      </c>
      <c r="AI12" s="5" t="e">
        <f>IF($B$45="Sim",INDEX(Matriz!$B$17:$R$17,1,MATCH($U12,Matriz!$B$3:$R$3,0)),NA())</f>
        <v>#N/A</v>
      </c>
      <c r="AJ12" s="5" t="e">
        <f>IF($B$46="Sim",INDEX(Matriz!$B$18:$R$18,1,MATCH($U12,Matriz!$B$3:$R$3,0)),NA())</f>
        <v>#N/A</v>
      </c>
      <c r="AK12" s="5" t="e">
        <f>IF($B$47="Sim",INDEX(Matriz!$B$19:$R$19,1,MATCH($U12,Matriz!$B$3:$R$3,0)),NA())</f>
        <v>#N/A</v>
      </c>
      <c r="AL12" s="5" t="e">
        <f>IF($B$48="Sim",INDEX(Matriz!$B$20:$R$20,1,MATCH($U12,Matriz!$B$3:$R$3,0)),NA())</f>
        <v>#N/A</v>
      </c>
      <c r="AM12" s="5">
        <f>INDEX(Matriz!$B$21:$R$21,1,MATCH($U12,Matriz!$B$3:$R$3,0))</f>
        <v>0</v>
      </c>
      <c r="AN12" s="5">
        <f>INDEX(Matriz!$B$22:$R$22,1,MATCH($U12,Matriz!$B$3:$R$3,0))</f>
        <v>0</v>
      </c>
      <c r="AO12" s="5">
        <f>INDEX(Matriz!$B$23:$R$23,1,MATCH($U12,Matriz!$B$3:$R$3,0))</f>
        <v>0</v>
      </c>
    </row>
    <row r="13" spans="1:41">
      <c r="A13" t="s">
        <v>26</v>
      </c>
      <c r="B13" s="5">
        <f>INDEX(Matriz!$B$10:$R$10,1,MATCH(VALUE($B$3),Matriz!$B$3:$R$3,0))</f>
        <v>5</v>
      </c>
      <c r="C13" s="37">
        <f t="shared" si="0"/>
        <v>0.1</v>
      </c>
      <c r="U13">
        <v>2017</v>
      </c>
      <c r="V13" s="5" t="e">
        <f>IF($B$32="Sim",INDEX(Matriz!$B$4:$R$4,1,MATCH($U13,Matriz!$B$3:$R$3,0)),NA())</f>
        <v>#N/A</v>
      </c>
      <c r="W13" s="5" t="e">
        <f>IF($B$33="Sim",INDEX(Matriz!$B$5:$R$5,1,MATCH($U13,Matriz!$B$3:$R$3,0)),NA())</f>
        <v>#N/A</v>
      </c>
      <c r="X13" s="5" t="e">
        <f>IF($B$34="Sim",INDEX(Matriz!$B$6:$R$6,1,MATCH($U13,Matriz!$B$3:$R$3,0)),NA())</f>
        <v>#N/A</v>
      </c>
      <c r="Y13" s="5" t="e">
        <f>IF($B$35="Sim",INDEX(Matriz!$B$7:$R$7,1,MATCH($U13,Matriz!$B$3:$R$3,0)),NA())</f>
        <v>#N/A</v>
      </c>
      <c r="Z13" s="5" t="e">
        <f>IF($B$36="Sim",INDEX(Matriz!$B$8:$R$8,1,MATCH($U13,Matriz!$B$3:$R$3,0)),NA())</f>
        <v>#N/A</v>
      </c>
      <c r="AA13" s="5">
        <f>IF($B$37="Sim",INDEX(Matriz!$B$9:$R$9,1,MATCH($U13,Matriz!$B$3:$R$3,0)),NA())</f>
        <v>10</v>
      </c>
      <c r="AB13" s="5" t="e">
        <f>IF($B$38="Sim",INDEX(Matriz!$B$10:$R$10,1,MATCH($U13,Matriz!$B$3:$R$3,0)),NA())</f>
        <v>#N/A</v>
      </c>
      <c r="AC13" s="5" t="e">
        <f>IF($B$39="Sim",INDEX(Matriz!$B$11:$R$11,1,MATCH($U13,Matriz!$B$3:$R$3,0)),NA())</f>
        <v>#N/A</v>
      </c>
      <c r="AD13" s="5" t="e">
        <f>IF($B$40="Sim",INDEX(Matriz!$B$12:$R$12,1,MATCH($U13,Matriz!$B$3:$R$3,0)),NA())</f>
        <v>#N/A</v>
      </c>
      <c r="AE13" s="5" t="e">
        <f>IF($B$41="Sim",INDEX(Matriz!$B$13:$R$13,1,MATCH($U13,Matriz!$B$3:$R$3,0)),NA())</f>
        <v>#N/A</v>
      </c>
      <c r="AF13" s="5" t="e">
        <f>IF($B$42="Sim",INDEX(Matriz!$B$14:$R$14,1,MATCH($U13,Matriz!$B$3:$R$3,0)),NA())</f>
        <v>#N/A</v>
      </c>
      <c r="AG13" s="5" t="e">
        <f>IF($B$43="Sim",INDEX(Matriz!$B$15:$R$15,1,MATCH($U13,Matriz!$B$3:$R$3,0)),NA())</f>
        <v>#N/A</v>
      </c>
      <c r="AH13" s="5" t="e">
        <f>IF($B$44="Sim",INDEX(Matriz!$B$16:$R$16,1,MATCH($U13,Matriz!$B$3:$R$3,0)),NA())</f>
        <v>#N/A</v>
      </c>
      <c r="AI13" s="5" t="e">
        <f>IF($B$45="Sim",INDEX(Matriz!$B$17:$R$17,1,MATCH($U13,Matriz!$B$3:$R$3,0)),NA())</f>
        <v>#N/A</v>
      </c>
      <c r="AJ13" s="5" t="e">
        <f>IF($B$46="Sim",INDEX(Matriz!$B$18:$R$18,1,MATCH($U13,Matriz!$B$3:$R$3,0)),NA())</f>
        <v>#N/A</v>
      </c>
      <c r="AK13" s="5" t="e">
        <f>IF($B$47="Sim",INDEX(Matriz!$B$19:$R$19,1,MATCH($U13,Matriz!$B$3:$R$3,0)),NA())</f>
        <v>#N/A</v>
      </c>
      <c r="AL13" s="5" t="e">
        <f>IF($B$48="Sim",INDEX(Matriz!$B$20:$R$20,1,MATCH($U13,Matriz!$B$3:$R$3,0)),NA())</f>
        <v>#N/A</v>
      </c>
      <c r="AM13" s="5">
        <f>INDEX(Matriz!$B$21:$R$21,1,MATCH($U13,Matriz!$B$3:$R$3,0))</f>
        <v>0</v>
      </c>
      <c r="AN13" s="5">
        <f>INDEX(Matriz!$B$22:$R$22,1,MATCH($U13,Matriz!$B$3:$R$3,0))</f>
        <v>0</v>
      </c>
      <c r="AO13" s="5">
        <f>INDEX(Matriz!$B$23:$R$23,1,MATCH($U13,Matriz!$B$3:$R$3,0))</f>
        <v>0</v>
      </c>
    </row>
    <row r="14" spans="1:41">
      <c r="A14" t="s">
        <v>29</v>
      </c>
      <c r="B14" s="5">
        <f>INDEX(Matriz!$B$11:$R$11,1,MATCH(VALUE($B$3),Matriz!$B$3:$R$3,0))</f>
        <v>2</v>
      </c>
      <c r="C14" s="37">
        <f t="shared" si="0"/>
        <v>0.04</v>
      </c>
      <c r="U14">
        <v>2018</v>
      </c>
      <c r="V14" s="5" t="e">
        <f>IF($B$32="Sim",INDEX(Matriz!$B$4:$R$4,1,MATCH($U14,Matriz!$B$3:$R$3,0)),NA())</f>
        <v>#N/A</v>
      </c>
      <c r="W14" s="5" t="e">
        <f>IF($B$33="Sim",INDEX(Matriz!$B$5:$R$5,1,MATCH($U14,Matriz!$B$3:$R$3,0)),NA())</f>
        <v>#N/A</v>
      </c>
      <c r="X14" s="5" t="e">
        <f>IF($B$34="Sim",INDEX(Matriz!$B$6:$R$6,1,MATCH($U14,Matriz!$B$3:$R$3,0)),NA())</f>
        <v>#N/A</v>
      </c>
      <c r="Y14" s="5" t="e">
        <f>IF($B$35="Sim",INDEX(Matriz!$B$7:$R$7,1,MATCH($U14,Matriz!$B$3:$R$3,0)),NA())</f>
        <v>#N/A</v>
      </c>
      <c r="Z14" s="5" t="e">
        <f>IF($B$36="Sim",INDEX(Matriz!$B$8:$R$8,1,MATCH($U14,Matriz!$B$3:$R$3,0)),NA())</f>
        <v>#N/A</v>
      </c>
      <c r="AA14" s="5">
        <f>IF($B$37="Sim",INDEX(Matriz!$B$9:$R$9,1,MATCH($U14,Matriz!$B$3:$R$3,0)),NA())</f>
        <v>10</v>
      </c>
      <c r="AB14" s="5" t="e">
        <f>IF($B$38="Sim",INDEX(Matriz!$B$10:$R$10,1,MATCH($U14,Matriz!$B$3:$R$3,0)),NA())</f>
        <v>#N/A</v>
      </c>
      <c r="AC14" s="5" t="e">
        <f>IF($B$39="Sim",INDEX(Matriz!$B$11:$R$11,1,MATCH($U14,Matriz!$B$3:$R$3,0)),NA())</f>
        <v>#N/A</v>
      </c>
      <c r="AD14" s="5" t="e">
        <f>IF($B$40="Sim",INDEX(Matriz!$B$12:$R$12,1,MATCH($U14,Matriz!$B$3:$R$3,0)),NA())</f>
        <v>#N/A</v>
      </c>
      <c r="AE14" s="5" t="e">
        <f>IF($B$41="Sim",INDEX(Matriz!$B$13:$R$13,1,MATCH($U14,Matriz!$B$3:$R$3,0)),NA())</f>
        <v>#N/A</v>
      </c>
      <c r="AF14" s="5" t="e">
        <f>IF($B$42="Sim",INDEX(Matriz!$B$14:$R$14,1,MATCH($U14,Matriz!$B$3:$R$3,0)),NA())</f>
        <v>#N/A</v>
      </c>
      <c r="AG14" s="5" t="e">
        <f>IF($B$43="Sim",INDEX(Matriz!$B$15:$R$15,1,MATCH($U14,Matriz!$B$3:$R$3,0)),NA())</f>
        <v>#N/A</v>
      </c>
      <c r="AH14" s="5" t="e">
        <f>IF($B$44="Sim",INDEX(Matriz!$B$16:$R$16,1,MATCH($U14,Matriz!$B$3:$R$3,0)),NA())</f>
        <v>#N/A</v>
      </c>
      <c r="AI14" s="5" t="e">
        <f>IF($B$45="Sim",INDEX(Matriz!$B$17:$R$17,1,MATCH($U14,Matriz!$B$3:$R$3,0)),NA())</f>
        <v>#N/A</v>
      </c>
      <c r="AJ14" s="5" t="e">
        <f>IF($B$46="Sim",INDEX(Matriz!$B$18:$R$18,1,MATCH($U14,Matriz!$B$3:$R$3,0)),NA())</f>
        <v>#N/A</v>
      </c>
      <c r="AK14" s="5" t="e">
        <f>IF($B$47="Sim",INDEX(Matriz!$B$19:$R$19,1,MATCH($U14,Matriz!$B$3:$R$3,0)),NA())</f>
        <v>#N/A</v>
      </c>
      <c r="AL14" s="5" t="e">
        <f>IF($B$48="Sim",INDEX(Matriz!$B$20:$R$20,1,MATCH($U14,Matriz!$B$3:$R$3,0)),NA())</f>
        <v>#N/A</v>
      </c>
      <c r="AM14" s="5">
        <f>INDEX(Matriz!$B$21:$R$21,1,MATCH($U14,Matriz!$B$3:$R$3,0))</f>
        <v>0</v>
      </c>
      <c r="AN14" s="5">
        <f>INDEX(Matriz!$B$22:$R$22,1,MATCH($U14,Matriz!$B$3:$R$3,0))</f>
        <v>0</v>
      </c>
      <c r="AO14" s="5">
        <f>INDEX(Matriz!$B$23:$R$23,1,MATCH($U14,Matriz!$B$3:$R$3,0))</f>
        <v>0</v>
      </c>
    </row>
    <row r="15" spans="1:41">
      <c r="A15" t="s">
        <v>32</v>
      </c>
      <c r="B15" s="5">
        <f>INDEX(Matriz!$B$12:$R$12,1,MATCH(VALUE($B$3),Matriz!$B$3:$R$3,0))</f>
        <v>1.5</v>
      </c>
      <c r="C15" s="37">
        <f t="shared" si="0"/>
        <v>0.03</v>
      </c>
      <c r="U15">
        <v>2019</v>
      </c>
      <c r="V15" s="5" t="e">
        <f>IF($B$32="Sim",INDEX(Matriz!$B$4:$R$4,1,MATCH($U15,Matriz!$B$3:$R$3,0)),NA())</f>
        <v>#N/A</v>
      </c>
      <c r="W15" s="5" t="e">
        <f>IF($B$33="Sim",INDEX(Matriz!$B$5:$R$5,1,MATCH($U15,Matriz!$B$3:$R$3,0)),NA())</f>
        <v>#N/A</v>
      </c>
      <c r="X15" s="5" t="e">
        <f>IF($B$34="Sim",INDEX(Matriz!$B$6:$R$6,1,MATCH($U15,Matriz!$B$3:$R$3,0)),NA())</f>
        <v>#N/A</v>
      </c>
      <c r="Y15" s="5" t="e">
        <f>IF($B$35="Sim",INDEX(Matriz!$B$7:$R$7,1,MATCH($U15,Matriz!$B$3:$R$3,0)),NA())</f>
        <v>#N/A</v>
      </c>
      <c r="Z15" s="5" t="e">
        <f>IF($B$36="Sim",INDEX(Matriz!$B$8:$R$8,1,MATCH($U15,Matriz!$B$3:$R$3,0)),NA())</f>
        <v>#N/A</v>
      </c>
      <c r="AA15" s="5">
        <f>IF($B$37="Sim",INDEX(Matriz!$B$9:$R$9,1,MATCH($U15,Matriz!$B$3:$R$3,0)),NA())</f>
        <v>10</v>
      </c>
      <c r="AB15" s="5" t="e">
        <f>IF($B$38="Sim",INDEX(Matriz!$B$10:$R$10,1,MATCH($U15,Matriz!$B$3:$R$3,0)),NA())</f>
        <v>#N/A</v>
      </c>
      <c r="AC15" s="5" t="e">
        <f>IF($B$39="Sim",INDEX(Matriz!$B$11:$R$11,1,MATCH($U15,Matriz!$B$3:$R$3,0)),NA())</f>
        <v>#N/A</v>
      </c>
      <c r="AD15" s="5" t="e">
        <f>IF($B$40="Sim",INDEX(Matriz!$B$12:$R$12,1,MATCH($U15,Matriz!$B$3:$R$3,0)),NA())</f>
        <v>#N/A</v>
      </c>
      <c r="AE15" s="5" t="e">
        <f>IF($B$41="Sim",INDEX(Matriz!$B$13:$R$13,1,MATCH($U15,Matriz!$B$3:$R$3,0)),NA())</f>
        <v>#N/A</v>
      </c>
      <c r="AF15" s="5" t="e">
        <f>IF($B$42="Sim",INDEX(Matriz!$B$14:$R$14,1,MATCH($U15,Matriz!$B$3:$R$3,0)),NA())</f>
        <v>#N/A</v>
      </c>
      <c r="AG15" s="5" t="e">
        <f>IF($B$43="Sim",INDEX(Matriz!$B$15:$R$15,1,MATCH($U15,Matriz!$B$3:$R$3,0)),NA())</f>
        <v>#N/A</v>
      </c>
      <c r="AH15" s="5" t="e">
        <f>IF($B$44="Sim",INDEX(Matriz!$B$16:$R$16,1,MATCH($U15,Matriz!$B$3:$R$3,0)),NA())</f>
        <v>#N/A</v>
      </c>
      <c r="AI15" s="5" t="e">
        <f>IF($B$45="Sim",INDEX(Matriz!$B$17:$R$17,1,MATCH($U15,Matriz!$B$3:$R$3,0)),NA())</f>
        <v>#N/A</v>
      </c>
      <c r="AJ15" s="5" t="e">
        <f>IF($B$46="Sim",INDEX(Matriz!$B$18:$R$18,1,MATCH($U15,Matriz!$B$3:$R$3,0)),NA())</f>
        <v>#N/A</v>
      </c>
      <c r="AK15" s="5" t="e">
        <f>IF($B$47="Sim",INDEX(Matriz!$B$19:$R$19,1,MATCH($U15,Matriz!$B$3:$R$3,0)),NA())</f>
        <v>#N/A</v>
      </c>
      <c r="AL15" s="5" t="e">
        <f>IF($B$48="Sim",INDEX(Matriz!$B$20:$R$20,1,MATCH($U15,Matriz!$B$3:$R$3,0)),NA())</f>
        <v>#N/A</v>
      </c>
      <c r="AM15" s="5">
        <f>INDEX(Matriz!$B$21:$R$21,1,MATCH($U15,Matriz!$B$3:$R$3,0))</f>
        <v>0</v>
      </c>
      <c r="AN15" s="5">
        <f>INDEX(Matriz!$B$22:$R$22,1,MATCH($U15,Matriz!$B$3:$R$3,0))</f>
        <v>0</v>
      </c>
      <c r="AO15" s="5">
        <f>INDEX(Matriz!$B$23:$R$23,1,MATCH($U15,Matriz!$B$3:$R$3,0))</f>
        <v>0</v>
      </c>
    </row>
    <row r="16" spans="1:41">
      <c r="A16" t="s">
        <v>35</v>
      </c>
      <c r="B16" s="5">
        <f>INDEX(Matriz!$B$13:$R$13,1,MATCH(VALUE($B$3),Matriz!$B$3:$R$3,0))</f>
        <v>12</v>
      </c>
      <c r="C16" s="37">
        <f t="shared" si="0"/>
        <v>0.24</v>
      </c>
      <c r="U16">
        <v>2020</v>
      </c>
      <c r="V16" s="5" t="e">
        <f>IF($B$32="Sim",INDEX(Matriz!$B$4:$R$4,1,MATCH($U16,Matriz!$B$3:$R$3,0)),NA())</f>
        <v>#N/A</v>
      </c>
      <c r="W16" s="5" t="e">
        <f>IF($B$33="Sim",INDEX(Matriz!$B$5:$R$5,1,MATCH($U16,Matriz!$B$3:$R$3,0)),NA())</f>
        <v>#N/A</v>
      </c>
      <c r="X16" s="5" t="e">
        <f>IF($B$34="Sim",INDEX(Matriz!$B$6:$R$6,1,MATCH($U16,Matriz!$B$3:$R$3,0)),NA())</f>
        <v>#N/A</v>
      </c>
      <c r="Y16" s="5" t="e">
        <f>IF($B$35="Sim",INDEX(Matriz!$B$7:$R$7,1,MATCH($U16,Matriz!$B$3:$R$3,0)),NA())</f>
        <v>#N/A</v>
      </c>
      <c r="Z16" s="5" t="e">
        <f>IF($B$36="Sim",INDEX(Matriz!$B$8:$R$8,1,MATCH($U16,Matriz!$B$3:$R$3,0)),NA())</f>
        <v>#N/A</v>
      </c>
      <c r="AA16" s="5">
        <f>IF($B$37="Sim",INDEX(Matriz!$B$9:$R$9,1,MATCH($U16,Matriz!$B$3:$R$3,0)),NA())</f>
        <v>5</v>
      </c>
      <c r="AB16" s="5" t="e">
        <f>IF($B$38="Sim",INDEX(Matriz!$B$10:$R$10,1,MATCH($U16,Matriz!$B$3:$R$3,0)),NA())</f>
        <v>#N/A</v>
      </c>
      <c r="AC16" s="5" t="e">
        <f>IF($B$39="Sim",INDEX(Matriz!$B$11:$R$11,1,MATCH($U16,Matriz!$B$3:$R$3,0)),NA())</f>
        <v>#N/A</v>
      </c>
      <c r="AD16" s="5" t="e">
        <f>IF($B$40="Sim",INDEX(Matriz!$B$12:$R$12,1,MATCH($U16,Matriz!$B$3:$R$3,0)),NA())</f>
        <v>#N/A</v>
      </c>
      <c r="AE16" s="5" t="e">
        <f>IF($B$41="Sim",INDEX(Matriz!$B$13:$R$13,1,MATCH($U16,Matriz!$B$3:$R$3,0)),NA())</f>
        <v>#N/A</v>
      </c>
      <c r="AF16" s="5" t="e">
        <f>IF($B$42="Sim",INDEX(Matriz!$B$14:$R$14,1,MATCH($U16,Matriz!$B$3:$R$3,0)),NA())</f>
        <v>#N/A</v>
      </c>
      <c r="AG16" s="5" t="e">
        <f>IF($B$43="Sim",INDEX(Matriz!$B$15:$R$15,1,MATCH($U16,Matriz!$B$3:$R$3,0)),NA())</f>
        <v>#N/A</v>
      </c>
      <c r="AH16" s="5" t="e">
        <f>IF($B$44="Sim",INDEX(Matriz!$B$16:$R$16,1,MATCH($U16,Matriz!$B$3:$R$3,0)),NA())</f>
        <v>#N/A</v>
      </c>
      <c r="AI16" s="5" t="e">
        <f>IF($B$45="Sim",INDEX(Matriz!$B$17:$R$17,1,MATCH($U16,Matriz!$B$3:$R$3,0)),NA())</f>
        <v>#N/A</v>
      </c>
      <c r="AJ16" s="5" t="e">
        <f>IF($B$46="Sim",INDEX(Matriz!$B$18:$R$18,1,MATCH($U16,Matriz!$B$3:$R$3,0)),NA())</f>
        <v>#N/A</v>
      </c>
      <c r="AK16" s="5" t="e">
        <f>IF($B$47="Sim",INDEX(Matriz!$B$19:$R$19,1,MATCH($U16,Matriz!$B$3:$R$3,0)),NA())</f>
        <v>#N/A</v>
      </c>
      <c r="AL16" s="5" t="e">
        <f>IF($B$48="Sim",INDEX(Matriz!$B$20:$R$20,1,MATCH($U16,Matriz!$B$3:$R$3,0)),NA())</f>
        <v>#N/A</v>
      </c>
      <c r="AM16" s="5">
        <f>INDEX(Matriz!$B$21:$R$21,1,MATCH($U16,Matriz!$B$3:$R$3,0))</f>
        <v>0</v>
      </c>
      <c r="AN16" s="5">
        <f>INDEX(Matriz!$B$22:$R$22,1,MATCH($U16,Matriz!$B$3:$R$3,0))</f>
        <v>0</v>
      </c>
      <c r="AO16" s="5">
        <f>INDEX(Matriz!$B$23:$R$23,1,MATCH($U16,Matriz!$B$3:$R$3,0))</f>
        <v>0</v>
      </c>
    </row>
    <row r="17" spans="1:41">
      <c r="A17" t="s">
        <v>38</v>
      </c>
      <c r="B17" s="5">
        <f>INDEX(Matriz!$B$14:$R$14,1,MATCH(VALUE($B$3),Matriz!$B$3:$R$3,0))</f>
        <v>1</v>
      </c>
      <c r="C17" s="37">
        <f t="shared" si="0"/>
        <v>0.02</v>
      </c>
      <c r="U17">
        <v>2021</v>
      </c>
      <c r="V17" s="5" t="e">
        <f>IF($B$32="Sim",INDEX(Matriz!$B$4:$R$4,1,MATCH($U17,Matriz!$B$3:$R$3,0)),NA())</f>
        <v>#N/A</v>
      </c>
      <c r="W17" s="5" t="e">
        <f>IF($B$33="Sim",INDEX(Matriz!$B$5:$R$5,1,MATCH($U17,Matriz!$B$3:$R$3,0)),NA())</f>
        <v>#N/A</v>
      </c>
      <c r="X17" s="5" t="e">
        <f>IF($B$34="Sim",INDEX(Matriz!$B$6:$R$6,1,MATCH($U17,Matriz!$B$3:$R$3,0)),NA())</f>
        <v>#N/A</v>
      </c>
      <c r="Y17" s="5" t="e">
        <f>IF($B$35="Sim",INDEX(Matriz!$B$7:$R$7,1,MATCH($U17,Matriz!$B$3:$R$3,0)),NA())</f>
        <v>#N/A</v>
      </c>
      <c r="Z17" s="5" t="e">
        <f>IF($B$36="Sim",INDEX(Matriz!$B$8:$R$8,1,MATCH($U17,Matriz!$B$3:$R$3,0)),NA())</f>
        <v>#N/A</v>
      </c>
      <c r="AA17" s="5">
        <f>IF($B$37="Sim",INDEX(Matriz!$B$9:$R$9,1,MATCH($U17,Matriz!$B$3:$R$3,0)),NA())</f>
        <v>10</v>
      </c>
      <c r="AB17" s="5" t="e">
        <f>IF($B$38="Sim",INDEX(Matriz!$B$10:$R$10,1,MATCH($U17,Matriz!$B$3:$R$3,0)),NA())</f>
        <v>#N/A</v>
      </c>
      <c r="AC17" s="5" t="e">
        <f>IF($B$39="Sim",INDEX(Matriz!$B$11:$R$11,1,MATCH($U17,Matriz!$B$3:$R$3,0)),NA())</f>
        <v>#N/A</v>
      </c>
      <c r="AD17" s="5" t="e">
        <f>IF($B$40="Sim",INDEX(Matriz!$B$12:$R$12,1,MATCH($U17,Matriz!$B$3:$R$3,0)),NA())</f>
        <v>#N/A</v>
      </c>
      <c r="AE17" s="5" t="e">
        <f>IF($B$41="Sim",INDEX(Matriz!$B$13:$R$13,1,MATCH($U17,Matriz!$B$3:$R$3,0)),NA())</f>
        <v>#N/A</v>
      </c>
      <c r="AF17" s="5" t="e">
        <f>IF($B$42="Sim",INDEX(Matriz!$B$14:$R$14,1,MATCH($U17,Matriz!$B$3:$R$3,0)),NA())</f>
        <v>#N/A</v>
      </c>
      <c r="AG17" s="5" t="e">
        <f>IF($B$43="Sim",INDEX(Matriz!$B$15:$R$15,1,MATCH($U17,Matriz!$B$3:$R$3,0)),NA())</f>
        <v>#N/A</v>
      </c>
      <c r="AH17" s="5" t="e">
        <f>IF($B$44="Sim",INDEX(Matriz!$B$16:$R$16,1,MATCH($U17,Matriz!$B$3:$R$3,0)),NA())</f>
        <v>#N/A</v>
      </c>
      <c r="AI17" s="5" t="e">
        <f>IF($B$45="Sim",INDEX(Matriz!$B$17:$R$17,1,MATCH($U17,Matriz!$B$3:$R$3,0)),NA())</f>
        <v>#N/A</v>
      </c>
      <c r="AJ17" s="5" t="e">
        <f>IF($B$46="Sim",INDEX(Matriz!$B$18:$R$18,1,MATCH($U17,Matriz!$B$3:$R$3,0)),NA())</f>
        <v>#N/A</v>
      </c>
      <c r="AK17" s="5" t="e">
        <f>IF($B$47="Sim",INDEX(Matriz!$B$19:$R$19,1,MATCH($U17,Matriz!$B$3:$R$3,0)),NA())</f>
        <v>#N/A</v>
      </c>
      <c r="AL17" s="5" t="e">
        <f>IF($B$48="Sim",INDEX(Matriz!$B$20:$R$20,1,MATCH($U17,Matriz!$B$3:$R$3,0)),NA())</f>
        <v>#N/A</v>
      </c>
      <c r="AM17" s="5">
        <f>INDEX(Matriz!$B$21:$R$21,1,MATCH($U17,Matriz!$B$3:$R$3,0))</f>
        <v>0</v>
      </c>
      <c r="AN17" s="5">
        <f>INDEX(Matriz!$B$22:$R$22,1,MATCH($U17,Matriz!$B$3:$R$3,0))</f>
        <v>0</v>
      </c>
      <c r="AO17" s="5">
        <f>INDEX(Matriz!$B$23:$R$23,1,MATCH($U17,Matriz!$B$3:$R$3,0))</f>
        <v>0</v>
      </c>
    </row>
    <row r="18" spans="1:41">
      <c r="A18" t="s">
        <v>41</v>
      </c>
      <c r="B18" s="5">
        <f>INDEX(Matriz!$B$15:$R$15,1,MATCH(VALUE($B$3),Matriz!$B$3:$R$3,0))</f>
        <v>5</v>
      </c>
      <c r="C18" s="37">
        <f t="shared" si="0"/>
        <v>0.1</v>
      </c>
      <c r="U18">
        <v>2022</v>
      </c>
      <c r="V18" s="5" t="e">
        <f>IF($B$32="Sim",INDEX(Matriz!$B$4:$R$4,1,MATCH($U18,Matriz!$B$3:$R$3,0)),NA())</f>
        <v>#N/A</v>
      </c>
      <c r="W18" s="5" t="e">
        <f>IF($B$33="Sim",INDEX(Matriz!$B$5:$R$5,1,MATCH($U18,Matriz!$B$3:$R$3,0)),NA())</f>
        <v>#N/A</v>
      </c>
      <c r="X18" s="5" t="e">
        <f>IF($B$34="Sim",INDEX(Matriz!$B$6:$R$6,1,MATCH($U18,Matriz!$B$3:$R$3,0)),NA())</f>
        <v>#N/A</v>
      </c>
      <c r="Y18" s="5" t="e">
        <f>IF($B$35="Sim",INDEX(Matriz!$B$7:$R$7,1,MATCH($U18,Matriz!$B$3:$R$3,0)),NA())</f>
        <v>#N/A</v>
      </c>
      <c r="Z18" s="5" t="e">
        <f>IF($B$36="Sim",INDEX(Matriz!$B$8:$R$8,1,MATCH($U18,Matriz!$B$3:$R$3,0)),NA())</f>
        <v>#N/A</v>
      </c>
      <c r="AA18" s="5">
        <f>IF($B$37="Sim",INDEX(Matriz!$B$9:$R$9,1,MATCH($U18,Matriz!$B$3:$R$3,0)),NA())</f>
        <v>8</v>
      </c>
      <c r="AB18" s="5" t="e">
        <f>IF($B$38="Sim",INDEX(Matriz!$B$10:$R$10,1,MATCH($U18,Matriz!$B$3:$R$3,0)),NA())</f>
        <v>#N/A</v>
      </c>
      <c r="AC18" s="5" t="e">
        <f>IF($B$39="Sim",INDEX(Matriz!$B$11:$R$11,1,MATCH($U18,Matriz!$B$3:$R$3,0)),NA())</f>
        <v>#N/A</v>
      </c>
      <c r="AD18" s="5" t="e">
        <f>IF($B$40="Sim",INDEX(Matriz!$B$12:$R$12,1,MATCH($U18,Matriz!$B$3:$R$3,0)),NA())</f>
        <v>#N/A</v>
      </c>
      <c r="AE18" s="5" t="e">
        <f>IF($B$41="Sim",INDEX(Matriz!$B$13:$R$13,1,MATCH($U18,Matriz!$B$3:$R$3,0)),NA())</f>
        <v>#N/A</v>
      </c>
      <c r="AF18" s="5" t="e">
        <f>IF($B$42="Sim",INDEX(Matriz!$B$14:$R$14,1,MATCH($U18,Matriz!$B$3:$R$3,0)),NA())</f>
        <v>#N/A</v>
      </c>
      <c r="AG18" s="5" t="e">
        <f>IF($B$43="Sim",INDEX(Matriz!$B$15:$R$15,1,MATCH($U18,Matriz!$B$3:$R$3,0)),NA())</f>
        <v>#N/A</v>
      </c>
      <c r="AH18" s="5" t="e">
        <f>IF($B$44="Sim",INDEX(Matriz!$B$16:$R$16,1,MATCH($U18,Matriz!$B$3:$R$3,0)),NA())</f>
        <v>#N/A</v>
      </c>
      <c r="AI18" s="5" t="e">
        <f>IF($B$45="Sim",INDEX(Matriz!$B$17:$R$17,1,MATCH($U18,Matriz!$B$3:$R$3,0)),NA())</f>
        <v>#N/A</v>
      </c>
      <c r="AJ18" s="5" t="e">
        <f>IF($B$46="Sim",INDEX(Matriz!$B$18:$R$18,1,MATCH($U18,Matriz!$B$3:$R$3,0)),NA())</f>
        <v>#N/A</v>
      </c>
      <c r="AK18" s="5" t="e">
        <f>IF($B$47="Sim",INDEX(Matriz!$B$19:$R$19,1,MATCH($U18,Matriz!$B$3:$R$3,0)),NA())</f>
        <v>#N/A</v>
      </c>
      <c r="AL18" s="5" t="e">
        <f>IF($B$48="Sim",INDEX(Matriz!$B$20:$R$20,1,MATCH($U18,Matriz!$B$3:$R$3,0)),NA())</f>
        <v>#N/A</v>
      </c>
      <c r="AM18" s="5">
        <f>INDEX(Matriz!$B$21:$R$21,1,MATCH($U18,Matriz!$B$3:$R$3,0))</f>
        <v>0</v>
      </c>
      <c r="AN18" s="5">
        <f>INDEX(Matriz!$B$22:$R$22,1,MATCH($U18,Matriz!$B$3:$R$3,0))</f>
        <v>0</v>
      </c>
      <c r="AO18" s="5">
        <f>INDEX(Matriz!$B$23:$R$23,1,MATCH($U18,Matriz!$B$3:$R$3,0))</f>
        <v>0</v>
      </c>
    </row>
    <row r="19" spans="1:41">
      <c r="A19" t="s">
        <v>44</v>
      </c>
      <c r="B19" s="5">
        <f>INDEX(Matriz!$B$16:$R$16,1,MATCH(VALUE($B$3),Matriz!$B$3:$R$3,0))</f>
        <v>2</v>
      </c>
      <c r="C19" s="37">
        <f t="shared" si="0"/>
        <v>0.04</v>
      </c>
      <c r="U19">
        <v>2023</v>
      </c>
      <c r="V19" s="5" t="e">
        <f>IF($B$32="Sim",INDEX(Matriz!$B$4:$R$4,1,MATCH($U19,Matriz!$B$3:$R$3,0)),NA())</f>
        <v>#N/A</v>
      </c>
      <c r="W19" s="5" t="e">
        <f>IF($B$33="Sim",INDEX(Matriz!$B$5:$R$5,1,MATCH($U19,Matriz!$B$3:$R$3,0)),NA())</f>
        <v>#N/A</v>
      </c>
      <c r="X19" s="5" t="e">
        <f>IF($B$34="Sim",INDEX(Matriz!$B$6:$R$6,1,MATCH($U19,Matriz!$B$3:$R$3,0)),NA())</f>
        <v>#N/A</v>
      </c>
      <c r="Y19" s="5" t="e">
        <f>IF($B$35="Sim",INDEX(Matriz!$B$7:$R$7,1,MATCH($U19,Matriz!$B$3:$R$3,0)),NA())</f>
        <v>#N/A</v>
      </c>
      <c r="Z19" s="5" t="e">
        <f>IF($B$36="Sim",INDEX(Matriz!$B$8:$R$8,1,MATCH($U19,Matriz!$B$3:$R$3,0)),NA())</f>
        <v>#N/A</v>
      </c>
      <c r="AA19" s="5">
        <f>IF($B$37="Sim",INDEX(Matriz!$B$9:$R$9,1,MATCH($U19,Matriz!$B$3:$R$3,0)),NA())</f>
        <v>11</v>
      </c>
      <c r="AB19" s="5" t="e">
        <f>IF($B$38="Sim",INDEX(Matriz!$B$10:$R$10,1,MATCH($U19,Matriz!$B$3:$R$3,0)),NA())</f>
        <v>#N/A</v>
      </c>
      <c r="AC19" s="5" t="e">
        <f>IF($B$39="Sim",INDEX(Matriz!$B$11:$R$11,1,MATCH($U19,Matriz!$B$3:$R$3,0)),NA())</f>
        <v>#N/A</v>
      </c>
      <c r="AD19" s="5" t="e">
        <f>IF($B$40="Sim",INDEX(Matriz!$B$12:$R$12,1,MATCH($U19,Matriz!$B$3:$R$3,0)),NA())</f>
        <v>#N/A</v>
      </c>
      <c r="AE19" s="5" t="e">
        <f>IF($B$41="Sim",INDEX(Matriz!$B$13:$R$13,1,MATCH($U19,Matriz!$B$3:$R$3,0)),NA())</f>
        <v>#N/A</v>
      </c>
      <c r="AF19" s="5" t="e">
        <f>IF($B$42="Sim",INDEX(Matriz!$B$14:$R$14,1,MATCH($U19,Matriz!$B$3:$R$3,0)),NA())</f>
        <v>#N/A</v>
      </c>
      <c r="AG19" s="5" t="e">
        <f>IF($B$43="Sim",INDEX(Matriz!$B$15:$R$15,1,MATCH($U19,Matriz!$B$3:$R$3,0)),NA())</f>
        <v>#N/A</v>
      </c>
      <c r="AH19" s="5" t="e">
        <f>IF($B$44="Sim",INDEX(Matriz!$B$16:$R$16,1,MATCH($U19,Matriz!$B$3:$R$3,0)),NA())</f>
        <v>#N/A</v>
      </c>
      <c r="AI19" s="5" t="e">
        <f>IF($B$45="Sim",INDEX(Matriz!$B$17:$R$17,1,MATCH($U19,Matriz!$B$3:$R$3,0)),NA())</f>
        <v>#N/A</v>
      </c>
      <c r="AJ19" s="5" t="e">
        <f>IF($B$46="Sim",INDEX(Matriz!$B$18:$R$18,1,MATCH($U19,Matriz!$B$3:$R$3,0)),NA())</f>
        <v>#N/A</v>
      </c>
      <c r="AK19" s="5" t="e">
        <f>IF($B$47="Sim",INDEX(Matriz!$B$19:$R$19,1,MATCH($U19,Matriz!$B$3:$R$3,0)),NA())</f>
        <v>#N/A</v>
      </c>
      <c r="AL19" s="5" t="e">
        <f>IF($B$48="Sim",INDEX(Matriz!$B$20:$R$20,1,MATCH($U19,Matriz!$B$3:$R$3,0)),NA())</f>
        <v>#N/A</v>
      </c>
      <c r="AM19" s="5">
        <f>INDEX(Matriz!$B$21:$R$21,1,MATCH($U19,Matriz!$B$3:$R$3,0))</f>
        <v>0</v>
      </c>
      <c r="AN19" s="5">
        <f>INDEX(Matriz!$B$22:$R$22,1,MATCH($U19,Matriz!$B$3:$R$3,0))</f>
        <v>0</v>
      </c>
      <c r="AO19" s="5">
        <f>INDEX(Matriz!$B$23:$R$23,1,MATCH($U19,Matriz!$B$3:$R$3,0))</f>
        <v>0</v>
      </c>
    </row>
    <row r="20" spans="1:41">
      <c r="A20" t="s">
        <v>47</v>
      </c>
      <c r="B20" s="5">
        <f>INDEX(Matriz!$B$17:$R$17,1,MATCH(VALUE($B$3),Matriz!$B$3:$R$3,0))</f>
        <v>2</v>
      </c>
      <c r="C20" s="37">
        <f t="shared" si="0"/>
        <v>0.04</v>
      </c>
      <c r="U20">
        <v>2024</v>
      </c>
      <c r="V20" s="5" t="e">
        <f>IF($B$32="Sim",INDEX(Matriz!$B$4:$R$4,1,MATCH($U20,Matriz!$B$3:$R$3,0)),NA())</f>
        <v>#N/A</v>
      </c>
      <c r="W20" s="5" t="e">
        <f>IF($B$33="Sim",INDEX(Matriz!$B$5:$R$5,1,MATCH($U20,Matriz!$B$3:$R$3,0)),NA())</f>
        <v>#N/A</v>
      </c>
      <c r="X20" s="5" t="e">
        <f>IF($B$34="Sim",INDEX(Matriz!$B$6:$R$6,1,MATCH($U20,Matriz!$B$3:$R$3,0)),NA())</f>
        <v>#N/A</v>
      </c>
      <c r="Y20" s="5" t="e">
        <f>IF($B$35="Sim",INDEX(Matriz!$B$7:$R$7,1,MATCH($U20,Matriz!$B$3:$R$3,0)),NA())</f>
        <v>#N/A</v>
      </c>
      <c r="Z20" s="5" t="e">
        <f>IF($B$36="Sim",INDEX(Matriz!$B$8:$R$8,1,MATCH($U20,Matriz!$B$3:$R$3,0)),NA())</f>
        <v>#N/A</v>
      </c>
      <c r="AA20" s="5">
        <f>IF($B$37="Sim",INDEX(Matriz!$B$9:$R$9,1,MATCH($U20,Matriz!$B$3:$R$3,0)),NA())</f>
        <v>8</v>
      </c>
      <c r="AB20" s="5" t="e">
        <f>IF($B$38="Sim",INDEX(Matriz!$B$10:$R$10,1,MATCH($U20,Matriz!$B$3:$R$3,0)),NA())</f>
        <v>#N/A</v>
      </c>
      <c r="AC20" s="5" t="e">
        <f>IF($B$39="Sim",INDEX(Matriz!$B$11:$R$11,1,MATCH($U20,Matriz!$B$3:$R$3,0)),NA())</f>
        <v>#N/A</v>
      </c>
      <c r="AD20" s="5" t="e">
        <f>IF($B$40="Sim",INDEX(Matriz!$B$12:$R$12,1,MATCH($U20,Matriz!$B$3:$R$3,0)),NA())</f>
        <v>#N/A</v>
      </c>
      <c r="AE20" s="5" t="e">
        <f>IF($B$41="Sim",INDEX(Matriz!$B$13:$R$13,1,MATCH($U20,Matriz!$B$3:$R$3,0)),NA())</f>
        <v>#N/A</v>
      </c>
      <c r="AF20" s="5" t="e">
        <f>IF($B$42="Sim",INDEX(Matriz!$B$14:$R$14,1,MATCH($U20,Matriz!$B$3:$R$3,0)),NA())</f>
        <v>#N/A</v>
      </c>
      <c r="AG20" s="5" t="e">
        <f>IF($B$43="Sim",INDEX(Matriz!$B$15:$R$15,1,MATCH($U20,Matriz!$B$3:$R$3,0)),NA())</f>
        <v>#N/A</v>
      </c>
      <c r="AH20" s="5" t="e">
        <f>IF($B$44="Sim",INDEX(Matriz!$B$16:$R$16,1,MATCH($U20,Matriz!$B$3:$R$3,0)),NA())</f>
        <v>#N/A</v>
      </c>
      <c r="AI20" s="5" t="e">
        <f>IF($B$45="Sim",INDEX(Matriz!$B$17:$R$17,1,MATCH($U20,Matriz!$B$3:$R$3,0)),NA())</f>
        <v>#N/A</v>
      </c>
      <c r="AJ20" s="5" t="e">
        <f>IF($B$46="Sim",INDEX(Matriz!$B$18:$R$18,1,MATCH($U20,Matriz!$B$3:$R$3,0)),NA())</f>
        <v>#N/A</v>
      </c>
      <c r="AK20" s="5" t="e">
        <f>IF($B$47="Sim",INDEX(Matriz!$B$19:$R$19,1,MATCH($U20,Matriz!$B$3:$R$3,0)),NA())</f>
        <v>#N/A</v>
      </c>
      <c r="AL20" s="5" t="e">
        <f>IF($B$48="Sim",INDEX(Matriz!$B$20:$R$20,1,MATCH($U20,Matriz!$B$3:$R$3,0)),NA())</f>
        <v>#N/A</v>
      </c>
      <c r="AM20" s="5">
        <f>INDEX(Matriz!$B$21:$R$21,1,MATCH($U20,Matriz!$B$3:$R$3,0))</f>
        <v>0</v>
      </c>
      <c r="AN20" s="5">
        <f>INDEX(Matriz!$B$22:$R$22,1,MATCH($U20,Matriz!$B$3:$R$3,0))</f>
        <v>0</v>
      </c>
      <c r="AO20" s="5">
        <f>INDEX(Matriz!$B$23:$R$23,1,MATCH($U20,Matriz!$B$3:$R$3,0))</f>
        <v>0</v>
      </c>
    </row>
    <row r="21" spans="1:41">
      <c r="A21" t="s">
        <v>50</v>
      </c>
      <c r="B21" s="5">
        <f>INDEX(Matriz!$B$18:$R$18,1,MATCH(VALUE($B$3),Matriz!$B$3:$R$3,0))</f>
        <v>3</v>
      </c>
      <c r="C21" s="37">
        <f t="shared" si="0"/>
        <v>0.06</v>
      </c>
      <c r="U21">
        <v>2025</v>
      </c>
      <c r="V21" s="5" t="e">
        <f>IF($B$32="Sim",INDEX(Matriz!$B$4:$R$4,1,MATCH($U21,Matriz!$B$3:$R$3,0)),NA())</f>
        <v>#N/A</v>
      </c>
      <c r="W21" s="5" t="e">
        <f>IF($B$33="Sim",INDEX(Matriz!$B$5:$R$5,1,MATCH($U21,Matriz!$B$3:$R$3,0)),NA())</f>
        <v>#N/A</v>
      </c>
      <c r="X21" s="5" t="e">
        <f>IF($B$34="Sim",INDEX(Matriz!$B$6:$R$6,1,MATCH($U21,Matriz!$B$3:$R$3,0)),NA())</f>
        <v>#N/A</v>
      </c>
      <c r="Y21" s="5" t="e">
        <f>IF($B$35="Sim",INDEX(Matriz!$B$7:$R$7,1,MATCH($U21,Matriz!$B$3:$R$3,0)),NA())</f>
        <v>#N/A</v>
      </c>
      <c r="Z21" s="5" t="e">
        <f>IF($B$36="Sim",INDEX(Matriz!$B$8:$R$8,1,MATCH($U21,Matriz!$B$3:$R$3,0)),NA())</f>
        <v>#N/A</v>
      </c>
      <c r="AA21" s="5">
        <f>IF($B$37="Sim",INDEX(Matriz!$B$9:$R$9,1,MATCH($U21,Matriz!$B$3:$R$3,0)),NA())</f>
        <v>0</v>
      </c>
      <c r="AB21" s="5" t="e">
        <f>IF($B$38="Sim",INDEX(Matriz!$B$10:$R$10,1,MATCH($U21,Matriz!$B$3:$R$3,0)),NA())</f>
        <v>#N/A</v>
      </c>
      <c r="AC21" s="5" t="e">
        <f>IF($B$39="Sim",INDEX(Matriz!$B$11:$R$11,1,MATCH($U21,Matriz!$B$3:$R$3,0)),NA())</f>
        <v>#N/A</v>
      </c>
      <c r="AD21" s="5" t="e">
        <f>IF($B$40="Sim",INDEX(Matriz!$B$12:$R$12,1,MATCH($U21,Matriz!$B$3:$R$3,0)),NA())</f>
        <v>#N/A</v>
      </c>
      <c r="AE21" s="5" t="e">
        <f>IF($B$41="Sim",INDEX(Matriz!$B$13:$R$13,1,MATCH($U21,Matriz!$B$3:$R$3,0)),NA())</f>
        <v>#N/A</v>
      </c>
      <c r="AF21" s="5" t="e">
        <f>IF($B$42="Sim",INDEX(Matriz!$B$14:$R$14,1,MATCH($U21,Matriz!$B$3:$R$3,0)),NA())</f>
        <v>#N/A</v>
      </c>
      <c r="AG21" s="5" t="e">
        <f>IF($B$43="Sim",INDEX(Matriz!$B$15:$R$15,1,MATCH($U21,Matriz!$B$3:$R$3,0)),NA())</f>
        <v>#N/A</v>
      </c>
      <c r="AH21" s="5" t="e">
        <f>IF($B$44="Sim",INDEX(Matriz!$B$16:$R$16,1,MATCH($U21,Matriz!$B$3:$R$3,0)),NA())</f>
        <v>#N/A</v>
      </c>
      <c r="AI21" s="5" t="e">
        <f>IF($B$45="Sim",INDEX(Matriz!$B$17:$R$17,1,MATCH($U21,Matriz!$B$3:$R$3,0)),NA())</f>
        <v>#N/A</v>
      </c>
      <c r="AJ21" s="5" t="e">
        <f>IF($B$46="Sim",INDEX(Matriz!$B$18:$R$18,1,MATCH($U21,Matriz!$B$3:$R$3,0)),NA())</f>
        <v>#N/A</v>
      </c>
      <c r="AK21" s="5" t="e">
        <f>IF($B$47="Sim",INDEX(Matriz!$B$19:$R$19,1,MATCH($U21,Matriz!$B$3:$R$3,0)),NA())</f>
        <v>#N/A</v>
      </c>
      <c r="AL21" s="5" t="e">
        <f>IF($B$48="Sim",INDEX(Matriz!$B$20:$R$20,1,MATCH($U21,Matriz!$B$3:$R$3,0)),NA())</f>
        <v>#N/A</v>
      </c>
      <c r="AM21" s="5">
        <f>INDEX(Matriz!$B$21:$R$21,1,MATCH($U21,Matriz!$B$3:$R$3,0))</f>
        <v>0</v>
      </c>
      <c r="AN21" s="5">
        <f>INDEX(Matriz!$B$22:$R$22,1,MATCH($U21,Matriz!$B$3:$R$3,0))</f>
        <v>0</v>
      </c>
      <c r="AO21" s="5">
        <f>INDEX(Matriz!$B$23:$R$23,1,MATCH($U21,Matriz!$B$3:$R$3,0))</f>
        <v>0</v>
      </c>
    </row>
    <row r="22" spans="1:41">
      <c r="A22" t="s">
        <v>54</v>
      </c>
      <c r="B22" s="5">
        <f>INDEX(Matriz!$B$19:$R$19,1,MATCH(VALUE($B$3),Matriz!$B$3:$R$3,0))</f>
        <v>0</v>
      </c>
      <c r="C22" s="37">
        <f t="shared" si="0"/>
        <v>0</v>
      </c>
      <c r="U22">
        <v>2026</v>
      </c>
      <c r="V22" s="5" t="e">
        <f>IF($B$32="Sim",INDEX(Matriz!$B$4:$R$4,1,MATCH($U22,Matriz!$B$3:$R$3,0)),NA())</f>
        <v>#N/A</v>
      </c>
      <c r="W22" s="5" t="e">
        <f>IF($B$33="Sim",INDEX(Matriz!$B$5:$R$5,1,MATCH($U22,Matriz!$B$3:$R$3,0)),NA())</f>
        <v>#N/A</v>
      </c>
      <c r="X22" s="5" t="e">
        <f>IF($B$34="Sim",INDEX(Matriz!$B$6:$R$6,1,MATCH($U22,Matriz!$B$3:$R$3,0)),NA())</f>
        <v>#N/A</v>
      </c>
      <c r="Y22" s="5" t="e">
        <f>IF($B$35="Sim",INDEX(Matriz!$B$7:$R$7,1,MATCH($U22,Matriz!$B$3:$R$3,0)),NA())</f>
        <v>#N/A</v>
      </c>
      <c r="Z22" s="5" t="e">
        <f>IF($B$36="Sim",INDEX(Matriz!$B$8:$R$8,1,MATCH($U22,Matriz!$B$3:$R$3,0)),NA())</f>
        <v>#N/A</v>
      </c>
      <c r="AA22" s="5">
        <f>IF($B$37="Sim",INDEX(Matriz!$B$9:$R$9,1,MATCH($U22,Matriz!$B$3:$R$3,0)),NA())</f>
        <v>0</v>
      </c>
      <c r="AB22" s="5" t="e">
        <f>IF($B$38="Sim",INDEX(Matriz!$B$10:$R$10,1,MATCH($U22,Matriz!$B$3:$R$3,0)),NA())</f>
        <v>#N/A</v>
      </c>
      <c r="AC22" s="5" t="e">
        <f>IF($B$39="Sim",INDEX(Matriz!$B$11:$R$11,1,MATCH($U22,Matriz!$B$3:$R$3,0)),NA())</f>
        <v>#N/A</v>
      </c>
      <c r="AD22" s="5" t="e">
        <f>IF($B$40="Sim",INDEX(Matriz!$B$12:$R$12,1,MATCH($U22,Matriz!$B$3:$R$3,0)),NA())</f>
        <v>#N/A</v>
      </c>
      <c r="AE22" s="5" t="e">
        <f>IF($B$41="Sim",INDEX(Matriz!$B$13:$R$13,1,MATCH($U22,Matriz!$B$3:$R$3,0)),NA())</f>
        <v>#N/A</v>
      </c>
      <c r="AF22" s="5" t="e">
        <f>IF($B$42="Sim",INDEX(Matriz!$B$14:$R$14,1,MATCH($U22,Matriz!$B$3:$R$3,0)),NA())</f>
        <v>#N/A</v>
      </c>
      <c r="AG22" s="5" t="e">
        <f>IF($B$43="Sim",INDEX(Matriz!$B$15:$R$15,1,MATCH($U22,Matriz!$B$3:$R$3,0)),NA())</f>
        <v>#N/A</v>
      </c>
      <c r="AH22" s="5" t="e">
        <f>IF($B$44="Sim",INDEX(Matriz!$B$16:$R$16,1,MATCH($U22,Matriz!$B$3:$R$3,0)),NA())</f>
        <v>#N/A</v>
      </c>
      <c r="AI22" s="5" t="e">
        <f>IF($B$45="Sim",INDEX(Matriz!$B$17:$R$17,1,MATCH($U22,Matriz!$B$3:$R$3,0)),NA())</f>
        <v>#N/A</v>
      </c>
      <c r="AJ22" s="5" t="e">
        <f>IF($B$46="Sim",INDEX(Matriz!$B$18:$R$18,1,MATCH($U22,Matriz!$B$3:$R$3,0)),NA())</f>
        <v>#N/A</v>
      </c>
      <c r="AK22" s="5" t="e">
        <f>IF($B$47="Sim",INDEX(Matriz!$B$19:$R$19,1,MATCH($U22,Matriz!$B$3:$R$3,0)),NA())</f>
        <v>#N/A</v>
      </c>
      <c r="AL22" s="5" t="e">
        <f>IF($B$48="Sim",INDEX(Matriz!$B$20:$R$20,1,MATCH($U22,Matriz!$B$3:$R$3,0)),NA())</f>
        <v>#N/A</v>
      </c>
      <c r="AM22" s="5">
        <f>INDEX(Matriz!$B$21:$R$21,1,MATCH($U22,Matriz!$B$3:$R$3,0))</f>
        <v>0</v>
      </c>
      <c r="AN22" s="5">
        <f>INDEX(Matriz!$B$22:$R$22,1,MATCH($U22,Matriz!$B$3:$R$3,0))</f>
        <v>0</v>
      </c>
      <c r="AO22" s="5">
        <f>INDEX(Matriz!$B$23:$R$23,1,MATCH($U22,Matriz!$B$3:$R$3,0))</f>
        <v>0</v>
      </c>
    </row>
    <row r="23" spans="1:41">
      <c r="A23" t="s">
        <v>57</v>
      </c>
      <c r="B23" s="5">
        <f>INDEX(Matriz!$B$20:$R$20,1,MATCH(VALUE($B$3),Matriz!$B$3:$R$3,0))</f>
        <v>0</v>
      </c>
      <c r="C23" s="37">
        <f t="shared" si="0"/>
        <v>0</v>
      </c>
    </row>
    <row r="24" spans="1:41">
      <c r="B24" s="5"/>
      <c r="C24" s="33"/>
    </row>
    <row r="25" spans="1:41">
      <c r="B25" s="5"/>
      <c r="C25" s="33"/>
    </row>
    <row r="26" spans="1:41">
      <c r="B26" s="5"/>
      <c r="C26" s="33"/>
    </row>
    <row r="30" spans="1:41">
      <c r="A30" s="27" t="s">
        <v>68</v>
      </c>
      <c r="B30" s="23"/>
    </row>
    <row r="31" spans="1:41" ht="15" customHeight="1">
      <c r="A31" s="21" t="s">
        <v>2</v>
      </c>
      <c r="B31" s="21" t="s">
        <v>69</v>
      </c>
      <c r="C31" s="34"/>
    </row>
    <row r="32" spans="1:41">
      <c r="A32" t="s">
        <v>8</v>
      </c>
      <c r="B32" s="20" t="s">
        <v>3177</v>
      </c>
      <c r="C32" s="35"/>
    </row>
    <row r="33" spans="1:3">
      <c r="A33" t="s">
        <v>11</v>
      </c>
      <c r="B33" s="20" t="s">
        <v>3177</v>
      </c>
      <c r="C33" s="35"/>
    </row>
    <row r="34" spans="1:3">
      <c r="A34" t="s">
        <v>14</v>
      </c>
      <c r="B34" s="20" t="s">
        <v>3177</v>
      </c>
      <c r="C34" s="35"/>
    </row>
    <row r="35" spans="1:3">
      <c r="A35" t="s">
        <v>17</v>
      </c>
      <c r="B35" s="20" t="s">
        <v>3177</v>
      </c>
      <c r="C35" s="35"/>
    </row>
    <row r="36" spans="1:3">
      <c r="A36" t="s">
        <v>20</v>
      </c>
      <c r="B36" s="20" t="s">
        <v>3177</v>
      </c>
      <c r="C36" s="35"/>
    </row>
    <row r="37" spans="1:3">
      <c r="A37" t="s">
        <v>23</v>
      </c>
      <c r="B37" s="20" t="s">
        <v>70</v>
      </c>
      <c r="C37" s="35"/>
    </row>
    <row r="38" spans="1:3">
      <c r="A38" t="s">
        <v>26</v>
      </c>
      <c r="B38" s="20" t="s">
        <v>3177</v>
      </c>
      <c r="C38" s="35"/>
    </row>
    <row r="39" spans="1:3">
      <c r="A39" t="s">
        <v>29</v>
      </c>
      <c r="B39" s="20" t="s">
        <v>3177</v>
      </c>
      <c r="C39" s="35"/>
    </row>
    <row r="40" spans="1:3">
      <c r="A40" t="s">
        <v>32</v>
      </c>
      <c r="B40" s="20" t="s">
        <v>3177</v>
      </c>
      <c r="C40" s="35"/>
    </row>
    <row r="41" spans="1:3">
      <c r="A41" t="s">
        <v>35</v>
      </c>
      <c r="B41" s="20" t="s">
        <v>3177</v>
      </c>
      <c r="C41" s="35"/>
    </row>
    <row r="42" spans="1:3">
      <c r="A42" t="s">
        <v>38</v>
      </c>
      <c r="B42" s="20" t="s">
        <v>3177</v>
      </c>
      <c r="C42" s="35"/>
    </row>
    <row r="43" spans="1:3">
      <c r="A43" t="s">
        <v>41</v>
      </c>
      <c r="B43" s="20" t="s">
        <v>3177</v>
      </c>
      <c r="C43" s="35"/>
    </row>
    <row r="44" spans="1:3">
      <c r="A44" t="s">
        <v>44</v>
      </c>
      <c r="B44" s="20" t="s">
        <v>3177</v>
      </c>
      <c r="C44" s="35"/>
    </row>
    <row r="45" spans="1:3">
      <c r="A45" t="s">
        <v>47</v>
      </c>
      <c r="B45" s="20" t="s">
        <v>3177</v>
      </c>
      <c r="C45" s="35"/>
    </row>
    <row r="46" spans="1:3">
      <c r="A46" t="s">
        <v>50</v>
      </c>
      <c r="B46" s="20" t="s">
        <v>3177</v>
      </c>
      <c r="C46" s="35"/>
    </row>
    <row r="47" spans="1:3">
      <c r="A47" t="s">
        <v>54</v>
      </c>
      <c r="B47" s="20" t="s">
        <v>3177</v>
      </c>
      <c r="C47" s="35"/>
    </row>
    <row r="48" spans="1:3">
      <c r="A48" t="s">
        <v>57</v>
      </c>
      <c r="B48" s="20" t="s">
        <v>3177</v>
      </c>
      <c r="C48" s="35"/>
    </row>
  </sheetData>
  <mergeCells count="3">
    <mergeCell ref="E3:R3"/>
    <mergeCell ref="A1:R1"/>
    <mergeCell ref="A30:B30"/>
  </mergeCells>
  <dataValidations count="2">
    <dataValidation type="list" sqref="B3" xr:uid="{00000000-0002-0000-0200-000000000000}">
      <formula1>"2010,2011,2012,2013,2014,2015,2016,2017,2018,2019,2020,2021,2022,2023,2024,2025,2026"</formula1>
    </dataValidation>
    <dataValidation type="list" showInputMessage="1" showErrorMessage="1" errorTitle="Filtro de tópico" error="Escolha Sim ou Não." promptTitle="Série temporal" prompt="Escolha Sim para incluir ou Não para ocultar o tópico." sqref="B32:C48" xr:uid="{17DA0ABA-456F-4C54-B94F-86C42AC6041C}">
      <formula1>"Sim,Não"</formula1>
    </dataValidation>
  </dataValidation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504"/>
  <sheetViews>
    <sheetView workbookViewId="0">
      <selection sqref="A1:K1"/>
    </sheetView>
  </sheetViews>
  <sheetFormatPr defaultRowHeight="14.25"/>
  <cols>
    <col min="1" max="1" width="9" customWidth="1"/>
    <col min="2" max="3" width="10" customWidth="1"/>
    <col min="4" max="4" width="20" customWidth="1"/>
    <col min="5" max="5" width="22" customWidth="1"/>
    <col min="6" max="6" width="12" customWidth="1"/>
    <col min="7" max="7" width="52" customWidth="1"/>
    <col min="8" max="8" width="12" customWidth="1"/>
    <col min="9" max="9" width="16" customWidth="1"/>
    <col min="10" max="10" width="36" customWidth="1"/>
    <col min="11" max="11" width="45" customWidth="1"/>
  </cols>
  <sheetData>
    <row r="1" spans="1:11" ht="18" customHeight="1">
      <c r="A1" s="24" t="s">
        <v>71</v>
      </c>
      <c r="B1" s="23"/>
      <c r="C1" s="23"/>
      <c r="D1" s="23"/>
      <c r="E1" s="23"/>
      <c r="F1" s="23"/>
      <c r="G1" s="23"/>
      <c r="H1" s="23"/>
      <c r="I1" s="23"/>
      <c r="J1" s="23"/>
      <c r="K1" s="23"/>
    </row>
    <row r="2" spans="1:11">
      <c r="A2" s="28" t="s">
        <v>72</v>
      </c>
      <c r="B2" s="23"/>
      <c r="C2" s="23"/>
      <c r="D2" s="23"/>
      <c r="E2" s="23"/>
      <c r="F2" s="23"/>
      <c r="G2" s="23"/>
      <c r="H2" s="23"/>
      <c r="I2" s="23"/>
      <c r="J2" s="23"/>
      <c r="K2" s="23"/>
    </row>
    <row r="4" spans="1:11" ht="15" customHeight="1">
      <c r="A4" s="4" t="s">
        <v>66</v>
      </c>
      <c r="B4" s="4" t="s">
        <v>73</v>
      </c>
      <c r="C4" s="4" t="s">
        <v>74</v>
      </c>
      <c r="D4" s="4" t="s">
        <v>75</v>
      </c>
      <c r="E4" s="4" t="s">
        <v>76</v>
      </c>
      <c r="F4" s="4" t="s">
        <v>77</v>
      </c>
      <c r="G4" s="4" t="s">
        <v>2</v>
      </c>
      <c r="H4" s="4" t="s">
        <v>78</v>
      </c>
      <c r="I4" s="4" t="s">
        <v>79</v>
      </c>
      <c r="J4" s="4" t="s">
        <v>80</v>
      </c>
      <c r="K4" s="4" t="s">
        <v>81</v>
      </c>
    </row>
    <row r="5" spans="1:11" ht="28.5" customHeight="1">
      <c r="A5">
        <v>2010</v>
      </c>
      <c r="B5">
        <v>1</v>
      </c>
      <c r="C5">
        <v>0</v>
      </c>
      <c r="D5" t="s">
        <v>82</v>
      </c>
      <c r="E5" t="str">
        <f t="shared" ref="E5:E68" si="0">IF(A5="","",TEXT(A5,"0")&amp;"-Q"&amp;TEXT(B5,"0")&amp;"-"&amp;IF(C5="","ABERTA",C5))</f>
        <v>2010-Q1-0</v>
      </c>
      <c r="F5">
        <f t="shared" ref="F5:F68" si="1">IF(D5="V/F",1,IF(D5="Aberta/numérica",5,""))</f>
        <v>1</v>
      </c>
      <c r="G5" t="s">
        <v>8</v>
      </c>
      <c r="H5">
        <f t="shared" ref="H5:H68" si="2">IF(A5="","",IF(C5="",COUNTIFS($A$5:$A$1504,A5,$B$5:$B$1504,B5,$C$5:$C$1504,"",$D$5:$D$1504,D5),COUNTIFS($A$5:$A$1504,A5,$B$5:$B$1504,B5,$C$5:$C$1504,C5,$D$5:$D$1504,D5)))</f>
        <v>1</v>
      </c>
      <c r="I5" s="5">
        <f t="shared" ref="I5:I68" si="3">IF(OR(F5="",H5="",G5=""),"",F5/H5)</f>
        <v>1</v>
      </c>
      <c r="J5" s="2" t="s">
        <v>83</v>
      </c>
      <c r="K5" s="2" t="s">
        <v>84</v>
      </c>
    </row>
    <row r="6" spans="1:11" ht="28.5" customHeight="1">
      <c r="A6">
        <v>2010</v>
      </c>
      <c r="B6">
        <v>1</v>
      </c>
      <c r="C6">
        <v>1</v>
      </c>
      <c r="D6" t="s">
        <v>82</v>
      </c>
      <c r="E6" t="str">
        <f t="shared" si="0"/>
        <v>2010-Q1-1</v>
      </c>
      <c r="F6">
        <f t="shared" si="1"/>
        <v>1</v>
      </c>
      <c r="G6" t="s">
        <v>8</v>
      </c>
      <c r="H6">
        <f t="shared" si="2"/>
        <v>1</v>
      </c>
      <c r="I6" s="5">
        <f t="shared" si="3"/>
        <v>1</v>
      </c>
      <c r="J6" s="2" t="s">
        <v>85</v>
      </c>
      <c r="K6" s="2" t="s">
        <v>86</v>
      </c>
    </row>
    <row r="7" spans="1:11" ht="28.5" customHeight="1">
      <c r="A7">
        <v>2010</v>
      </c>
      <c r="B7">
        <v>1</v>
      </c>
      <c r="C7">
        <v>2</v>
      </c>
      <c r="D7" t="s">
        <v>82</v>
      </c>
      <c r="E7" t="str">
        <f t="shared" si="0"/>
        <v>2010-Q1-2</v>
      </c>
      <c r="F7">
        <f t="shared" si="1"/>
        <v>1</v>
      </c>
      <c r="G7" t="s">
        <v>8</v>
      </c>
      <c r="H7">
        <f t="shared" si="2"/>
        <v>1</v>
      </c>
      <c r="I7" s="5">
        <f t="shared" si="3"/>
        <v>1</v>
      </c>
      <c r="J7" s="2" t="s">
        <v>87</v>
      </c>
      <c r="K7" s="2" t="s">
        <v>88</v>
      </c>
    </row>
    <row r="8" spans="1:11">
      <c r="A8">
        <v>2010</v>
      </c>
      <c r="B8">
        <v>1</v>
      </c>
      <c r="C8">
        <v>3</v>
      </c>
      <c r="D8" t="s">
        <v>82</v>
      </c>
      <c r="E8" t="str">
        <f t="shared" si="0"/>
        <v>2010-Q1-3</v>
      </c>
      <c r="F8">
        <f t="shared" si="1"/>
        <v>1</v>
      </c>
      <c r="G8" t="s">
        <v>8</v>
      </c>
      <c r="H8">
        <f t="shared" si="2"/>
        <v>1</v>
      </c>
      <c r="I8" s="5">
        <f t="shared" si="3"/>
        <v>1</v>
      </c>
      <c r="J8" s="2" t="s">
        <v>89</v>
      </c>
      <c r="K8" s="2" t="s">
        <v>90</v>
      </c>
    </row>
    <row r="9" spans="1:11">
      <c r="A9">
        <v>2010</v>
      </c>
      <c r="B9">
        <v>1</v>
      </c>
      <c r="C9">
        <v>4</v>
      </c>
      <c r="D9" t="s">
        <v>82</v>
      </c>
      <c r="E9" t="str">
        <f t="shared" si="0"/>
        <v>2010-Q1-4</v>
      </c>
      <c r="F9">
        <f t="shared" si="1"/>
        <v>1</v>
      </c>
      <c r="G9" t="s">
        <v>8</v>
      </c>
      <c r="H9">
        <f t="shared" si="2"/>
        <v>1</v>
      </c>
      <c r="I9" s="5">
        <f t="shared" si="3"/>
        <v>1</v>
      </c>
      <c r="J9" s="2" t="s">
        <v>91</v>
      </c>
      <c r="K9" s="2" t="s">
        <v>92</v>
      </c>
    </row>
    <row r="10" spans="1:11" ht="28.5" customHeight="1">
      <c r="A10">
        <v>2010</v>
      </c>
      <c r="B10">
        <v>2</v>
      </c>
      <c r="C10">
        <v>0</v>
      </c>
      <c r="D10" t="s">
        <v>82</v>
      </c>
      <c r="E10" t="str">
        <f t="shared" si="0"/>
        <v>2010-Q2-0</v>
      </c>
      <c r="F10">
        <f t="shared" si="1"/>
        <v>1</v>
      </c>
      <c r="G10" t="s">
        <v>20</v>
      </c>
      <c r="H10">
        <f t="shared" si="2"/>
        <v>1</v>
      </c>
      <c r="I10" s="5">
        <f t="shared" si="3"/>
        <v>1</v>
      </c>
      <c r="J10" s="2" t="s">
        <v>93</v>
      </c>
      <c r="K10" s="2" t="s">
        <v>94</v>
      </c>
    </row>
    <row r="11" spans="1:11" ht="28.5" customHeight="1">
      <c r="A11">
        <v>2010</v>
      </c>
      <c r="B11">
        <v>2</v>
      </c>
      <c r="C11">
        <v>1</v>
      </c>
      <c r="D11" t="s">
        <v>82</v>
      </c>
      <c r="E11" t="str">
        <f t="shared" si="0"/>
        <v>2010-Q2-1</v>
      </c>
      <c r="F11">
        <f t="shared" si="1"/>
        <v>1</v>
      </c>
      <c r="G11" t="s">
        <v>20</v>
      </c>
      <c r="H11">
        <f t="shared" si="2"/>
        <v>1</v>
      </c>
      <c r="I11" s="5">
        <f t="shared" si="3"/>
        <v>1</v>
      </c>
      <c r="J11" s="2" t="s">
        <v>95</v>
      </c>
      <c r="K11" s="2" t="s">
        <v>96</v>
      </c>
    </row>
    <row r="12" spans="1:11" ht="28.5" customHeight="1">
      <c r="A12">
        <v>2010</v>
      </c>
      <c r="B12">
        <v>2</v>
      </c>
      <c r="C12">
        <v>2</v>
      </c>
      <c r="D12" t="s">
        <v>82</v>
      </c>
      <c r="E12" t="str">
        <f t="shared" si="0"/>
        <v>2010-Q2-2</v>
      </c>
      <c r="F12">
        <f t="shared" si="1"/>
        <v>1</v>
      </c>
      <c r="G12" t="s">
        <v>20</v>
      </c>
      <c r="H12">
        <f t="shared" si="2"/>
        <v>1</v>
      </c>
      <c r="I12" s="5">
        <f t="shared" si="3"/>
        <v>1</v>
      </c>
      <c r="J12" s="2" t="s">
        <v>97</v>
      </c>
      <c r="K12" s="2" t="s">
        <v>98</v>
      </c>
    </row>
    <row r="13" spans="1:11" ht="28.5" customHeight="1">
      <c r="A13">
        <v>2010</v>
      </c>
      <c r="B13">
        <v>2</v>
      </c>
      <c r="C13">
        <v>3</v>
      </c>
      <c r="D13" t="s">
        <v>82</v>
      </c>
      <c r="E13" t="str">
        <f t="shared" si="0"/>
        <v>2010-Q2-3</v>
      </c>
      <c r="F13">
        <f t="shared" si="1"/>
        <v>1</v>
      </c>
      <c r="G13" t="s">
        <v>20</v>
      </c>
      <c r="H13">
        <f t="shared" si="2"/>
        <v>1</v>
      </c>
      <c r="I13" s="5">
        <f t="shared" si="3"/>
        <v>1</v>
      </c>
      <c r="J13" s="2" t="s">
        <v>99</v>
      </c>
      <c r="K13" s="2" t="s">
        <v>100</v>
      </c>
    </row>
    <row r="14" spans="1:11" ht="28.5" customHeight="1">
      <c r="A14">
        <v>2010</v>
      </c>
      <c r="B14">
        <v>2</v>
      </c>
      <c r="C14">
        <v>4</v>
      </c>
      <c r="D14" t="s">
        <v>82</v>
      </c>
      <c r="E14" t="str">
        <f t="shared" si="0"/>
        <v>2010-Q2-4</v>
      </c>
      <c r="F14">
        <f t="shared" si="1"/>
        <v>1</v>
      </c>
      <c r="G14" t="s">
        <v>14</v>
      </c>
      <c r="H14">
        <f t="shared" si="2"/>
        <v>1</v>
      </c>
      <c r="I14" s="5">
        <f t="shared" si="3"/>
        <v>1</v>
      </c>
      <c r="J14" s="2" t="s">
        <v>101</v>
      </c>
      <c r="K14" s="2" t="s">
        <v>102</v>
      </c>
    </row>
    <row r="15" spans="1:11">
      <c r="A15">
        <v>2010</v>
      </c>
      <c r="B15">
        <v>3</v>
      </c>
      <c r="C15">
        <v>0</v>
      </c>
      <c r="D15" t="s">
        <v>82</v>
      </c>
      <c r="E15" t="str">
        <f t="shared" si="0"/>
        <v>2010-Q3-0</v>
      </c>
      <c r="F15">
        <f t="shared" si="1"/>
        <v>1</v>
      </c>
      <c r="G15" t="s">
        <v>8</v>
      </c>
      <c r="H15">
        <f t="shared" si="2"/>
        <v>1</v>
      </c>
      <c r="I15" s="5">
        <f t="shared" si="3"/>
        <v>1</v>
      </c>
      <c r="J15" s="2" t="s">
        <v>103</v>
      </c>
      <c r="K15" s="2" t="s">
        <v>104</v>
      </c>
    </row>
    <row r="16" spans="1:11" ht="28.5" customHeight="1">
      <c r="A16">
        <v>2010</v>
      </c>
      <c r="B16">
        <v>3</v>
      </c>
      <c r="C16">
        <v>1</v>
      </c>
      <c r="D16" t="s">
        <v>82</v>
      </c>
      <c r="E16" t="str">
        <f t="shared" si="0"/>
        <v>2010-Q3-1</v>
      </c>
      <c r="F16">
        <f t="shared" si="1"/>
        <v>1</v>
      </c>
      <c r="G16" t="s">
        <v>8</v>
      </c>
      <c r="H16">
        <f t="shared" si="2"/>
        <v>1</v>
      </c>
      <c r="I16" s="5">
        <f t="shared" si="3"/>
        <v>1</v>
      </c>
      <c r="J16" s="2" t="s">
        <v>105</v>
      </c>
      <c r="K16" s="2" t="s">
        <v>106</v>
      </c>
    </row>
    <row r="17" spans="1:11">
      <c r="A17">
        <v>2010</v>
      </c>
      <c r="B17">
        <v>3</v>
      </c>
      <c r="C17">
        <v>2</v>
      </c>
      <c r="D17" t="s">
        <v>82</v>
      </c>
      <c r="E17" t="str">
        <f t="shared" si="0"/>
        <v>2010-Q3-2</v>
      </c>
      <c r="F17">
        <f t="shared" si="1"/>
        <v>1</v>
      </c>
      <c r="G17" t="s">
        <v>8</v>
      </c>
      <c r="H17">
        <f t="shared" si="2"/>
        <v>1</v>
      </c>
      <c r="I17" s="5">
        <f t="shared" si="3"/>
        <v>1</v>
      </c>
      <c r="J17" s="2" t="s">
        <v>107</v>
      </c>
      <c r="K17" s="2" t="s">
        <v>108</v>
      </c>
    </row>
    <row r="18" spans="1:11">
      <c r="A18">
        <v>2010</v>
      </c>
      <c r="B18">
        <v>3</v>
      </c>
      <c r="C18">
        <v>3</v>
      </c>
      <c r="D18" t="s">
        <v>82</v>
      </c>
      <c r="E18" t="str">
        <f t="shared" si="0"/>
        <v>2010-Q3-3</v>
      </c>
      <c r="F18">
        <f t="shared" si="1"/>
        <v>1</v>
      </c>
      <c r="G18" t="s">
        <v>8</v>
      </c>
      <c r="H18">
        <f t="shared" si="2"/>
        <v>1</v>
      </c>
      <c r="I18" s="5">
        <f t="shared" si="3"/>
        <v>1</v>
      </c>
      <c r="J18" s="2" t="s">
        <v>109</v>
      </c>
      <c r="K18" s="2" t="s">
        <v>110</v>
      </c>
    </row>
    <row r="19" spans="1:11" ht="28.5" customHeight="1">
      <c r="A19">
        <v>2010</v>
      </c>
      <c r="B19">
        <v>3</v>
      </c>
      <c r="C19">
        <v>4</v>
      </c>
      <c r="D19" t="s">
        <v>82</v>
      </c>
      <c r="E19" t="str">
        <f t="shared" si="0"/>
        <v>2010-Q3-4</v>
      </c>
      <c r="F19">
        <f t="shared" si="1"/>
        <v>1</v>
      </c>
      <c r="G19" t="s">
        <v>8</v>
      </c>
      <c r="H19">
        <f t="shared" si="2"/>
        <v>1</v>
      </c>
      <c r="I19" s="5">
        <f t="shared" si="3"/>
        <v>1</v>
      </c>
      <c r="J19" s="2" t="s">
        <v>111</v>
      </c>
      <c r="K19" s="2" t="s">
        <v>112</v>
      </c>
    </row>
    <row r="20" spans="1:11" ht="28.5" customHeight="1">
      <c r="A20">
        <v>2010</v>
      </c>
      <c r="B20">
        <v>4</v>
      </c>
      <c r="C20">
        <v>0</v>
      </c>
      <c r="D20" t="s">
        <v>82</v>
      </c>
      <c r="E20" t="str">
        <f t="shared" si="0"/>
        <v>2010-Q4-0</v>
      </c>
      <c r="F20">
        <f t="shared" si="1"/>
        <v>1</v>
      </c>
      <c r="G20" t="s">
        <v>14</v>
      </c>
      <c r="H20">
        <f t="shared" si="2"/>
        <v>1</v>
      </c>
      <c r="I20" s="5">
        <f t="shared" si="3"/>
        <v>1</v>
      </c>
      <c r="J20" s="2" t="s">
        <v>113</v>
      </c>
      <c r="K20" s="2" t="s">
        <v>114</v>
      </c>
    </row>
    <row r="21" spans="1:11" ht="28.5" customHeight="1">
      <c r="A21">
        <v>2010</v>
      </c>
      <c r="B21">
        <v>4</v>
      </c>
      <c r="C21">
        <v>1</v>
      </c>
      <c r="D21" t="s">
        <v>82</v>
      </c>
      <c r="E21" t="str">
        <f t="shared" si="0"/>
        <v>2010-Q4-1</v>
      </c>
      <c r="F21">
        <f t="shared" si="1"/>
        <v>1</v>
      </c>
      <c r="G21" t="s">
        <v>14</v>
      </c>
      <c r="H21">
        <f t="shared" si="2"/>
        <v>1</v>
      </c>
      <c r="I21" s="5">
        <f t="shared" si="3"/>
        <v>1</v>
      </c>
      <c r="J21" s="2" t="s">
        <v>115</v>
      </c>
      <c r="K21" s="2" t="s">
        <v>116</v>
      </c>
    </row>
    <row r="22" spans="1:11" ht="28.5" customHeight="1">
      <c r="A22">
        <v>2010</v>
      </c>
      <c r="B22">
        <v>4</v>
      </c>
      <c r="C22">
        <v>2</v>
      </c>
      <c r="D22" t="s">
        <v>82</v>
      </c>
      <c r="E22" t="str">
        <f t="shared" si="0"/>
        <v>2010-Q4-2</v>
      </c>
      <c r="F22">
        <f t="shared" si="1"/>
        <v>1</v>
      </c>
      <c r="G22" t="s">
        <v>14</v>
      </c>
      <c r="H22">
        <f t="shared" si="2"/>
        <v>1</v>
      </c>
      <c r="I22" s="5">
        <f t="shared" si="3"/>
        <v>1</v>
      </c>
      <c r="J22" s="2" t="s">
        <v>117</v>
      </c>
      <c r="K22" s="2" t="s">
        <v>118</v>
      </c>
    </row>
    <row r="23" spans="1:11">
      <c r="A23">
        <v>2010</v>
      </c>
      <c r="B23">
        <v>4</v>
      </c>
      <c r="C23">
        <v>3</v>
      </c>
      <c r="D23" t="s">
        <v>82</v>
      </c>
      <c r="E23" t="str">
        <f t="shared" si="0"/>
        <v>2010-Q4-3</v>
      </c>
      <c r="F23">
        <f t="shared" si="1"/>
        <v>1</v>
      </c>
      <c r="G23" t="s">
        <v>14</v>
      </c>
      <c r="H23">
        <f t="shared" si="2"/>
        <v>1</v>
      </c>
      <c r="I23" s="5">
        <f t="shared" si="3"/>
        <v>1</v>
      </c>
      <c r="J23" s="2" t="s">
        <v>119</v>
      </c>
      <c r="K23" s="2" t="s">
        <v>120</v>
      </c>
    </row>
    <row r="24" spans="1:11" ht="28.5" customHeight="1">
      <c r="A24">
        <v>2010</v>
      </c>
      <c r="B24">
        <v>4</v>
      </c>
      <c r="C24">
        <v>4</v>
      </c>
      <c r="D24" t="s">
        <v>82</v>
      </c>
      <c r="E24" t="str">
        <f t="shared" si="0"/>
        <v>2010-Q4-4</v>
      </c>
      <c r="F24">
        <f t="shared" si="1"/>
        <v>1</v>
      </c>
      <c r="G24" t="s">
        <v>14</v>
      </c>
      <c r="H24">
        <f t="shared" si="2"/>
        <v>1</v>
      </c>
      <c r="I24" s="5">
        <f t="shared" si="3"/>
        <v>1</v>
      </c>
      <c r="J24" s="2" t="s">
        <v>121</v>
      </c>
      <c r="K24" s="2" t="s">
        <v>122</v>
      </c>
    </row>
    <row r="25" spans="1:11" ht="28.5" customHeight="1">
      <c r="A25">
        <v>2010</v>
      </c>
      <c r="B25">
        <v>5</v>
      </c>
      <c r="C25">
        <v>0</v>
      </c>
      <c r="D25" t="s">
        <v>82</v>
      </c>
      <c r="E25" t="str">
        <f t="shared" si="0"/>
        <v>2010-Q5-0</v>
      </c>
      <c r="F25">
        <f t="shared" si="1"/>
        <v>1</v>
      </c>
      <c r="G25" t="s">
        <v>44</v>
      </c>
      <c r="H25">
        <f t="shared" si="2"/>
        <v>1</v>
      </c>
      <c r="I25" s="5">
        <f t="shared" si="3"/>
        <v>1</v>
      </c>
      <c r="J25" s="2" t="s">
        <v>123</v>
      </c>
      <c r="K25" s="2" t="s">
        <v>124</v>
      </c>
    </row>
    <row r="26" spans="1:11" ht="28.5" customHeight="1">
      <c r="A26">
        <v>2010</v>
      </c>
      <c r="B26">
        <v>5</v>
      </c>
      <c r="C26">
        <v>1</v>
      </c>
      <c r="D26" t="s">
        <v>82</v>
      </c>
      <c r="E26" t="str">
        <f t="shared" si="0"/>
        <v>2010-Q5-1</v>
      </c>
      <c r="F26">
        <f t="shared" si="1"/>
        <v>1</v>
      </c>
      <c r="G26" t="s">
        <v>44</v>
      </c>
      <c r="H26">
        <f t="shared" si="2"/>
        <v>1</v>
      </c>
      <c r="I26" s="5">
        <f t="shared" si="3"/>
        <v>1</v>
      </c>
      <c r="J26" s="2" t="s">
        <v>125</v>
      </c>
      <c r="K26" s="2" t="s">
        <v>126</v>
      </c>
    </row>
    <row r="27" spans="1:11" ht="28.5" customHeight="1">
      <c r="A27">
        <v>2010</v>
      </c>
      <c r="B27">
        <v>5</v>
      </c>
      <c r="C27">
        <v>2</v>
      </c>
      <c r="D27" t="s">
        <v>82</v>
      </c>
      <c r="E27" t="str">
        <f t="shared" si="0"/>
        <v>2010-Q5-2</v>
      </c>
      <c r="F27">
        <f t="shared" si="1"/>
        <v>1</v>
      </c>
      <c r="G27" t="s">
        <v>44</v>
      </c>
      <c r="H27">
        <f t="shared" si="2"/>
        <v>1</v>
      </c>
      <c r="I27" s="5">
        <f t="shared" si="3"/>
        <v>1</v>
      </c>
      <c r="J27" s="2" t="s">
        <v>127</v>
      </c>
      <c r="K27" s="2" t="s">
        <v>128</v>
      </c>
    </row>
    <row r="28" spans="1:11">
      <c r="A28">
        <v>2010</v>
      </c>
      <c r="B28">
        <v>5</v>
      </c>
      <c r="C28">
        <v>3</v>
      </c>
      <c r="D28" t="s">
        <v>82</v>
      </c>
      <c r="E28" t="str">
        <f t="shared" si="0"/>
        <v>2010-Q5-3</v>
      </c>
      <c r="F28">
        <f t="shared" si="1"/>
        <v>1</v>
      </c>
      <c r="G28" t="s">
        <v>38</v>
      </c>
      <c r="H28">
        <f t="shared" si="2"/>
        <v>1</v>
      </c>
      <c r="I28" s="5">
        <f t="shared" si="3"/>
        <v>1</v>
      </c>
      <c r="J28" s="2" t="s">
        <v>129</v>
      </c>
      <c r="K28" s="2" t="s">
        <v>130</v>
      </c>
    </row>
    <row r="29" spans="1:11" ht="28.5" customHeight="1">
      <c r="A29">
        <v>2010</v>
      </c>
      <c r="B29">
        <v>5</v>
      </c>
      <c r="C29">
        <v>4</v>
      </c>
      <c r="D29" t="s">
        <v>82</v>
      </c>
      <c r="E29" t="str">
        <f t="shared" si="0"/>
        <v>2010-Q5-4</v>
      </c>
      <c r="F29">
        <f t="shared" si="1"/>
        <v>1</v>
      </c>
      <c r="G29" t="s">
        <v>35</v>
      </c>
      <c r="H29">
        <f t="shared" si="2"/>
        <v>1</v>
      </c>
      <c r="I29" s="5">
        <f t="shared" si="3"/>
        <v>1</v>
      </c>
      <c r="J29" s="2" t="s">
        <v>131</v>
      </c>
      <c r="K29" s="2" t="s">
        <v>132</v>
      </c>
    </row>
    <row r="30" spans="1:11" ht="28.5" customHeight="1">
      <c r="A30">
        <v>2010</v>
      </c>
      <c r="B30">
        <v>6</v>
      </c>
      <c r="C30">
        <v>0</v>
      </c>
      <c r="D30" t="s">
        <v>82</v>
      </c>
      <c r="E30" t="str">
        <f t="shared" si="0"/>
        <v>2010-Q6-0</v>
      </c>
      <c r="F30">
        <f t="shared" si="1"/>
        <v>1</v>
      </c>
      <c r="G30" t="s">
        <v>26</v>
      </c>
      <c r="H30">
        <f t="shared" si="2"/>
        <v>1</v>
      </c>
      <c r="I30" s="5">
        <f t="shared" si="3"/>
        <v>1</v>
      </c>
      <c r="J30" s="2" t="s">
        <v>133</v>
      </c>
      <c r="K30" s="2" t="s">
        <v>134</v>
      </c>
    </row>
    <row r="31" spans="1:11" ht="28.5" customHeight="1">
      <c r="A31">
        <v>2010</v>
      </c>
      <c r="B31">
        <v>6</v>
      </c>
      <c r="C31">
        <v>1</v>
      </c>
      <c r="D31" t="s">
        <v>82</v>
      </c>
      <c r="E31" t="str">
        <f t="shared" si="0"/>
        <v>2010-Q6-1</v>
      </c>
      <c r="F31">
        <f t="shared" si="1"/>
        <v>1</v>
      </c>
      <c r="G31" t="s">
        <v>26</v>
      </c>
      <c r="H31">
        <f t="shared" si="2"/>
        <v>1</v>
      </c>
      <c r="I31" s="5">
        <f t="shared" si="3"/>
        <v>1</v>
      </c>
      <c r="J31" s="2" t="s">
        <v>135</v>
      </c>
      <c r="K31" s="2" t="s">
        <v>136</v>
      </c>
    </row>
    <row r="32" spans="1:11" ht="28.5" customHeight="1">
      <c r="A32">
        <v>2010</v>
      </c>
      <c r="B32">
        <v>6</v>
      </c>
      <c r="C32">
        <v>2</v>
      </c>
      <c r="D32" t="s">
        <v>82</v>
      </c>
      <c r="E32" t="str">
        <f t="shared" si="0"/>
        <v>2010-Q6-2</v>
      </c>
      <c r="F32">
        <f t="shared" si="1"/>
        <v>1</v>
      </c>
      <c r="G32" t="s">
        <v>17</v>
      </c>
      <c r="H32">
        <f t="shared" si="2"/>
        <v>2</v>
      </c>
      <c r="I32" s="5">
        <f t="shared" si="3"/>
        <v>0.5</v>
      </c>
      <c r="J32" s="2" t="s">
        <v>137</v>
      </c>
      <c r="K32" s="2" t="s">
        <v>138</v>
      </c>
    </row>
    <row r="33" spans="1:11" ht="28.5" customHeight="1">
      <c r="A33">
        <v>2010</v>
      </c>
      <c r="B33">
        <v>6</v>
      </c>
      <c r="C33">
        <v>2</v>
      </c>
      <c r="D33" t="s">
        <v>82</v>
      </c>
      <c r="E33" t="str">
        <f t="shared" si="0"/>
        <v>2010-Q6-2</v>
      </c>
      <c r="F33">
        <f t="shared" si="1"/>
        <v>1</v>
      </c>
      <c r="G33" t="s">
        <v>26</v>
      </c>
      <c r="H33">
        <f t="shared" si="2"/>
        <v>2</v>
      </c>
      <c r="I33" s="5">
        <f t="shared" si="3"/>
        <v>0.5</v>
      </c>
      <c r="J33" s="2" t="s">
        <v>137</v>
      </c>
      <c r="K33" s="2" t="s">
        <v>138</v>
      </c>
    </row>
    <row r="34" spans="1:11" ht="28.5" customHeight="1">
      <c r="A34">
        <v>2010</v>
      </c>
      <c r="B34">
        <v>6</v>
      </c>
      <c r="C34">
        <v>3</v>
      </c>
      <c r="D34" t="s">
        <v>82</v>
      </c>
      <c r="E34" t="str">
        <f t="shared" si="0"/>
        <v>2010-Q6-3</v>
      </c>
      <c r="F34">
        <f t="shared" si="1"/>
        <v>1</v>
      </c>
      <c r="G34" t="s">
        <v>23</v>
      </c>
      <c r="H34">
        <f t="shared" si="2"/>
        <v>1</v>
      </c>
      <c r="I34" s="5">
        <f t="shared" si="3"/>
        <v>1</v>
      </c>
      <c r="J34" s="2" t="s">
        <v>139</v>
      </c>
      <c r="K34" s="2" t="s">
        <v>140</v>
      </c>
    </row>
    <row r="35" spans="1:11" ht="28.5" customHeight="1">
      <c r="A35">
        <v>2010</v>
      </c>
      <c r="B35">
        <v>6</v>
      </c>
      <c r="C35">
        <v>4</v>
      </c>
      <c r="D35" t="s">
        <v>82</v>
      </c>
      <c r="E35" t="str">
        <f t="shared" si="0"/>
        <v>2010-Q6-4</v>
      </c>
      <c r="F35">
        <f t="shared" si="1"/>
        <v>1</v>
      </c>
      <c r="G35" t="s">
        <v>23</v>
      </c>
      <c r="H35">
        <f t="shared" si="2"/>
        <v>1</v>
      </c>
      <c r="I35" s="5">
        <f t="shared" si="3"/>
        <v>1</v>
      </c>
      <c r="J35" s="2" t="s">
        <v>141</v>
      </c>
      <c r="K35" s="2" t="s">
        <v>142</v>
      </c>
    </row>
    <row r="36" spans="1:11" ht="28.5" customHeight="1">
      <c r="A36">
        <v>2010</v>
      </c>
      <c r="B36">
        <v>7</v>
      </c>
      <c r="C36">
        <v>0</v>
      </c>
      <c r="D36" t="s">
        <v>82</v>
      </c>
      <c r="E36" t="str">
        <f t="shared" si="0"/>
        <v>2010-Q7-0</v>
      </c>
      <c r="F36">
        <f t="shared" si="1"/>
        <v>1</v>
      </c>
      <c r="G36" t="s">
        <v>20</v>
      </c>
      <c r="H36">
        <f t="shared" si="2"/>
        <v>1</v>
      </c>
      <c r="I36" s="5">
        <f t="shared" si="3"/>
        <v>1</v>
      </c>
      <c r="J36" s="2" t="s">
        <v>143</v>
      </c>
      <c r="K36" s="2" t="s">
        <v>144</v>
      </c>
    </row>
    <row r="37" spans="1:11" ht="28.5" customHeight="1">
      <c r="A37">
        <v>2010</v>
      </c>
      <c r="B37">
        <v>7</v>
      </c>
      <c r="C37">
        <v>1</v>
      </c>
      <c r="D37" t="s">
        <v>82</v>
      </c>
      <c r="E37" t="str">
        <f t="shared" si="0"/>
        <v>2010-Q7-1</v>
      </c>
      <c r="F37">
        <f t="shared" si="1"/>
        <v>1</v>
      </c>
      <c r="G37" t="s">
        <v>20</v>
      </c>
      <c r="H37">
        <f t="shared" si="2"/>
        <v>1</v>
      </c>
      <c r="I37" s="5">
        <f t="shared" si="3"/>
        <v>1</v>
      </c>
      <c r="J37" s="2" t="s">
        <v>145</v>
      </c>
      <c r="K37" s="2" t="s">
        <v>146</v>
      </c>
    </row>
    <row r="38" spans="1:11" ht="28.5" customHeight="1">
      <c r="A38">
        <v>2010</v>
      </c>
      <c r="B38">
        <v>7</v>
      </c>
      <c r="C38">
        <v>2</v>
      </c>
      <c r="D38" t="s">
        <v>82</v>
      </c>
      <c r="E38" t="str">
        <f t="shared" si="0"/>
        <v>2010-Q7-2</v>
      </c>
      <c r="F38">
        <f t="shared" si="1"/>
        <v>1</v>
      </c>
      <c r="G38" t="s">
        <v>20</v>
      </c>
      <c r="H38">
        <f t="shared" si="2"/>
        <v>1</v>
      </c>
      <c r="I38" s="5">
        <f t="shared" si="3"/>
        <v>1</v>
      </c>
      <c r="J38" s="2" t="s">
        <v>147</v>
      </c>
      <c r="K38" s="2" t="s">
        <v>148</v>
      </c>
    </row>
    <row r="39" spans="1:11" ht="28.5" customHeight="1">
      <c r="A39">
        <v>2010</v>
      </c>
      <c r="B39">
        <v>7</v>
      </c>
      <c r="C39">
        <v>3</v>
      </c>
      <c r="D39" t="s">
        <v>82</v>
      </c>
      <c r="E39" t="str">
        <f t="shared" si="0"/>
        <v>2010-Q7-3</v>
      </c>
      <c r="F39">
        <f t="shared" si="1"/>
        <v>1</v>
      </c>
      <c r="G39" t="s">
        <v>20</v>
      </c>
      <c r="H39">
        <f t="shared" si="2"/>
        <v>1</v>
      </c>
      <c r="I39" s="5">
        <f t="shared" si="3"/>
        <v>1</v>
      </c>
      <c r="J39" s="2" t="s">
        <v>149</v>
      </c>
      <c r="K39" s="2" t="s">
        <v>150</v>
      </c>
    </row>
    <row r="40" spans="1:11" ht="28.5" customHeight="1">
      <c r="A40">
        <v>2010</v>
      </c>
      <c r="B40">
        <v>7</v>
      </c>
      <c r="C40">
        <v>4</v>
      </c>
      <c r="D40" t="s">
        <v>82</v>
      </c>
      <c r="E40" t="str">
        <f t="shared" si="0"/>
        <v>2010-Q7-4</v>
      </c>
      <c r="F40">
        <f t="shared" si="1"/>
        <v>1</v>
      </c>
      <c r="G40" t="s">
        <v>20</v>
      </c>
      <c r="H40">
        <f t="shared" si="2"/>
        <v>1</v>
      </c>
      <c r="I40" s="5">
        <f t="shared" si="3"/>
        <v>1</v>
      </c>
      <c r="J40" s="2" t="s">
        <v>151</v>
      </c>
      <c r="K40" s="2" t="s">
        <v>152</v>
      </c>
    </row>
    <row r="41" spans="1:11" ht="28.5" customHeight="1">
      <c r="A41">
        <v>2010</v>
      </c>
      <c r="B41">
        <v>8</v>
      </c>
      <c r="C41">
        <v>0</v>
      </c>
      <c r="D41" t="s">
        <v>82</v>
      </c>
      <c r="E41" t="str">
        <f t="shared" si="0"/>
        <v>2010-Q8-0</v>
      </c>
      <c r="F41">
        <f t="shared" si="1"/>
        <v>1</v>
      </c>
      <c r="G41" t="s">
        <v>32</v>
      </c>
      <c r="H41">
        <f t="shared" si="2"/>
        <v>1</v>
      </c>
      <c r="I41" s="5">
        <f t="shared" si="3"/>
        <v>1</v>
      </c>
      <c r="J41" s="2" t="s">
        <v>153</v>
      </c>
      <c r="K41" s="2" t="s">
        <v>154</v>
      </c>
    </row>
    <row r="42" spans="1:11" ht="28.5" customHeight="1">
      <c r="A42">
        <v>2010</v>
      </c>
      <c r="B42">
        <v>8</v>
      </c>
      <c r="C42">
        <v>1</v>
      </c>
      <c r="D42" t="s">
        <v>82</v>
      </c>
      <c r="E42" t="str">
        <f t="shared" si="0"/>
        <v>2010-Q8-1</v>
      </c>
      <c r="F42">
        <f t="shared" si="1"/>
        <v>1</v>
      </c>
      <c r="G42" t="s">
        <v>32</v>
      </c>
      <c r="H42">
        <f t="shared" si="2"/>
        <v>1</v>
      </c>
      <c r="I42" s="5">
        <f t="shared" si="3"/>
        <v>1</v>
      </c>
      <c r="J42" s="2" t="s">
        <v>155</v>
      </c>
      <c r="K42" s="2" t="s">
        <v>156</v>
      </c>
    </row>
    <row r="43" spans="1:11" ht="28.5" customHeight="1">
      <c r="A43">
        <v>2010</v>
      </c>
      <c r="B43">
        <v>8</v>
      </c>
      <c r="C43">
        <v>2</v>
      </c>
      <c r="D43" t="s">
        <v>82</v>
      </c>
      <c r="E43" t="str">
        <f t="shared" si="0"/>
        <v>2010-Q8-2</v>
      </c>
      <c r="F43">
        <f t="shared" si="1"/>
        <v>1</v>
      </c>
      <c r="G43" t="s">
        <v>32</v>
      </c>
      <c r="H43">
        <f t="shared" si="2"/>
        <v>1</v>
      </c>
      <c r="I43" s="5">
        <f t="shared" si="3"/>
        <v>1</v>
      </c>
      <c r="J43" s="2" t="s">
        <v>157</v>
      </c>
      <c r="K43" s="2" t="s">
        <v>158</v>
      </c>
    </row>
    <row r="44" spans="1:11" ht="28.5" customHeight="1">
      <c r="A44">
        <v>2010</v>
      </c>
      <c r="B44">
        <v>8</v>
      </c>
      <c r="C44">
        <v>3</v>
      </c>
      <c r="D44" t="s">
        <v>82</v>
      </c>
      <c r="E44" t="str">
        <f t="shared" si="0"/>
        <v>2010-Q8-3</v>
      </c>
      <c r="F44">
        <f t="shared" si="1"/>
        <v>1</v>
      </c>
      <c r="G44" t="s">
        <v>32</v>
      </c>
      <c r="H44">
        <f t="shared" si="2"/>
        <v>1</v>
      </c>
      <c r="I44" s="5">
        <f t="shared" si="3"/>
        <v>1</v>
      </c>
      <c r="J44" s="2" t="s">
        <v>159</v>
      </c>
      <c r="K44" s="2" t="s">
        <v>160</v>
      </c>
    </row>
    <row r="45" spans="1:11" ht="28.5" customHeight="1">
      <c r="A45">
        <v>2010</v>
      </c>
      <c r="B45">
        <v>8</v>
      </c>
      <c r="C45">
        <v>4</v>
      </c>
      <c r="D45" t="s">
        <v>82</v>
      </c>
      <c r="E45" t="str">
        <f t="shared" si="0"/>
        <v>2010-Q8-4</v>
      </c>
      <c r="F45">
        <f t="shared" si="1"/>
        <v>1</v>
      </c>
      <c r="G45" t="s">
        <v>32</v>
      </c>
      <c r="H45">
        <f t="shared" si="2"/>
        <v>1</v>
      </c>
      <c r="I45" s="5">
        <f t="shared" si="3"/>
        <v>1</v>
      </c>
      <c r="J45" s="2" t="s">
        <v>161</v>
      </c>
      <c r="K45" s="2" t="s">
        <v>162</v>
      </c>
    </row>
    <row r="46" spans="1:11" ht="28.5" customHeight="1">
      <c r="A46">
        <v>2010</v>
      </c>
      <c r="B46">
        <v>9</v>
      </c>
      <c r="C46">
        <v>0</v>
      </c>
      <c r="D46" t="s">
        <v>82</v>
      </c>
      <c r="E46" t="str">
        <f t="shared" si="0"/>
        <v>2010-Q9-0</v>
      </c>
      <c r="F46">
        <f t="shared" si="1"/>
        <v>1</v>
      </c>
      <c r="G46" t="s">
        <v>35</v>
      </c>
      <c r="H46">
        <f t="shared" si="2"/>
        <v>1</v>
      </c>
      <c r="I46" s="5">
        <f t="shared" si="3"/>
        <v>1</v>
      </c>
      <c r="J46" s="2" t="s">
        <v>163</v>
      </c>
      <c r="K46" s="2" t="s">
        <v>164</v>
      </c>
    </row>
    <row r="47" spans="1:11" ht="28.5" customHeight="1">
      <c r="A47">
        <v>2010</v>
      </c>
      <c r="B47">
        <v>9</v>
      </c>
      <c r="C47">
        <v>1</v>
      </c>
      <c r="D47" t="s">
        <v>82</v>
      </c>
      <c r="E47" t="str">
        <f t="shared" si="0"/>
        <v>2010-Q9-1</v>
      </c>
      <c r="F47">
        <f t="shared" si="1"/>
        <v>1</v>
      </c>
      <c r="G47" t="s">
        <v>35</v>
      </c>
      <c r="H47">
        <f t="shared" si="2"/>
        <v>1</v>
      </c>
      <c r="I47" s="5">
        <f t="shared" si="3"/>
        <v>1</v>
      </c>
      <c r="J47" s="2" t="s">
        <v>165</v>
      </c>
      <c r="K47" s="2" t="s">
        <v>166</v>
      </c>
    </row>
    <row r="48" spans="1:11" ht="28.5" customHeight="1">
      <c r="A48">
        <v>2010</v>
      </c>
      <c r="B48">
        <v>9</v>
      </c>
      <c r="C48">
        <v>2</v>
      </c>
      <c r="D48" t="s">
        <v>82</v>
      </c>
      <c r="E48" t="str">
        <f t="shared" si="0"/>
        <v>2010-Q9-2</v>
      </c>
      <c r="F48">
        <f t="shared" si="1"/>
        <v>1</v>
      </c>
      <c r="G48" t="s">
        <v>35</v>
      </c>
      <c r="H48">
        <f t="shared" si="2"/>
        <v>1</v>
      </c>
      <c r="I48" s="5">
        <f t="shared" si="3"/>
        <v>1</v>
      </c>
      <c r="J48" s="2" t="s">
        <v>167</v>
      </c>
      <c r="K48" s="2" t="s">
        <v>168</v>
      </c>
    </row>
    <row r="49" spans="1:11" ht="28.5" customHeight="1">
      <c r="A49">
        <v>2010</v>
      </c>
      <c r="B49">
        <v>9</v>
      </c>
      <c r="C49">
        <v>3</v>
      </c>
      <c r="D49" t="s">
        <v>82</v>
      </c>
      <c r="E49" t="str">
        <f t="shared" si="0"/>
        <v>2010-Q9-3</v>
      </c>
      <c r="F49">
        <f t="shared" si="1"/>
        <v>1</v>
      </c>
      <c r="G49" t="s">
        <v>35</v>
      </c>
      <c r="H49">
        <f t="shared" si="2"/>
        <v>1</v>
      </c>
      <c r="I49" s="5">
        <f t="shared" si="3"/>
        <v>1</v>
      </c>
      <c r="J49" s="2" t="s">
        <v>169</v>
      </c>
      <c r="K49" s="2" t="s">
        <v>170</v>
      </c>
    </row>
    <row r="50" spans="1:11" ht="28.5" customHeight="1">
      <c r="A50">
        <v>2010</v>
      </c>
      <c r="B50">
        <v>9</v>
      </c>
      <c r="C50">
        <v>4</v>
      </c>
      <c r="D50" t="s">
        <v>82</v>
      </c>
      <c r="E50" t="str">
        <f t="shared" si="0"/>
        <v>2010-Q9-4</v>
      </c>
      <c r="F50">
        <f t="shared" si="1"/>
        <v>1</v>
      </c>
      <c r="G50" t="s">
        <v>35</v>
      </c>
      <c r="H50">
        <f t="shared" si="2"/>
        <v>1</v>
      </c>
      <c r="I50" s="5">
        <f t="shared" si="3"/>
        <v>1</v>
      </c>
      <c r="J50" s="2" t="s">
        <v>171</v>
      </c>
      <c r="K50" s="2" t="s">
        <v>172</v>
      </c>
    </row>
    <row r="51" spans="1:11" ht="28.5" customHeight="1">
      <c r="A51">
        <v>2010</v>
      </c>
      <c r="B51">
        <v>10</v>
      </c>
      <c r="C51">
        <v>0</v>
      </c>
      <c r="D51" t="s">
        <v>82</v>
      </c>
      <c r="E51" t="str">
        <f t="shared" si="0"/>
        <v>2010-Q10-0</v>
      </c>
      <c r="F51">
        <f t="shared" si="1"/>
        <v>1</v>
      </c>
      <c r="G51" t="s">
        <v>41</v>
      </c>
      <c r="H51">
        <f t="shared" si="2"/>
        <v>1</v>
      </c>
      <c r="I51" s="5">
        <f t="shared" si="3"/>
        <v>1</v>
      </c>
      <c r="J51" s="2" t="s">
        <v>173</v>
      </c>
      <c r="K51" s="2" t="s">
        <v>174</v>
      </c>
    </row>
    <row r="52" spans="1:11" ht="28.5" customHeight="1">
      <c r="A52">
        <v>2010</v>
      </c>
      <c r="B52">
        <v>10</v>
      </c>
      <c r="C52">
        <v>1</v>
      </c>
      <c r="D52" t="s">
        <v>82</v>
      </c>
      <c r="E52" t="str">
        <f t="shared" si="0"/>
        <v>2010-Q10-1</v>
      </c>
      <c r="F52">
        <f t="shared" si="1"/>
        <v>1</v>
      </c>
      <c r="G52" t="s">
        <v>41</v>
      </c>
      <c r="H52">
        <f t="shared" si="2"/>
        <v>1</v>
      </c>
      <c r="I52" s="5">
        <f t="shared" si="3"/>
        <v>1</v>
      </c>
      <c r="J52" s="2" t="s">
        <v>175</v>
      </c>
      <c r="K52" s="2" t="s">
        <v>176</v>
      </c>
    </row>
    <row r="53" spans="1:11" ht="28.5" customHeight="1">
      <c r="A53">
        <v>2010</v>
      </c>
      <c r="B53">
        <v>10</v>
      </c>
      <c r="C53">
        <v>2</v>
      </c>
      <c r="D53" t="s">
        <v>82</v>
      </c>
      <c r="E53" t="str">
        <f t="shared" si="0"/>
        <v>2010-Q10-2</v>
      </c>
      <c r="F53">
        <f t="shared" si="1"/>
        <v>1</v>
      </c>
      <c r="G53" t="s">
        <v>41</v>
      </c>
      <c r="H53">
        <f t="shared" si="2"/>
        <v>1</v>
      </c>
      <c r="I53" s="5">
        <f t="shared" si="3"/>
        <v>1</v>
      </c>
      <c r="J53" s="2" t="s">
        <v>177</v>
      </c>
      <c r="K53" s="2" t="s">
        <v>178</v>
      </c>
    </row>
    <row r="54" spans="1:11" ht="28.5" customHeight="1">
      <c r="A54">
        <v>2010</v>
      </c>
      <c r="B54">
        <v>10</v>
      </c>
      <c r="C54">
        <v>3</v>
      </c>
      <c r="D54" t="s">
        <v>82</v>
      </c>
      <c r="E54" t="str">
        <f t="shared" si="0"/>
        <v>2010-Q10-3</v>
      </c>
      <c r="F54">
        <f t="shared" si="1"/>
        <v>1</v>
      </c>
      <c r="G54" t="s">
        <v>41</v>
      </c>
      <c r="H54">
        <f t="shared" si="2"/>
        <v>1</v>
      </c>
      <c r="I54" s="5">
        <f t="shared" si="3"/>
        <v>1</v>
      </c>
      <c r="J54" s="2" t="s">
        <v>179</v>
      </c>
      <c r="K54" s="2" t="s">
        <v>180</v>
      </c>
    </row>
    <row r="55" spans="1:11" ht="28.5" customHeight="1">
      <c r="A55">
        <v>2010</v>
      </c>
      <c r="B55">
        <v>10</v>
      </c>
      <c r="C55">
        <v>4</v>
      </c>
      <c r="D55" t="s">
        <v>82</v>
      </c>
      <c r="E55" t="str">
        <f t="shared" si="0"/>
        <v>2010-Q10-4</v>
      </c>
      <c r="F55">
        <f t="shared" si="1"/>
        <v>1</v>
      </c>
      <c r="G55" t="s">
        <v>41</v>
      </c>
      <c r="H55">
        <f t="shared" si="2"/>
        <v>1</v>
      </c>
      <c r="I55" s="5">
        <f t="shared" si="3"/>
        <v>1</v>
      </c>
      <c r="J55" s="2" t="s">
        <v>181</v>
      </c>
      <c r="K55" s="2" t="s">
        <v>182</v>
      </c>
    </row>
    <row r="56" spans="1:11" ht="28.5" customHeight="1">
      <c r="A56">
        <v>2010</v>
      </c>
      <c r="B56">
        <v>11</v>
      </c>
      <c r="C56">
        <v>0</v>
      </c>
      <c r="D56" t="s">
        <v>82</v>
      </c>
      <c r="E56" t="str">
        <f t="shared" si="0"/>
        <v>2010-Q11-0</v>
      </c>
      <c r="F56">
        <f t="shared" si="1"/>
        <v>1</v>
      </c>
      <c r="G56" t="s">
        <v>41</v>
      </c>
      <c r="H56">
        <f t="shared" si="2"/>
        <v>1</v>
      </c>
      <c r="I56" s="5">
        <f t="shared" si="3"/>
        <v>1</v>
      </c>
      <c r="J56" s="2" t="s">
        <v>183</v>
      </c>
      <c r="K56" s="2" t="s">
        <v>184</v>
      </c>
    </row>
    <row r="57" spans="1:11" ht="28.5" customHeight="1">
      <c r="A57">
        <v>2010</v>
      </c>
      <c r="B57">
        <v>11</v>
      </c>
      <c r="C57">
        <v>1</v>
      </c>
      <c r="D57" t="s">
        <v>82</v>
      </c>
      <c r="E57" t="str">
        <f t="shared" si="0"/>
        <v>2010-Q11-1</v>
      </c>
      <c r="F57">
        <f t="shared" si="1"/>
        <v>1</v>
      </c>
      <c r="G57" t="s">
        <v>41</v>
      </c>
      <c r="H57">
        <f t="shared" si="2"/>
        <v>1</v>
      </c>
      <c r="I57" s="5">
        <f t="shared" si="3"/>
        <v>1</v>
      </c>
      <c r="J57" s="2" t="s">
        <v>185</v>
      </c>
      <c r="K57" s="2" t="s">
        <v>186</v>
      </c>
    </row>
    <row r="58" spans="1:11" ht="28.5" customHeight="1">
      <c r="A58">
        <v>2010</v>
      </c>
      <c r="B58">
        <v>11</v>
      </c>
      <c r="C58">
        <v>2</v>
      </c>
      <c r="D58" t="s">
        <v>82</v>
      </c>
      <c r="E58" t="str">
        <f t="shared" si="0"/>
        <v>2010-Q11-2</v>
      </c>
      <c r="F58">
        <f t="shared" si="1"/>
        <v>1</v>
      </c>
      <c r="G58" t="s">
        <v>41</v>
      </c>
      <c r="H58">
        <f t="shared" si="2"/>
        <v>1</v>
      </c>
      <c r="I58" s="5">
        <f t="shared" si="3"/>
        <v>1</v>
      </c>
      <c r="J58" s="2" t="s">
        <v>187</v>
      </c>
      <c r="K58" s="2" t="s">
        <v>188</v>
      </c>
    </row>
    <row r="59" spans="1:11" ht="28.5" customHeight="1">
      <c r="A59">
        <v>2010</v>
      </c>
      <c r="B59">
        <v>11</v>
      </c>
      <c r="C59">
        <v>3</v>
      </c>
      <c r="D59" t="s">
        <v>82</v>
      </c>
      <c r="E59" t="str">
        <f t="shared" si="0"/>
        <v>2010-Q11-3</v>
      </c>
      <c r="F59">
        <f t="shared" si="1"/>
        <v>1</v>
      </c>
      <c r="G59" t="s">
        <v>41</v>
      </c>
      <c r="H59">
        <f t="shared" si="2"/>
        <v>1</v>
      </c>
      <c r="I59" s="5">
        <f t="shared" si="3"/>
        <v>1</v>
      </c>
      <c r="J59" s="2" t="s">
        <v>189</v>
      </c>
      <c r="K59" s="2" t="s">
        <v>190</v>
      </c>
    </row>
    <row r="60" spans="1:11" ht="28.5" customHeight="1">
      <c r="A60">
        <v>2010</v>
      </c>
      <c r="B60">
        <v>11</v>
      </c>
      <c r="C60">
        <v>4</v>
      </c>
      <c r="D60" t="s">
        <v>82</v>
      </c>
      <c r="E60" t="str">
        <f t="shared" si="0"/>
        <v>2010-Q11-4</v>
      </c>
      <c r="F60">
        <f t="shared" si="1"/>
        <v>1</v>
      </c>
      <c r="G60" t="s">
        <v>41</v>
      </c>
      <c r="H60">
        <f t="shared" si="2"/>
        <v>1</v>
      </c>
      <c r="I60" s="5">
        <f t="shared" si="3"/>
        <v>1</v>
      </c>
      <c r="J60" s="2" t="s">
        <v>191</v>
      </c>
      <c r="K60" s="2" t="s">
        <v>192</v>
      </c>
    </row>
    <row r="61" spans="1:11" ht="28.5" customHeight="1">
      <c r="A61">
        <v>2010</v>
      </c>
      <c r="B61">
        <v>12</v>
      </c>
      <c r="D61" t="s">
        <v>193</v>
      </c>
      <c r="E61" t="str">
        <f t="shared" si="0"/>
        <v>2010-Q12-ABERTA</v>
      </c>
      <c r="F61">
        <f t="shared" si="1"/>
        <v>5</v>
      </c>
      <c r="G61" t="s">
        <v>26</v>
      </c>
      <c r="H61">
        <f t="shared" si="2"/>
        <v>1</v>
      </c>
      <c r="I61" s="5">
        <f t="shared" si="3"/>
        <v>5</v>
      </c>
      <c r="J61" s="2" t="s">
        <v>194</v>
      </c>
      <c r="K61" s="2" t="s">
        <v>195</v>
      </c>
    </row>
    <row r="62" spans="1:11" ht="28.5" customHeight="1">
      <c r="A62">
        <v>2010</v>
      </c>
      <c r="B62">
        <v>13</v>
      </c>
      <c r="D62" t="s">
        <v>193</v>
      </c>
      <c r="E62" t="str">
        <f t="shared" si="0"/>
        <v>2010-Q13-ABERTA</v>
      </c>
      <c r="F62">
        <f t="shared" si="1"/>
        <v>5</v>
      </c>
      <c r="G62" t="s">
        <v>29</v>
      </c>
      <c r="H62">
        <f t="shared" si="2"/>
        <v>2</v>
      </c>
      <c r="I62" s="5">
        <f t="shared" si="3"/>
        <v>2.5</v>
      </c>
      <c r="J62" s="2" t="s">
        <v>196</v>
      </c>
      <c r="K62" s="2" t="s">
        <v>197</v>
      </c>
    </row>
    <row r="63" spans="1:11" ht="28.5" customHeight="1">
      <c r="A63">
        <v>2010</v>
      </c>
      <c r="B63">
        <v>13</v>
      </c>
      <c r="D63" t="s">
        <v>193</v>
      </c>
      <c r="E63" t="str">
        <f t="shared" si="0"/>
        <v>2010-Q13-ABERTA</v>
      </c>
      <c r="F63">
        <f t="shared" si="1"/>
        <v>5</v>
      </c>
      <c r="G63" t="s">
        <v>32</v>
      </c>
      <c r="H63">
        <f t="shared" si="2"/>
        <v>2</v>
      </c>
      <c r="I63" s="5">
        <f t="shared" si="3"/>
        <v>2.5</v>
      </c>
      <c r="J63" s="2" t="s">
        <v>196</v>
      </c>
      <c r="K63" s="2" t="s">
        <v>197</v>
      </c>
    </row>
    <row r="64" spans="1:11" ht="28.5" customHeight="1">
      <c r="A64">
        <v>2010</v>
      </c>
      <c r="B64">
        <v>14</v>
      </c>
      <c r="D64" t="s">
        <v>193</v>
      </c>
      <c r="E64" t="str">
        <f t="shared" si="0"/>
        <v>2010-Q14-ABERTA</v>
      </c>
      <c r="F64">
        <f t="shared" si="1"/>
        <v>5</v>
      </c>
      <c r="G64" t="s">
        <v>14</v>
      </c>
      <c r="H64">
        <f t="shared" si="2"/>
        <v>3</v>
      </c>
      <c r="I64" s="5">
        <f t="shared" si="3"/>
        <v>1.6666666666666667</v>
      </c>
      <c r="J64" s="2" t="s">
        <v>198</v>
      </c>
      <c r="K64" s="2" t="s">
        <v>199</v>
      </c>
    </row>
    <row r="65" spans="1:11" ht="28.5" customHeight="1">
      <c r="A65">
        <v>2010</v>
      </c>
      <c r="B65">
        <v>14</v>
      </c>
      <c r="D65" t="s">
        <v>193</v>
      </c>
      <c r="E65" t="str">
        <f t="shared" si="0"/>
        <v>2010-Q14-ABERTA</v>
      </c>
      <c r="F65">
        <f t="shared" si="1"/>
        <v>5</v>
      </c>
      <c r="G65" t="s">
        <v>17</v>
      </c>
      <c r="H65">
        <f t="shared" si="2"/>
        <v>3</v>
      </c>
      <c r="I65" s="5">
        <f t="shared" si="3"/>
        <v>1.6666666666666667</v>
      </c>
      <c r="J65" s="2" t="s">
        <v>198</v>
      </c>
      <c r="K65" s="2" t="s">
        <v>199</v>
      </c>
    </row>
    <row r="66" spans="1:11" ht="28.5" customHeight="1">
      <c r="A66">
        <v>2010</v>
      </c>
      <c r="B66">
        <v>14</v>
      </c>
      <c r="D66" t="s">
        <v>193</v>
      </c>
      <c r="E66" t="str">
        <f t="shared" si="0"/>
        <v>2010-Q14-ABERTA</v>
      </c>
      <c r="F66">
        <f t="shared" si="1"/>
        <v>5</v>
      </c>
      <c r="G66" t="s">
        <v>50</v>
      </c>
      <c r="H66">
        <f t="shared" si="2"/>
        <v>3</v>
      </c>
      <c r="I66" s="5">
        <f t="shared" si="3"/>
        <v>1.6666666666666667</v>
      </c>
      <c r="J66" s="2" t="s">
        <v>198</v>
      </c>
      <c r="K66" s="2" t="s">
        <v>199</v>
      </c>
    </row>
    <row r="67" spans="1:11" ht="28.5" customHeight="1">
      <c r="A67">
        <v>2010</v>
      </c>
      <c r="B67">
        <v>15</v>
      </c>
      <c r="D67" t="s">
        <v>193</v>
      </c>
      <c r="E67" t="str">
        <f t="shared" si="0"/>
        <v>2010-Q15-ABERTA</v>
      </c>
      <c r="F67">
        <f t="shared" si="1"/>
        <v>5</v>
      </c>
      <c r="G67" t="s">
        <v>23</v>
      </c>
      <c r="H67">
        <f t="shared" si="2"/>
        <v>1</v>
      </c>
      <c r="I67" s="5">
        <f t="shared" si="3"/>
        <v>5</v>
      </c>
      <c r="J67" s="2" t="s">
        <v>200</v>
      </c>
      <c r="K67" s="2" t="s">
        <v>201</v>
      </c>
    </row>
    <row r="68" spans="1:11" ht="28.5" customHeight="1">
      <c r="A68">
        <v>2011</v>
      </c>
      <c r="B68">
        <v>1</v>
      </c>
      <c r="C68">
        <v>0</v>
      </c>
      <c r="D68" t="s">
        <v>82</v>
      </c>
      <c r="E68" t="str">
        <f t="shared" si="0"/>
        <v>2011-Q1-0</v>
      </c>
      <c r="F68">
        <f t="shared" si="1"/>
        <v>1</v>
      </c>
      <c r="G68" t="s">
        <v>8</v>
      </c>
      <c r="H68">
        <f t="shared" si="2"/>
        <v>1</v>
      </c>
      <c r="I68" s="5">
        <f t="shared" si="3"/>
        <v>1</v>
      </c>
      <c r="J68" s="2" t="s">
        <v>202</v>
      </c>
      <c r="K68" s="2" t="s">
        <v>203</v>
      </c>
    </row>
    <row r="69" spans="1:11" ht="28.5" customHeight="1">
      <c r="A69">
        <v>2011</v>
      </c>
      <c r="B69">
        <v>1</v>
      </c>
      <c r="C69">
        <v>1</v>
      </c>
      <c r="D69" t="s">
        <v>82</v>
      </c>
      <c r="E69" t="str">
        <f t="shared" ref="E69:E132" si="4">IF(A69="","",TEXT(A69,"0")&amp;"-Q"&amp;TEXT(B69,"0")&amp;"-"&amp;IF(C69="","ABERTA",C69))</f>
        <v>2011-Q1-1</v>
      </c>
      <c r="F69">
        <f t="shared" ref="F69:F132" si="5">IF(D69="V/F",1,IF(D69="Aberta/numérica",5,""))</f>
        <v>1</v>
      </c>
      <c r="G69" t="s">
        <v>8</v>
      </c>
      <c r="H69">
        <f t="shared" ref="H69:H132" si="6">IF(A69="","",IF(C69="",COUNTIFS($A$5:$A$1504,A69,$B$5:$B$1504,B69,$C$5:$C$1504,"",$D$5:$D$1504,D69),COUNTIFS($A$5:$A$1504,A69,$B$5:$B$1504,B69,$C$5:$C$1504,C69,$D$5:$D$1504,D69)))</f>
        <v>1</v>
      </c>
      <c r="I69" s="5">
        <f t="shared" ref="I69:I132" si="7">IF(OR(F69="",H69="",G69=""),"",F69/H69)</f>
        <v>1</v>
      </c>
      <c r="J69" s="2" t="s">
        <v>204</v>
      </c>
      <c r="K69" s="2" t="s">
        <v>205</v>
      </c>
    </row>
    <row r="70" spans="1:11">
      <c r="A70">
        <v>2011</v>
      </c>
      <c r="B70">
        <v>1</v>
      </c>
      <c r="C70">
        <v>2</v>
      </c>
      <c r="D70" t="s">
        <v>82</v>
      </c>
      <c r="E70" t="str">
        <f t="shared" si="4"/>
        <v>2011-Q1-2</v>
      </c>
      <c r="F70">
        <f t="shared" si="5"/>
        <v>1</v>
      </c>
      <c r="G70" t="s">
        <v>8</v>
      </c>
      <c r="H70">
        <f t="shared" si="6"/>
        <v>1</v>
      </c>
      <c r="I70" s="5">
        <f t="shared" si="7"/>
        <v>1</v>
      </c>
      <c r="J70" s="2" t="s">
        <v>206</v>
      </c>
      <c r="K70" s="2" t="s">
        <v>207</v>
      </c>
    </row>
    <row r="71" spans="1:11">
      <c r="A71">
        <v>2011</v>
      </c>
      <c r="B71">
        <v>1</v>
      </c>
      <c r="C71">
        <v>3</v>
      </c>
      <c r="D71" t="s">
        <v>82</v>
      </c>
      <c r="E71" t="str">
        <f t="shared" si="4"/>
        <v>2011-Q1-3</v>
      </c>
      <c r="F71">
        <f t="shared" si="5"/>
        <v>1</v>
      </c>
      <c r="G71" t="s">
        <v>8</v>
      </c>
      <c r="H71">
        <f t="shared" si="6"/>
        <v>1</v>
      </c>
      <c r="I71" s="5">
        <f t="shared" si="7"/>
        <v>1</v>
      </c>
      <c r="J71" s="2" t="s">
        <v>208</v>
      </c>
      <c r="K71" s="2" t="s">
        <v>209</v>
      </c>
    </row>
    <row r="72" spans="1:11">
      <c r="A72">
        <v>2011</v>
      </c>
      <c r="B72">
        <v>1</v>
      </c>
      <c r="C72">
        <v>4</v>
      </c>
      <c r="D72" t="s">
        <v>82</v>
      </c>
      <c r="E72" t="str">
        <f t="shared" si="4"/>
        <v>2011-Q1-4</v>
      </c>
      <c r="F72">
        <f t="shared" si="5"/>
        <v>1</v>
      </c>
      <c r="G72" t="s">
        <v>8</v>
      </c>
      <c r="H72">
        <f t="shared" si="6"/>
        <v>1</v>
      </c>
      <c r="I72" s="5">
        <f t="shared" si="7"/>
        <v>1</v>
      </c>
      <c r="J72" s="2" t="s">
        <v>210</v>
      </c>
      <c r="K72" s="2" t="s">
        <v>211</v>
      </c>
    </row>
    <row r="73" spans="1:11">
      <c r="A73">
        <v>2011</v>
      </c>
      <c r="B73">
        <v>2</v>
      </c>
      <c r="C73">
        <v>0</v>
      </c>
      <c r="D73" t="s">
        <v>82</v>
      </c>
      <c r="E73" t="str">
        <f t="shared" si="4"/>
        <v>2011-Q2-0</v>
      </c>
      <c r="F73">
        <f t="shared" si="5"/>
        <v>1</v>
      </c>
      <c r="G73" t="s">
        <v>14</v>
      </c>
      <c r="H73">
        <f t="shared" si="6"/>
        <v>1</v>
      </c>
      <c r="I73" s="5">
        <f t="shared" si="7"/>
        <v>1</v>
      </c>
      <c r="J73" s="2" t="s">
        <v>212</v>
      </c>
      <c r="K73" s="2" t="s">
        <v>213</v>
      </c>
    </row>
    <row r="74" spans="1:11">
      <c r="A74">
        <v>2011</v>
      </c>
      <c r="B74">
        <v>2</v>
      </c>
      <c r="C74">
        <v>1</v>
      </c>
      <c r="D74" t="s">
        <v>82</v>
      </c>
      <c r="E74" t="str">
        <f t="shared" si="4"/>
        <v>2011-Q2-1</v>
      </c>
      <c r="F74">
        <f t="shared" si="5"/>
        <v>1</v>
      </c>
      <c r="G74" t="s">
        <v>14</v>
      </c>
      <c r="H74">
        <f t="shared" si="6"/>
        <v>1</v>
      </c>
      <c r="I74" s="5">
        <f t="shared" si="7"/>
        <v>1</v>
      </c>
      <c r="J74" s="2" t="s">
        <v>214</v>
      </c>
      <c r="K74" s="2" t="s">
        <v>215</v>
      </c>
    </row>
    <row r="75" spans="1:11" ht="28.5" customHeight="1">
      <c r="A75">
        <v>2011</v>
      </c>
      <c r="B75">
        <v>2</v>
      </c>
      <c r="C75">
        <v>2</v>
      </c>
      <c r="D75" t="s">
        <v>82</v>
      </c>
      <c r="E75" t="str">
        <f t="shared" si="4"/>
        <v>2011-Q2-2</v>
      </c>
      <c r="F75">
        <f t="shared" si="5"/>
        <v>1</v>
      </c>
      <c r="G75" t="s">
        <v>14</v>
      </c>
      <c r="H75">
        <f t="shared" si="6"/>
        <v>1</v>
      </c>
      <c r="I75" s="5">
        <f t="shared" si="7"/>
        <v>1</v>
      </c>
      <c r="J75" s="2" t="s">
        <v>216</v>
      </c>
      <c r="K75" s="2" t="s">
        <v>217</v>
      </c>
    </row>
    <row r="76" spans="1:11">
      <c r="A76">
        <v>2011</v>
      </c>
      <c r="B76">
        <v>2</v>
      </c>
      <c r="C76">
        <v>3</v>
      </c>
      <c r="D76" t="s">
        <v>82</v>
      </c>
      <c r="E76" t="str">
        <f t="shared" si="4"/>
        <v>2011-Q2-3</v>
      </c>
      <c r="F76">
        <f t="shared" si="5"/>
        <v>1</v>
      </c>
      <c r="G76" t="s">
        <v>14</v>
      </c>
      <c r="H76">
        <f t="shared" si="6"/>
        <v>1</v>
      </c>
      <c r="I76" s="5">
        <f t="shared" si="7"/>
        <v>1</v>
      </c>
      <c r="J76" s="2" t="s">
        <v>218</v>
      </c>
      <c r="K76" s="2" t="s">
        <v>219</v>
      </c>
    </row>
    <row r="77" spans="1:11">
      <c r="A77">
        <v>2011</v>
      </c>
      <c r="B77">
        <v>2</v>
      </c>
      <c r="C77">
        <v>4</v>
      </c>
      <c r="D77" t="s">
        <v>82</v>
      </c>
      <c r="E77" t="str">
        <f t="shared" si="4"/>
        <v>2011-Q2-4</v>
      </c>
      <c r="F77">
        <f t="shared" si="5"/>
        <v>1</v>
      </c>
      <c r="G77" t="s">
        <v>14</v>
      </c>
      <c r="H77">
        <f t="shared" si="6"/>
        <v>1</v>
      </c>
      <c r="I77" s="5">
        <f t="shared" si="7"/>
        <v>1</v>
      </c>
      <c r="J77" s="2" t="s">
        <v>220</v>
      </c>
      <c r="K77" s="2" t="s">
        <v>221</v>
      </c>
    </row>
    <row r="78" spans="1:11" ht="28.5" customHeight="1">
      <c r="A78">
        <v>2011</v>
      </c>
      <c r="B78">
        <v>3</v>
      </c>
      <c r="C78">
        <v>0</v>
      </c>
      <c r="D78" t="s">
        <v>82</v>
      </c>
      <c r="E78" t="str">
        <f t="shared" si="4"/>
        <v>2011-Q3-0</v>
      </c>
      <c r="F78">
        <f t="shared" si="5"/>
        <v>1</v>
      </c>
      <c r="G78" t="s">
        <v>11</v>
      </c>
      <c r="H78">
        <f t="shared" si="6"/>
        <v>1</v>
      </c>
      <c r="I78" s="5">
        <f t="shared" si="7"/>
        <v>1</v>
      </c>
      <c r="J78" s="2" t="s">
        <v>222</v>
      </c>
      <c r="K78" s="2" t="s">
        <v>223</v>
      </c>
    </row>
    <row r="79" spans="1:11" ht="28.5" customHeight="1">
      <c r="A79">
        <v>2011</v>
      </c>
      <c r="B79">
        <v>3</v>
      </c>
      <c r="C79">
        <v>1</v>
      </c>
      <c r="D79" t="s">
        <v>82</v>
      </c>
      <c r="E79" t="str">
        <f t="shared" si="4"/>
        <v>2011-Q3-1</v>
      </c>
      <c r="F79">
        <f t="shared" si="5"/>
        <v>1</v>
      </c>
      <c r="G79" t="s">
        <v>11</v>
      </c>
      <c r="H79">
        <f t="shared" si="6"/>
        <v>1</v>
      </c>
      <c r="I79" s="5">
        <f t="shared" si="7"/>
        <v>1</v>
      </c>
      <c r="J79" s="2" t="s">
        <v>224</v>
      </c>
      <c r="K79" s="2" t="s">
        <v>225</v>
      </c>
    </row>
    <row r="80" spans="1:11" ht="28.5" customHeight="1">
      <c r="A80">
        <v>2011</v>
      </c>
      <c r="B80">
        <v>3</v>
      </c>
      <c r="C80">
        <v>2</v>
      </c>
      <c r="D80" t="s">
        <v>82</v>
      </c>
      <c r="E80" t="str">
        <f t="shared" si="4"/>
        <v>2011-Q3-2</v>
      </c>
      <c r="F80">
        <f t="shared" si="5"/>
        <v>1</v>
      </c>
      <c r="G80" t="s">
        <v>11</v>
      </c>
      <c r="H80">
        <f t="shared" si="6"/>
        <v>1</v>
      </c>
      <c r="I80" s="5">
        <f t="shared" si="7"/>
        <v>1</v>
      </c>
      <c r="J80" s="2" t="s">
        <v>226</v>
      </c>
      <c r="K80" s="2" t="s">
        <v>227</v>
      </c>
    </row>
    <row r="81" spans="1:11">
      <c r="A81">
        <v>2011</v>
      </c>
      <c r="B81">
        <v>3</v>
      </c>
      <c r="C81">
        <v>3</v>
      </c>
      <c r="D81" t="s">
        <v>82</v>
      </c>
      <c r="E81" t="str">
        <f t="shared" si="4"/>
        <v>2011-Q3-3</v>
      </c>
      <c r="F81">
        <f t="shared" si="5"/>
        <v>1</v>
      </c>
      <c r="G81" t="s">
        <v>11</v>
      </c>
      <c r="H81">
        <f t="shared" si="6"/>
        <v>1</v>
      </c>
      <c r="I81" s="5">
        <f t="shared" si="7"/>
        <v>1</v>
      </c>
      <c r="J81" s="2" t="s">
        <v>228</v>
      </c>
      <c r="K81" s="2" t="s">
        <v>229</v>
      </c>
    </row>
    <row r="82" spans="1:11" ht="28.5" customHeight="1">
      <c r="A82">
        <v>2011</v>
      </c>
      <c r="B82">
        <v>3</v>
      </c>
      <c r="C82">
        <v>4</v>
      </c>
      <c r="D82" t="s">
        <v>82</v>
      </c>
      <c r="E82" t="str">
        <f t="shared" si="4"/>
        <v>2011-Q3-4</v>
      </c>
      <c r="F82">
        <f t="shared" si="5"/>
        <v>1</v>
      </c>
      <c r="G82" t="s">
        <v>11</v>
      </c>
      <c r="H82">
        <f t="shared" si="6"/>
        <v>1</v>
      </c>
      <c r="I82" s="5">
        <f t="shared" si="7"/>
        <v>1</v>
      </c>
      <c r="J82" s="2" t="s">
        <v>230</v>
      </c>
      <c r="K82" s="2" t="s">
        <v>231</v>
      </c>
    </row>
    <row r="83" spans="1:11">
      <c r="A83">
        <v>2011</v>
      </c>
      <c r="B83">
        <v>4</v>
      </c>
      <c r="C83">
        <v>0</v>
      </c>
      <c r="D83" t="s">
        <v>82</v>
      </c>
      <c r="E83" t="str">
        <f t="shared" si="4"/>
        <v>2011-Q4-0</v>
      </c>
      <c r="F83">
        <f t="shared" si="5"/>
        <v>1</v>
      </c>
      <c r="G83" t="s">
        <v>20</v>
      </c>
      <c r="H83">
        <f t="shared" si="6"/>
        <v>1</v>
      </c>
      <c r="I83" s="5">
        <f t="shared" si="7"/>
        <v>1</v>
      </c>
      <c r="J83" s="2" t="s">
        <v>232</v>
      </c>
      <c r="K83" s="2" t="s">
        <v>233</v>
      </c>
    </row>
    <row r="84" spans="1:11">
      <c r="A84">
        <v>2011</v>
      </c>
      <c r="B84">
        <v>4</v>
      </c>
      <c r="C84">
        <v>1</v>
      </c>
      <c r="D84" t="s">
        <v>82</v>
      </c>
      <c r="E84" t="str">
        <f t="shared" si="4"/>
        <v>2011-Q4-1</v>
      </c>
      <c r="F84">
        <f t="shared" si="5"/>
        <v>1</v>
      </c>
      <c r="G84" t="s">
        <v>20</v>
      </c>
      <c r="H84">
        <f t="shared" si="6"/>
        <v>1</v>
      </c>
      <c r="I84" s="5">
        <f t="shared" si="7"/>
        <v>1</v>
      </c>
      <c r="J84" s="2" t="s">
        <v>234</v>
      </c>
      <c r="K84" s="2" t="s">
        <v>235</v>
      </c>
    </row>
    <row r="85" spans="1:11" ht="28.5" customHeight="1">
      <c r="A85">
        <v>2011</v>
      </c>
      <c r="B85">
        <v>4</v>
      </c>
      <c r="C85">
        <v>2</v>
      </c>
      <c r="D85" t="s">
        <v>82</v>
      </c>
      <c r="E85" t="str">
        <f t="shared" si="4"/>
        <v>2011-Q4-2</v>
      </c>
      <c r="F85">
        <f t="shared" si="5"/>
        <v>1</v>
      </c>
      <c r="G85" t="s">
        <v>20</v>
      </c>
      <c r="H85">
        <f t="shared" si="6"/>
        <v>1</v>
      </c>
      <c r="I85" s="5">
        <f t="shared" si="7"/>
        <v>1</v>
      </c>
      <c r="J85" s="2" t="s">
        <v>236</v>
      </c>
      <c r="K85" s="2" t="s">
        <v>237</v>
      </c>
    </row>
    <row r="86" spans="1:11" ht="28.5" customHeight="1">
      <c r="A86">
        <v>2011</v>
      </c>
      <c r="B86">
        <v>4</v>
      </c>
      <c r="C86">
        <v>3</v>
      </c>
      <c r="D86" t="s">
        <v>82</v>
      </c>
      <c r="E86" t="str">
        <f t="shared" si="4"/>
        <v>2011-Q4-3</v>
      </c>
      <c r="F86">
        <f t="shared" si="5"/>
        <v>1</v>
      </c>
      <c r="G86" t="s">
        <v>20</v>
      </c>
      <c r="H86">
        <f t="shared" si="6"/>
        <v>1</v>
      </c>
      <c r="I86" s="5">
        <f t="shared" si="7"/>
        <v>1</v>
      </c>
      <c r="J86" s="2" t="s">
        <v>238</v>
      </c>
      <c r="K86" s="2" t="s">
        <v>239</v>
      </c>
    </row>
    <row r="87" spans="1:11">
      <c r="A87">
        <v>2011</v>
      </c>
      <c r="B87">
        <v>4</v>
      </c>
      <c r="C87">
        <v>4</v>
      </c>
      <c r="D87" t="s">
        <v>82</v>
      </c>
      <c r="E87" t="str">
        <f t="shared" si="4"/>
        <v>2011-Q4-4</v>
      </c>
      <c r="F87">
        <f t="shared" si="5"/>
        <v>1</v>
      </c>
      <c r="G87" t="s">
        <v>20</v>
      </c>
      <c r="H87">
        <f t="shared" si="6"/>
        <v>1</v>
      </c>
      <c r="I87" s="5">
        <f t="shared" si="7"/>
        <v>1</v>
      </c>
      <c r="J87" s="2" t="s">
        <v>240</v>
      </c>
      <c r="K87" s="2" t="s">
        <v>241</v>
      </c>
    </row>
    <row r="88" spans="1:11" ht="28.5" customHeight="1">
      <c r="A88">
        <v>2011</v>
      </c>
      <c r="B88">
        <v>5</v>
      </c>
      <c r="C88">
        <v>0</v>
      </c>
      <c r="D88" t="s">
        <v>82</v>
      </c>
      <c r="E88" t="str">
        <f t="shared" si="4"/>
        <v>2011-Q5-0</v>
      </c>
      <c r="F88">
        <f t="shared" si="5"/>
        <v>1</v>
      </c>
      <c r="G88" t="s">
        <v>23</v>
      </c>
      <c r="H88">
        <f t="shared" si="6"/>
        <v>1</v>
      </c>
      <c r="I88" s="5">
        <f t="shared" si="7"/>
        <v>1</v>
      </c>
      <c r="J88" s="2" t="s">
        <v>242</v>
      </c>
      <c r="K88" s="2" t="s">
        <v>243</v>
      </c>
    </row>
    <row r="89" spans="1:11" ht="28.5" customHeight="1">
      <c r="A89">
        <v>2011</v>
      </c>
      <c r="B89">
        <v>5</v>
      </c>
      <c r="C89">
        <v>1</v>
      </c>
      <c r="D89" t="s">
        <v>82</v>
      </c>
      <c r="E89" t="str">
        <f t="shared" si="4"/>
        <v>2011-Q5-1</v>
      </c>
      <c r="F89">
        <f t="shared" si="5"/>
        <v>1</v>
      </c>
      <c r="G89" t="s">
        <v>23</v>
      </c>
      <c r="H89">
        <f t="shared" si="6"/>
        <v>1</v>
      </c>
      <c r="I89" s="5">
        <f t="shared" si="7"/>
        <v>1</v>
      </c>
      <c r="J89" s="2" t="s">
        <v>244</v>
      </c>
      <c r="K89" s="2" t="s">
        <v>245</v>
      </c>
    </row>
    <row r="90" spans="1:11" ht="28.5" customHeight="1">
      <c r="A90">
        <v>2011</v>
      </c>
      <c r="B90">
        <v>5</v>
      </c>
      <c r="C90">
        <v>2</v>
      </c>
      <c r="D90" t="s">
        <v>82</v>
      </c>
      <c r="E90" t="str">
        <f t="shared" si="4"/>
        <v>2011-Q5-2</v>
      </c>
      <c r="F90">
        <f t="shared" si="5"/>
        <v>1</v>
      </c>
      <c r="G90" t="s">
        <v>23</v>
      </c>
      <c r="H90">
        <f t="shared" si="6"/>
        <v>1</v>
      </c>
      <c r="I90" s="5">
        <f t="shared" si="7"/>
        <v>1</v>
      </c>
      <c r="J90" s="2" t="s">
        <v>246</v>
      </c>
      <c r="K90" s="2" t="s">
        <v>247</v>
      </c>
    </row>
    <row r="91" spans="1:11" ht="28.5" customHeight="1">
      <c r="A91">
        <v>2011</v>
      </c>
      <c r="B91">
        <v>5</v>
      </c>
      <c r="C91">
        <v>3</v>
      </c>
      <c r="D91" t="s">
        <v>82</v>
      </c>
      <c r="E91" t="str">
        <f t="shared" si="4"/>
        <v>2011-Q5-3</v>
      </c>
      <c r="F91">
        <f t="shared" si="5"/>
        <v>1</v>
      </c>
      <c r="G91" t="s">
        <v>23</v>
      </c>
      <c r="H91">
        <f t="shared" si="6"/>
        <v>1</v>
      </c>
      <c r="I91" s="5">
        <f t="shared" si="7"/>
        <v>1</v>
      </c>
      <c r="J91" s="2" t="s">
        <v>248</v>
      </c>
      <c r="K91" s="2" t="s">
        <v>249</v>
      </c>
    </row>
    <row r="92" spans="1:11" ht="28.5" customHeight="1">
      <c r="A92">
        <v>2011</v>
      </c>
      <c r="B92">
        <v>5</v>
      </c>
      <c r="C92">
        <v>4</v>
      </c>
      <c r="D92" t="s">
        <v>82</v>
      </c>
      <c r="E92" t="str">
        <f t="shared" si="4"/>
        <v>2011-Q5-4</v>
      </c>
      <c r="F92">
        <f t="shared" si="5"/>
        <v>1</v>
      </c>
      <c r="G92" t="s">
        <v>23</v>
      </c>
      <c r="H92">
        <f t="shared" si="6"/>
        <v>1</v>
      </c>
      <c r="I92" s="5">
        <f t="shared" si="7"/>
        <v>1</v>
      </c>
      <c r="J92" s="2" t="s">
        <v>250</v>
      </c>
      <c r="K92" s="2" t="s">
        <v>251</v>
      </c>
    </row>
    <row r="93" spans="1:11" ht="28.5" customHeight="1">
      <c r="A93">
        <v>2011</v>
      </c>
      <c r="B93">
        <v>6</v>
      </c>
      <c r="C93">
        <v>0</v>
      </c>
      <c r="D93" t="s">
        <v>82</v>
      </c>
      <c r="E93" t="str">
        <f t="shared" si="4"/>
        <v>2011-Q6-0</v>
      </c>
      <c r="F93">
        <f t="shared" si="5"/>
        <v>1</v>
      </c>
      <c r="G93" t="s">
        <v>38</v>
      </c>
      <c r="H93">
        <f t="shared" si="6"/>
        <v>1</v>
      </c>
      <c r="I93" s="5">
        <f t="shared" si="7"/>
        <v>1</v>
      </c>
      <c r="J93" s="2" t="s">
        <v>252</v>
      </c>
      <c r="K93" s="2" t="s">
        <v>253</v>
      </c>
    </row>
    <row r="94" spans="1:11" ht="28.5" customHeight="1">
      <c r="A94">
        <v>2011</v>
      </c>
      <c r="B94">
        <v>6</v>
      </c>
      <c r="C94">
        <v>1</v>
      </c>
      <c r="D94" t="s">
        <v>82</v>
      </c>
      <c r="E94" t="str">
        <f t="shared" si="4"/>
        <v>2011-Q6-1</v>
      </c>
      <c r="F94">
        <f t="shared" si="5"/>
        <v>1</v>
      </c>
      <c r="G94" t="s">
        <v>38</v>
      </c>
      <c r="H94">
        <f t="shared" si="6"/>
        <v>1</v>
      </c>
      <c r="I94" s="5">
        <f t="shared" si="7"/>
        <v>1</v>
      </c>
      <c r="J94" s="2" t="s">
        <v>254</v>
      </c>
      <c r="K94" s="2" t="s">
        <v>255</v>
      </c>
    </row>
    <row r="95" spans="1:11">
      <c r="A95">
        <v>2011</v>
      </c>
      <c r="B95">
        <v>6</v>
      </c>
      <c r="C95">
        <v>2</v>
      </c>
      <c r="D95" t="s">
        <v>82</v>
      </c>
      <c r="E95" t="str">
        <f t="shared" si="4"/>
        <v>2011-Q6-2</v>
      </c>
      <c r="F95">
        <f t="shared" si="5"/>
        <v>1</v>
      </c>
      <c r="G95" t="s">
        <v>38</v>
      </c>
      <c r="H95">
        <f t="shared" si="6"/>
        <v>1</v>
      </c>
      <c r="I95" s="5">
        <f t="shared" si="7"/>
        <v>1</v>
      </c>
      <c r="J95" s="2" t="s">
        <v>256</v>
      </c>
      <c r="K95" s="2" t="s">
        <v>257</v>
      </c>
    </row>
    <row r="96" spans="1:11">
      <c r="A96">
        <v>2011</v>
      </c>
      <c r="B96">
        <v>6</v>
      </c>
      <c r="C96">
        <v>3</v>
      </c>
      <c r="D96" t="s">
        <v>82</v>
      </c>
      <c r="E96" t="str">
        <f t="shared" si="4"/>
        <v>2011-Q6-3</v>
      </c>
      <c r="F96">
        <f t="shared" si="5"/>
        <v>1</v>
      </c>
      <c r="G96" t="s">
        <v>38</v>
      </c>
      <c r="H96">
        <f t="shared" si="6"/>
        <v>1</v>
      </c>
      <c r="I96" s="5">
        <f t="shared" si="7"/>
        <v>1</v>
      </c>
      <c r="J96" s="2" t="s">
        <v>258</v>
      </c>
      <c r="K96" s="2" t="s">
        <v>259</v>
      </c>
    </row>
    <row r="97" spans="1:11">
      <c r="A97">
        <v>2011</v>
      </c>
      <c r="B97">
        <v>6</v>
      </c>
      <c r="C97">
        <v>4</v>
      </c>
      <c r="D97" t="s">
        <v>82</v>
      </c>
      <c r="E97" t="str">
        <f t="shared" si="4"/>
        <v>2011-Q6-4</v>
      </c>
      <c r="F97">
        <f t="shared" si="5"/>
        <v>1</v>
      </c>
      <c r="G97" t="s">
        <v>38</v>
      </c>
      <c r="H97">
        <f t="shared" si="6"/>
        <v>1</v>
      </c>
      <c r="I97" s="5">
        <f t="shared" si="7"/>
        <v>1</v>
      </c>
      <c r="J97" s="2" t="s">
        <v>260</v>
      </c>
      <c r="K97" s="2" t="s">
        <v>261</v>
      </c>
    </row>
    <row r="98" spans="1:11">
      <c r="A98">
        <v>2011</v>
      </c>
      <c r="B98">
        <v>7</v>
      </c>
      <c r="C98">
        <v>0</v>
      </c>
      <c r="D98" t="s">
        <v>82</v>
      </c>
      <c r="E98" t="str">
        <f t="shared" si="4"/>
        <v>2011-Q7-0</v>
      </c>
      <c r="F98">
        <f t="shared" si="5"/>
        <v>1</v>
      </c>
      <c r="G98" t="s">
        <v>26</v>
      </c>
      <c r="H98">
        <f t="shared" si="6"/>
        <v>1</v>
      </c>
      <c r="I98" s="5">
        <f t="shared" si="7"/>
        <v>1</v>
      </c>
      <c r="J98" s="2" t="s">
        <v>262</v>
      </c>
      <c r="K98" s="2" t="s">
        <v>263</v>
      </c>
    </row>
    <row r="99" spans="1:11" ht="28.5" customHeight="1">
      <c r="A99">
        <v>2011</v>
      </c>
      <c r="B99">
        <v>7</v>
      </c>
      <c r="C99">
        <v>1</v>
      </c>
      <c r="D99" t="s">
        <v>82</v>
      </c>
      <c r="E99" t="str">
        <f t="shared" si="4"/>
        <v>2011-Q7-1</v>
      </c>
      <c r="F99">
        <f t="shared" si="5"/>
        <v>1</v>
      </c>
      <c r="G99" t="s">
        <v>26</v>
      </c>
      <c r="H99">
        <f t="shared" si="6"/>
        <v>1</v>
      </c>
      <c r="I99" s="5">
        <f t="shared" si="7"/>
        <v>1</v>
      </c>
      <c r="J99" s="2" t="s">
        <v>264</v>
      </c>
      <c r="K99" s="2" t="s">
        <v>265</v>
      </c>
    </row>
    <row r="100" spans="1:11">
      <c r="A100">
        <v>2011</v>
      </c>
      <c r="B100">
        <v>7</v>
      </c>
      <c r="C100">
        <v>2</v>
      </c>
      <c r="D100" t="s">
        <v>82</v>
      </c>
      <c r="E100" t="str">
        <f t="shared" si="4"/>
        <v>2011-Q7-2</v>
      </c>
      <c r="F100">
        <f t="shared" si="5"/>
        <v>1</v>
      </c>
      <c r="G100" t="s">
        <v>26</v>
      </c>
      <c r="H100">
        <f t="shared" si="6"/>
        <v>1</v>
      </c>
      <c r="I100" s="5">
        <f t="shared" si="7"/>
        <v>1</v>
      </c>
      <c r="J100" s="2" t="s">
        <v>266</v>
      </c>
      <c r="K100" s="2" t="s">
        <v>267</v>
      </c>
    </row>
    <row r="101" spans="1:11" ht="28.5" customHeight="1">
      <c r="A101">
        <v>2011</v>
      </c>
      <c r="B101">
        <v>7</v>
      </c>
      <c r="C101">
        <v>3</v>
      </c>
      <c r="D101" t="s">
        <v>82</v>
      </c>
      <c r="E101" t="str">
        <f t="shared" si="4"/>
        <v>2011-Q7-3</v>
      </c>
      <c r="F101">
        <f t="shared" si="5"/>
        <v>1</v>
      </c>
      <c r="G101" t="s">
        <v>26</v>
      </c>
      <c r="H101">
        <f t="shared" si="6"/>
        <v>1</v>
      </c>
      <c r="I101" s="5">
        <f t="shared" si="7"/>
        <v>1</v>
      </c>
      <c r="J101" s="2" t="s">
        <v>268</v>
      </c>
      <c r="K101" s="2" t="s">
        <v>269</v>
      </c>
    </row>
    <row r="102" spans="1:11" ht="28.5" customHeight="1">
      <c r="A102">
        <v>2011</v>
      </c>
      <c r="B102">
        <v>7</v>
      </c>
      <c r="C102">
        <v>4</v>
      </c>
      <c r="D102" t="s">
        <v>82</v>
      </c>
      <c r="E102" t="str">
        <f t="shared" si="4"/>
        <v>2011-Q7-4</v>
      </c>
      <c r="F102">
        <f t="shared" si="5"/>
        <v>1</v>
      </c>
      <c r="G102" t="s">
        <v>26</v>
      </c>
      <c r="H102">
        <f t="shared" si="6"/>
        <v>1</v>
      </c>
      <c r="I102" s="5">
        <f t="shared" si="7"/>
        <v>1</v>
      </c>
      <c r="J102" s="2" t="s">
        <v>270</v>
      </c>
      <c r="K102" s="2" t="s">
        <v>271</v>
      </c>
    </row>
    <row r="103" spans="1:11" ht="28.5" customHeight="1">
      <c r="A103">
        <v>2011</v>
      </c>
      <c r="B103">
        <v>8</v>
      </c>
      <c r="C103">
        <v>0</v>
      </c>
      <c r="D103" t="s">
        <v>82</v>
      </c>
      <c r="E103" t="str">
        <f t="shared" si="4"/>
        <v>2011-Q8-0</v>
      </c>
      <c r="F103">
        <f t="shared" si="5"/>
        <v>1</v>
      </c>
      <c r="G103" t="s">
        <v>44</v>
      </c>
      <c r="H103">
        <f t="shared" si="6"/>
        <v>1</v>
      </c>
      <c r="I103" s="5">
        <f t="shared" si="7"/>
        <v>1</v>
      </c>
      <c r="J103" s="2" t="s">
        <v>272</v>
      </c>
      <c r="K103" s="2" t="s">
        <v>273</v>
      </c>
    </row>
    <row r="104" spans="1:11">
      <c r="A104">
        <v>2011</v>
      </c>
      <c r="B104">
        <v>8</v>
      </c>
      <c r="C104">
        <v>1</v>
      </c>
      <c r="D104" t="s">
        <v>82</v>
      </c>
      <c r="E104" t="str">
        <f t="shared" si="4"/>
        <v>2011-Q8-1</v>
      </c>
      <c r="F104">
        <f t="shared" si="5"/>
        <v>1</v>
      </c>
      <c r="G104" t="s">
        <v>44</v>
      </c>
      <c r="H104">
        <f t="shared" si="6"/>
        <v>1</v>
      </c>
      <c r="I104" s="5">
        <f t="shared" si="7"/>
        <v>1</v>
      </c>
      <c r="J104" s="2" t="s">
        <v>274</v>
      </c>
      <c r="K104" s="2" t="s">
        <v>275</v>
      </c>
    </row>
    <row r="105" spans="1:11" ht="28.5" customHeight="1">
      <c r="A105">
        <v>2011</v>
      </c>
      <c r="B105">
        <v>8</v>
      </c>
      <c r="C105">
        <v>2</v>
      </c>
      <c r="D105" t="s">
        <v>82</v>
      </c>
      <c r="E105" t="str">
        <f t="shared" si="4"/>
        <v>2011-Q8-2</v>
      </c>
      <c r="F105">
        <f t="shared" si="5"/>
        <v>1</v>
      </c>
      <c r="G105" t="s">
        <v>44</v>
      </c>
      <c r="H105">
        <f t="shared" si="6"/>
        <v>1</v>
      </c>
      <c r="I105" s="5">
        <f t="shared" si="7"/>
        <v>1</v>
      </c>
      <c r="J105" s="2" t="s">
        <v>276</v>
      </c>
      <c r="K105" s="2" t="s">
        <v>277</v>
      </c>
    </row>
    <row r="106" spans="1:11">
      <c r="A106">
        <v>2011</v>
      </c>
      <c r="B106">
        <v>8</v>
      </c>
      <c r="C106">
        <v>3</v>
      </c>
      <c r="D106" t="s">
        <v>82</v>
      </c>
      <c r="E106" t="str">
        <f t="shared" si="4"/>
        <v>2011-Q8-3</v>
      </c>
      <c r="F106">
        <f t="shared" si="5"/>
        <v>1</v>
      </c>
      <c r="G106" t="s">
        <v>47</v>
      </c>
      <c r="H106">
        <f t="shared" si="6"/>
        <v>1</v>
      </c>
      <c r="I106" s="5">
        <f t="shared" si="7"/>
        <v>1</v>
      </c>
      <c r="J106" s="2" t="s">
        <v>278</v>
      </c>
      <c r="K106" s="2" t="s">
        <v>279</v>
      </c>
    </row>
    <row r="107" spans="1:11" ht="28.5" customHeight="1">
      <c r="A107">
        <v>2011</v>
      </c>
      <c r="B107">
        <v>8</v>
      </c>
      <c r="C107">
        <v>4</v>
      </c>
      <c r="D107" t="s">
        <v>82</v>
      </c>
      <c r="E107" t="str">
        <f t="shared" si="4"/>
        <v>2011-Q8-4</v>
      </c>
      <c r="F107">
        <f t="shared" si="5"/>
        <v>1</v>
      </c>
      <c r="G107" t="s">
        <v>47</v>
      </c>
      <c r="H107">
        <f t="shared" si="6"/>
        <v>1</v>
      </c>
      <c r="I107" s="5">
        <f t="shared" si="7"/>
        <v>1</v>
      </c>
      <c r="J107" s="2" t="s">
        <v>280</v>
      </c>
      <c r="K107" s="2" t="s">
        <v>281</v>
      </c>
    </row>
    <row r="108" spans="1:11" ht="28.5" customHeight="1">
      <c r="A108">
        <v>2011</v>
      </c>
      <c r="B108">
        <v>9</v>
      </c>
      <c r="C108">
        <v>0</v>
      </c>
      <c r="D108" t="s">
        <v>82</v>
      </c>
      <c r="E108" t="str">
        <f t="shared" si="4"/>
        <v>2011-Q9-0</v>
      </c>
      <c r="F108">
        <f t="shared" si="5"/>
        <v>1</v>
      </c>
      <c r="G108" t="s">
        <v>44</v>
      </c>
      <c r="H108">
        <f t="shared" si="6"/>
        <v>1</v>
      </c>
      <c r="I108" s="5">
        <f t="shared" si="7"/>
        <v>1</v>
      </c>
      <c r="J108" s="2" t="s">
        <v>282</v>
      </c>
      <c r="K108" s="2" t="s">
        <v>283</v>
      </c>
    </row>
    <row r="109" spans="1:11" ht="28.5" customHeight="1">
      <c r="A109">
        <v>2011</v>
      </c>
      <c r="B109">
        <v>9</v>
      </c>
      <c r="C109">
        <v>1</v>
      </c>
      <c r="D109" t="s">
        <v>82</v>
      </c>
      <c r="E109" t="str">
        <f t="shared" si="4"/>
        <v>2011-Q9-1</v>
      </c>
      <c r="F109">
        <f t="shared" si="5"/>
        <v>1</v>
      </c>
      <c r="G109" t="s">
        <v>44</v>
      </c>
      <c r="H109">
        <f t="shared" si="6"/>
        <v>1</v>
      </c>
      <c r="I109" s="5">
        <f t="shared" si="7"/>
        <v>1</v>
      </c>
      <c r="J109" s="2" t="s">
        <v>284</v>
      </c>
      <c r="K109" s="2" t="s">
        <v>285</v>
      </c>
    </row>
    <row r="110" spans="1:11" ht="28.5" customHeight="1">
      <c r="A110">
        <v>2011</v>
      </c>
      <c r="B110">
        <v>9</v>
      </c>
      <c r="C110">
        <v>2</v>
      </c>
      <c r="D110" t="s">
        <v>82</v>
      </c>
      <c r="E110" t="str">
        <f t="shared" si="4"/>
        <v>2011-Q9-2</v>
      </c>
      <c r="F110">
        <f t="shared" si="5"/>
        <v>1</v>
      </c>
      <c r="G110" t="s">
        <v>44</v>
      </c>
      <c r="H110">
        <f t="shared" si="6"/>
        <v>1</v>
      </c>
      <c r="I110" s="5">
        <f t="shared" si="7"/>
        <v>1</v>
      </c>
      <c r="J110" s="2" t="s">
        <v>286</v>
      </c>
      <c r="K110" s="2" t="s">
        <v>287</v>
      </c>
    </row>
    <row r="111" spans="1:11">
      <c r="A111">
        <v>2011</v>
      </c>
      <c r="B111">
        <v>9</v>
      </c>
      <c r="C111">
        <v>3</v>
      </c>
      <c r="D111" t="s">
        <v>82</v>
      </c>
      <c r="E111" t="str">
        <f t="shared" si="4"/>
        <v>2011-Q9-3</v>
      </c>
      <c r="F111">
        <f t="shared" si="5"/>
        <v>1</v>
      </c>
      <c r="G111" t="s">
        <v>44</v>
      </c>
      <c r="H111">
        <f t="shared" si="6"/>
        <v>1</v>
      </c>
      <c r="I111" s="5">
        <f t="shared" si="7"/>
        <v>1</v>
      </c>
      <c r="J111" s="2" t="s">
        <v>288</v>
      </c>
      <c r="K111" s="2" t="s">
        <v>289</v>
      </c>
    </row>
    <row r="112" spans="1:11">
      <c r="A112">
        <v>2011</v>
      </c>
      <c r="B112">
        <v>9</v>
      </c>
      <c r="C112">
        <v>4</v>
      </c>
      <c r="D112" t="s">
        <v>82</v>
      </c>
      <c r="E112" t="str">
        <f t="shared" si="4"/>
        <v>2011-Q9-4</v>
      </c>
      <c r="F112">
        <f t="shared" si="5"/>
        <v>1</v>
      </c>
      <c r="G112" t="s">
        <v>44</v>
      </c>
      <c r="H112">
        <f t="shared" si="6"/>
        <v>1</v>
      </c>
      <c r="I112" s="5">
        <f t="shared" si="7"/>
        <v>1</v>
      </c>
      <c r="J112" s="2" t="s">
        <v>290</v>
      </c>
      <c r="K112" s="2" t="s">
        <v>291</v>
      </c>
    </row>
    <row r="113" spans="1:11">
      <c r="A113">
        <v>2011</v>
      </c>
      <c r="B113">
        <v>10</v>
      </c>
      <c r="C113">
        <v>0</v>
      </c>
      <c r="D113" t="s">
        <v>82</v>
      </c>
      <c r="E113" t="str">
        <f t="shared" si="4"/>
        <v>2011-Q10-0</v>
      </c>
      <c r="F113">
        <f t="shared" si="5"/>
        <v>1</v>
      </c>
      <c r="G113" t="s">
        <v>35</v>
      </c>
      <c r="H113">
        <f t="shared" si="6"/>
        <v>1</v>
      </c>
      <c r="I113" s="5">
        <f t="shared" si="7"/>
        <v>1</v>
      </c>
      <c r="J113" s="2" t="s">
        <v>292</v>
      </c>
      <c r="K113" s="2" t="s">
        <v>293</v>
      </c>
    </row>
    <row r="114" spans="1:11">
      <c r="A114">
        <v>2011</v>
      </c>
      <c r="B114">
        <v>10</v>
      </c>
      <c r="C114">
        <v>1</v>
      </c>
      <c r="D114" t="s">
        <v>82</v>
      </c>
      <c r="E114" t="str">
        <f t="shared" si="4"/>
        <v>2011-Q10-1</v>
      </c>
      <c r="F114">
        <f t="shared" si="5"/>
        <v>1</v>
      </c>
      <c r="G114" t="s">
        <v>32</v>
      </c>
      <c r="H114">
        <f t="shared" si="6"/>
        <v>1</v>
      </c>
      <c r="I114" s="5">
        <f t="shared" si="7"/>
        <v>1</v>
      </c>
      <c r="J114" s="2" t="s">
        <v>294</v>
      </c>
      <c r="K114" s="2" t="s">
        <v>295</v>
      </c>
    </row>
    <row r="115" spans="1:11">
      <c r="A115">
        <v>2011</v>
      </c>
      <c r="B115">
        <v>10</v>
      </c>
      <c r="C115">
        <v>2</v>
      </c>
      <c r="D115" t="s">
        <v>82</v>
      </c>
      <c r="E115" t="str">
        <f t="shared" si="4"/>
        <v>2011-Q10-2</v>
      </c>
      <c r="F115">
        <f t="shared" si="5"/>
        <v>1</v>
      </c>
      <c r="G115" t="s">
        <v>32</v>
      </c>
      <c r="H115">
        <f t="shared" si="6"/>
        <v>1</v>
      </c>
      <c r="I115" s="5">
        <f t="shared" si="7"/>
        <v>1</v>
      </c>
      <c r="J115" s="2" t="s">
        <v>296</v>
      </c>
      <c r="K115" s="2" t="s">
        <v>297</v>
      </c>
    </row>
    <row r="116" spans="1:11" ht="28.5" customHeight="1">
      <c r="A116">
        <v>2011</v>
      </c>
      <c r="B116">
        <v>10</v>
      </c>
      <c r="C116">
        <v>3</v>
      </c>
      <c r="D116" t="s">
        <v>82</v>
      </c>
      <c r="E116" t="str">
        <f t="shared" si="4"/>
        <v>2011-Q10-3</v>
      </c>
      <c r="F116">
        <f t="shared" si="5"/>
        <v>1</v>
      </c>
      <c r="G116" t="s">
        <v>35</v>
      </c>
      <c r="H116">
        <f t="shared" si="6"/>
        <v>1</v>
      </c>
      <c r="I116" s="5">
        <f t="shared" si="7"/>
        <v>1</v>
      </c>
      <c r="J116" s="2" t="s">
        <v>298</v>
      </c>
      <c r="K116" s="2" t="s">
        <v>299</v>
      </c>
    </row>
    <row r="117" spans="1:11" ht="28.5" customHeight="1">
      <c r="A117">
        <v>2011</v>
      </c>
      <c r="B117">
        <v>10</v>
      </c>
      <c r="C117">
        <v>4</v>
      </c>
      <c r="D117" t="s">
        <v>82</v>
      </c>
      <c r="E117" t="str">
        <f t="shared" si="4"/>
        <v>2011-Q10-4</v>
      </c>
      <c r="F117">
        <f t="shared" si="5"/>
        <v>1</v>
      </c>
      <c r="G117" t="s">
        <v>29</v>
      </c>
      <c r="H117">
        <f t="shared" si="6"/>
        <v>1</v>
      </c>
      <c r="I117" s="5">
        <f t="shared" si="7"/>
        <v>1</v>
      </c>
      <c r="J117" s="2" t="s">
        <v>300</v>
      </c>
      <c r="K117" s="2" t="s">
        <v>301</v>
      </c>
    </row>
    <row r="118" spans="1:11" ht="28.5" customHeight="1">
      <c r="A118">
        <v>2011</v>
      </c>
      <c r="B118">
        <v>11</v>
      </c>
      <c r="C118">
        <v>0</v>
      </c>
      <c r="D118" t="s">
        <v>82</v>
      </c>
      <c r="E118" t="str">
        <f t="shared" si="4"/>
        <v>2011-Q11-0</v>
      </c>
      <c r="F118">
        <f t="shared" si="5"/>
        <v>1</v>
      </c>
      <c r="G118" t="s">
        <v>32</v>
      </c>
      <c r="H118">
        <f t="shared" si="6"/>
        <v>1</v>
      </c>
      <c r="I118" s="5">
        <f t="shared" si="7"/>
        <v>1</v>
      </c>
      <c r="J118" s="2" t="s">
        <v>302</v>
      </c>
      <c r="K118" s="2" t="s">
        <v>303</v>
      </c>
    </row>
    <row r="119" spans="1:11" ht="28.5" customHeight="1">
      <c r="A119">
        <v>2011</v>
      </c>
      <c r="B119">
        <v>11</v>
      </c>
      <c r="C119">
        <v>1</v>
      </c>
      <c r="D119" t="s">
        <v>82</v>
      </c>
      <c r="E119" t="str">
        <f t="shared" si="4"/>
        <v>2011-Q11-1</v>
      </c>
      <c r="F119">
        <f t="shared" si="5"/>
        <v>1</v>
      </c>
      <c r="G119" t="s">
        <v>32</v>
      </c>
      <c r="H119">
        <f t="shared" si="6"/>
        <v>1</v>
      </c>
      <c r="I119" s="5">
        <f t="shared" si="7"/>
        <v>1</v>
      </c>
      <c r="J119" s="2" t="s">
        <v>304</v>
      </c>
      <c r="K119" s="2" t="s">
        <v>305</v>
      </c>
    </row>
    <row r="120" spans="1:11">
      <c r="A120">
        <v>2011</v>
      </c>
      <c r="B120">
        <v>11</v>
      </c>
      <c r="C120">
        <v>2</v>
      </c>
      <c r="D120" t="s">
        <v>82</v>
      </c>
      <c r="E120" t="str">
        <f t="shared" si="4"/>
        <v>2011-Q11-2</v>
      </c>
      <c r="F120">
        <f t="shared" si="5"/>
        <v>1</v>
      </c>
      <c r="G120" t="s">
        <v>17</v>
      </c>
      <c r="H120">
        <f t="shared" si="6"/>
        <v>1</v>
      </c>
      <c r="I120" s="5">
        <f t="shared" si="7"/>
        <v>1</v>
      </c>
      <c r="J120" s="2" t="s">
        <v>306</v>
      </c>
      <c r="K120" s="2" t="s">
        <v>307</v>
      </c>
    </row>
    <row r="121" spans="1:11" ht="28.5" customHeight="1">
      <c r="A121">
        <v>2011</v>
      </c>
      <c r="B121">
        <v>11</v>
      </c>
      <c r="C121">
        <v>3</v>
      </c>
      <c r="D121" t="s">
        <v>82</v>
      </c>
      <c r="E121" t="str">
        <f t="shared" si="4"/>
        <v>2011-Q11-3</v>
      </c>
      <c r="F121">
        <f t="shared" si="5"/>
        <v>1</v>
      </c>
      <c r="G121" t="s">
        <v>17</v>
      </c>
      <c r="H121">
        <f t="shared" si="6"/>
        <v>1</v>
      </c>
      <c r="I121" s="5">
        <f t="shared" si="7"/>
        <v>1</v>
      </c>
      <c r="J121" s="2" t="s">
        <v>308</v>
      </c>
      <c r="K121" s="2" t="s">
        <v>309</v>
      </c>
    </row>
    <row r="122" spans="1:11" ht="28.5" customHeight="1">
      <c r="A122">
        <v>2011</v>
      </c>
      <c r="B122">
        <v>11</v>
      </c>
      <c r="C122">
        <v>4</v>
      </c>
      <c r="D122" t="s">
        <v>82</v>
      </c>
      <c r="E122" t="str">
        <f t="shared" si="4"/>
        <v>2011-Q11-4</v>
      </c>
      <c r="F122">
        <f t="shared" si="5"/>
        <v>1</v>
      </c>
      <c r="G122" t="s">
        <v>17</v>
      </c>
      <c r="H122">
        <f t="shared" si="6"/>
        <v>1</v>
      </c>
      <c r="I122" s="5">
        <f t="shared" si="7"/>
        <v>1</v>
      </c>
      <c r="J122" s="2" t="s">
        <v>310</v>
      </c>
      <c r="K122" s="2" t="s">
        <v>311</v>
      </c>
    </row>
    <row r="123" spans="1:11">
      <c r="A123">
        <v>2011</v>
      </c>
      <c r="B123">
        <v>12</v>
      </c>
      <c r="C123">
        <v>0</v>
      </c>
      <c r="D123" t="s">
        <v>82</v>
      </c>
      <c r="E123" t="str">
        <f t="shared" si="4"/>
        <v>2011-Q12-0</v>
      </c>
      <c r="F123">
        <f t="shared" si="5"/>
        <v>1</v>
      </c>
      <c r="G123" t="s">
        <v>41</v>
      </c>
      <c r="H123">
        <f t="shared" si="6"/>
        <v>1</v>
      </c>
      <c r="I123" s="5">
        <f t="shared" si="7"/>
        <v>1</v>
      </c>
      <c r="J123" s="2" t="s">
        <v>312</v>
      </c>
      <c r="K123" s="2" t="s">
        <v>313</v>
      </c>
    </row>
    <row r="124" spans="1:11" ht="28.5" customHeight="1">
      <c r="A124">
        <v>2011</v>
      </c>
      <c r="B124">
        <v>12</v>
      </c>
      <c r="C124">
        <v>1</v>
      </c>
      <c r="D124" t="s">
        <v>82</v>
      </c>
      <c r="E124" t="str">
        <f t="shared" si="4"/>
        <v>2011-Q12-1</v>
      </c>
      <c r="F124">
        <f t="shared" si="5"/>
        <v>1</v>
      </c>
      <c r="G124" t="s">
        <v>41</v>
      </c>
      <c r="H124">
        <f t="shared" si="6"/>
        <v>1</v>
      </c>
      <c r="I124" s="5">
        <f t="shared" si="7"/>
        <v>1</v>
      </c>
      <c r="J124" s="2" t="s">
        <v>314</v>
      </c>
      <c r="K124" s="2" t="s">
        <v>315</v>
      </c>
    </row>
    <row r="125" spans="1:11">
      <c r="A125">
        <v>2011</v>
      </c>
      <c r="B125">
        <v>12</v>
      </c>
      <c r="C125">
        <v>2</v>
      </c>
      <c r="D125" t="s">
        <v>82</v>
      </c>
      <c r="E125" t="str">
        <f t="shared" si="4"/>
        <v>2011-Q12-2</v>
      </c>
      <c r="F125">
        <f t="shared" si="5"/>
        <v>1</v>
      </c>
      <c r="G125" t="s">
        <v>41</v>
      </c>
      <c r="H125">
        <f t="shared" si="6"/>
        <v>1</v>
      </c>
      <c r="I125" s="5">
        <f t="shared" si="7"/>
        <v>1</v>
      </c>
      <c r="J125" s="2" t="s">
        <v>316</v>
      </c>
      <c r="K125" s="2" t="s">
        <v>317</v>
      </c>
    </row>
    <row r="126" spans="1:11" ht="28.5" customHeight="1">
      <c r="A126">
        <v>2011</v>
      </c>
      <c r="B126">
        <v>12</v>
      </c>
      <c r="C126">
        <v>3</v>
      </c>
      <c r="D126" t="s">
        <v>82</v>
      </c>
      <c r="E126" t="str">
        <f t="shared" si="4"/>
        <v>2011-Q12-3</v>
      </c>
      <c r="F126">
        <f t="shared" si="5"/>
        <v>1</v>
      </c>
      <c r="G126" t="s">
        <v>41</v>
      </c>
      <c r="H126">
        <f t="shared" si="6"/>
        <v>1</v>
      </c>
      <c r="I126" s="5">
        <f t="shared" si="7"/>
        <v>1</v>
      </c>
      <c r="J126" s="2" t="s">
        <v>318</v>
      </c>
      <c r="K126" s="2" t="s">
        <v>319</v>
      </c>
    </row>
    <row r="127" spans="1:11" ht="28.5" customHeight="1">
      <c r="A127">
        <v>2011</v>
      </c>
      <c r="B127">
        <v>12</v>
      </c>
      <c r="C127">
        <v>4</v>
      </c>
      <c r="D127" t="s">
        <v>82</v>
      </c>
      <c r="E127" t="str">
        <f t="shared" si="4"/>
        <v>2011-Q12-4</v>
      </c>
      <c r="F127">
        <f t="shared" si="5"/>
        <v>1</v>
      </c>
      <c r="G127" t="s">
        <v>41</v>
      </c>
      <c r="H127">
        <f t="shared" si="6"/>
        <v>1</v>
      </c>
      <c r="I127" s="5">
        <f t="shared" si="7"/>
        <v>1</v>
      </c>
      <c r="J127" s="2" t="s">
        <v>320</v>
      </c>
      <c r="K127" s="2" t="s">
        <v>321</v>
      </c>
    </row>
    <row r="128" spans="1:11" ht="28.5" customHeight="1">
      <c r="A128">
        <v>2011</v>
      </c>
      <c r="B128">
        <v>13</v>
      </c>
      <c r="C128">
        <v>0</v>
      </c>
      <c r="D128" t="s">
        <v>82</v>
      </c>
      <c r="E128" t="str">
        <f t="shared" si="4"/>
        <v>2011-Q13-0</v>
      </c>
      <c r="F128">
        <f t="shared" si="5"/>
        <v>1</v>
      </c>
      <c r="G128" t="s">
        <v>50</v>
      </c>
      <c r="H128">
        <f t="shared" si="6"/>
        <v>1</v>
      </c>
      <c r="I128" s="5">
        <f t="shared" si="7"/>
        <v>1</v>
      </c>
      <c r="J128" s="2" t="s">
        <v>322</v>
      </c>
      <c r="K128" s="2" t="s">
        <v>323</v>
      </c>
    </row>
    <row r="129" spans="1:11">
      <c r="A129">
        <v>2011</v>
      </c>
      <c r="B129">
        <v>13</v>
      </c>
      <c r="C129">
        <v>1</v>
      </c>
      <c r="D129" t="s">
        <v>82</v>
      </c>
      <c r="E129" t="str">
        <f t="shared" si="4"/>
        <v>2011-Q13-1</v>
      </c>
      <c r="F129">
        <f t="shared" si="5"/>
        <v>1</v>
      </c>
      <c r="G129" t="s">
        <v>50</v>
      </c>
      <c r="H129">
        <f t="shared" si="6"/>
        <v>1</v>
      </c>
      <c r="I129" s="5">
        <f t="shared" si="7"/>
        <v>1</v>
      </c>
      <c r="J129" s="2" t="s">
        <v>324</v>
      </c>
      <c r="K129" s="2" t="s">
        <v>325</v>
      </c>
    </row>
    <row r="130" spans="1:11" ht="28.5" customHeight="1">
      <c r="A130">
        <v>2011</v>
      </c>
      <c r="B130">
        <v>13</v>
      </c>
      <c r="C130">
        <v>2</v>
      </c>
      <c r="D130" t="s">
        <v>82</v>
      </c>
      <c r="E130" t="str">
        <f t="shared" si="4"/>
        <v>2011-Q13-2</v>
      </c>
      <c r="F130">
        <f t="shared" si="5"/>
        <v>1</v>
      </c>
      <c r="G130" t="s">
        <v>50</v>
      </c>
      <c r="H130">
        <f t="shared" si="6"/>
        <v>1</v>
      </c>
      <c r="I130" s="5">
        <f t="shared" si="7"/>
        <v>1</v>
      </c>
      <c r="J130" s="2" t="s">
        <v>326</v>
      </c>
      <c r="K130" s="2" t="s">
        <v>327</v>
      </c>
    </row>
    <row r="131" spans="1:11">
      <c r="A131">
        <v>2011</v>
      </c>
      <c r="B131">
        <v>13</v>
      </c>
      <c r="C131">
        <v>3</v>
      </c>
      <c r="D131" t="s">
        <v>82</v>
      </c>
      <c r="E131" t="str">
        <f t="shared" si="4"/>
        <v>2011-Q13-3</v>
      </c>
      <c r="F131">
        <f t="shared" si="5"/>
        <v>1</v>
      </c>
      <c r="G131" t="s">
        <v>50</v>
      </c>
      <c r="H131">
        <f t="shared" si="6"/>
        <v>1</v>
      </c>
      <c r="I131" s="5">
        <f t="shared" si="7"/>
        <v>1</v>
      </c>
      <c r="J131" s="2" t="s">
        <v>328</v>
      </c>
      <c r="K131" s="2" t="s">
        <v>329</v>
      </c>
    </row>
    <row r="132" spans="1:11" ht="28.5" customHeight="1">
      <c r="A132">
        <v>2011</v>
      </c>
      <c r="B132">
        <v>13</v>
      </c>
      <c r="C132">
        <v>4</v>
      </c>
      <c r="D132" t="s">
        <v>82</v>
      </c>
      <c r="E132" t="str">
        <f t="shared" si="4"/>
        <v>2011-Q13-4</v>
      </c>
      <c r="F132">
        <f t="shared" si="5"/>
        <v>1</v>
      </c>
      <c r="G132" t="s">
        <v>50</v>
      </c>
      <c r="H132">
        <f t="shared" si="6"/>
        <v>1</v>
      </c>
      <c r="I132" s="5">
        <f t="shared" si="7"/>
        <v>1</v>
      </c>
      <c r="J132" s="2" t="s">
        <v>330</v>
      </c>
      <c r="K132" s="2" t="s">
        <v>331</v>
      </c>
    </row>
    <row r="133" spans="1:11" ht="28.5" customHeight="1">
      <c r="A133">
        <v>2011</v>
      </c>
      <c r="B133">
        <v>14</v>
      </c>
      <c r="D133" t="s">
        <v>193</v>
      </c>
      <c r="E133" t="str">
        <f t="shared" ref="E133:E196" si="8">IF(A133="","",TEXT(A133,"0")&amp;"-Q"&amp;TEXT(B133,"0")&amp;"-"&amp;IF(C133="","ABERTA",C133))</f>
        <v>2011-Q14-ABERTA</v>
      </c>
      <c r="F133">
        <f t="shared" ref="F133:F196" si="9">IF(D133="V/F",1,IF(D133="Aberta/numérica",5,""))</f>
        <v>5</v>
      </c>
      <c r="G133" t="s">
        <v>20</v>
      </c>
      <c r="H133">
        <f t="shared" ref="H133:H196" si="10">IF(A133="","",IF(C133="",COUNTIFS($A$5:$A$1504,A133,$B$5:$B$1504,B133,$C$5:$C$1504,"",$D$5:$D$1504,D133),COUNTIFS($A$5:$A$1504,A133,$B$5:$B$1504,B133,$C$5:$C$1504,C133,$D$5:$D$1504,D133)))</f>
        <v>1</v>
      </c>
      <c r="I133" s="5">
        <f t="shared" ref="I133:I196" si="11">IF(OR(F133="",H133="",G133=""),"",F133/H133)</f>
        <v>5</v>
      </c>
      <c r="J133" s="2" t="s">
        <v>332</v>
      </c>
      <c r="K133" s="2" t="s">
        <v>333</v>
      </c>
    </row>
    <row r="134" spans="1:11">
      <c r="A134">
        <v>2011</v>
      </c>
      <c r="B134">
        <v>15</v>
      </c>
      <c r="D134" t="s">
        <v>193</v>
      </c>
      <c r="E134" t="str">
        <f t="shared" si="8"/>
        <v>2011-Q15-ABERTA</v>
      </c>
      <c r="F134">
        <f t="shared" si="9"/>
        <v>5</v>
      </c>
      <c r="G134" t="s">
        <v>41</v>
      </c>
      <c r="H134">
        <f t="shared" si="10"/>
        <v>1</v>
      </c>
      <c r="I134" s="5">
        <f t="shared" si="11"/>
        <v>5</v>
      </c>
      <c r="J134" s="2" t="s">
        <v>334</v>
      </c>
      <c r="K134" s="2" t="s">
        <v>335</v>
      </c>
    </row>
    <row r="135" spans="1:11" ht="28.5" customHeight="1">
      <c r="A135">
        <v>2012</v>
      </c>
      <c r="B135">
        <v>1</v>
      </c>
      <c r="C135">
        <v>0</v>
      </c>
      <c r="D135" t="s">
        <v>82</v>
      </c>
      <c r="E135" t="str">
        <f t="shared" si="8"/>
        <v>2012-Q1-0</v>
      </c>
      <c r="F135">
        <f t="shared" si="9"/>
        <v>1</v>
      </c>
      <c r="G135" t="s">
        <v>44</v>
      </c>
      <c r="H135">
        <f t="shared" si="10"/>
        <v>1</v>
      </c>
      <c r="I135" s="5">
        <f t="shared" si="11"/>
        <v>1</v>
      </c>
      <c r="J135" s="2" t="s">
        <v>336</v>
      </c>
      <c r="K135" s="2" t="s">
        <v>337</v>
      </c>
    </row>
    <row r="136" spans="1:11" ht="28.5" customHeight="1">
      <c r="A136">
        <v>2012</v>
      </c>
      <c r="B136">
        <v>1</v>
      </c>
      <c r="C136">
        <v>1</v>
      </c>
      <c r="D136" t="s">
        <v>82</v>
      </c>
      <c r="E136" t="str">
        <f t="shared" si="8"/>
        <v>2012-Q1-1</v>
      </c>
      <c r="F136">
        <f t="shared" si="9"/>
        <v>1</v>
      </c>
      <c r="G136" t="s">
        <v>44</v>
      </c>
      <c r="H136">
        <f t="shared" si="10"/>
        <v>1</v>
      </c>
      <c r="I136" s="5">
        <f t="shared" si="11"/>
        <v>1</v>
      </c>
      <c r="J136" s="2" t="s">
        <v>338</v>
      </c>
      <c r="K136" s="2" t="s">
        <v>339</v>
      </c>
    </row>
    <row r="137" spans="1:11" ht="28.5" customHeight="1">
      <c r="A137">
        <v>2012</v>
      </c>
      <c r="B137">
        <v>1</v>
      </c>
      <c r="C137">
        <v>2</v>
      </c>
      <c r="D137" t="s">
        <v>82</v>
      </c>
      <c r="E137" t="str">
        <f t="shared" si="8"/>
        <v>2012-Q1-2</v>
      </c>
      <c r="F137">
        <f t="shared" si="9"/>
        <v>1</v>
      </c>
      <c r="G137" t="s">
        <v>47</v>
      </c>
      <c r="H137">
        <f t="shared" si="10"/>
        <v>1</v>
      </c>
      <c r="I137" s="5">
        <f t="shared" si="11"/>
        <v>1</v>
      </c>
      <c r="J137" s="2" t="s">
        <v>340</v>
      </c>
      <c r="K137" s="2" t="s">
        <v>341</v>
      </c>
    </row>
    <row r="138" spans="1:11">
      <c r="A138">
        <v>2012</v>
      </c>
      <c r="B138">
        <v>1</v>
      </c>
      <c r="C138">
        <v>3</v>
      </c>
      <c r="D138" t="s">
        <v>82</v>
      </c>
      <c r="E138" t="str">
        <f t="shared" si="8"/>
        <v>2012-Q1-3</v>
      </c>
      <c r="F138">
        <f t="shared" si="9"/>
        <v>1</v>
      </c>
      <c r="G138" t="s">
        <v>47</v>
      </c>
      <c r="H138">
        <f t="shared" si="10"/>
        <v>1</v>
      </c>
      <c r="I138" s="5">
        <f t="shared" si="11"/>
        <v>1</v>
      </c>
      <c r="J138" s="2" t="s">
        <v>342</v>
      </c>
      <c r="K138" s="2" t="s">
        <v>343</v>
      </c>
    </row>
    <row r="139" spans="1:11" ht="28.5" customHeight="1">
      <c r="A139">
        <v>2012</v>
      </c>
      <c r="B139">
        <v>1</v>
      </c>
      <c r="C139">
        <v>4</v>
      </c>
      <c r="D139" t="s">
        <v>82</v>
      </c>
      <c r="E139" t="str">
        <f t="shared" si="8"/>
        <v>2012-Q1-4</v>
      </c>
      <c r="F139">
        <f t="shared" si="9"/>
        <v>1</v>
      </c>
      <c r="G139" t="s">
        <v>47</v>
      </c>
      <c r="H139">
        <f t="shared" si="10"/>
        <v>1</v>
      </c>
      <c r="I139" s="5">
        <f t="shared" si="11"/>
        <v>1</v>
      </c>
      <c r="J139" s="2" t="s">
        <v>344</v>
      </c>
      <c r="K139" s="2" t="s">
        <v>345</v>
      </c>
    </row>
    <row r="140" spans="1:11" ht="28.5" customHeight="1">
      <c r="A140">
        <v>2012</v>
      </c>
      <c r="B140">
        <v>2</v>
      </c>
      <c r="C140">
        <v>0</v>
      </c>
      <c r="D140" t="s">
        <v>82</v>
      </c>
      <c r="E140" t="str">
        <f t="shared" si="8"/>
        <v>2012-Q2-0</v>
      </c>
      <c r="F140">
        <f t="shared" si="9"/>
        <v>1</v>
      </c>
      <c r="G140" t="s">
        <v>23</v>
      </c>
      <c r="H140">
        <f t="shared" si="10"/>
        <v>1</v>
      </c>
      <c r="I140" s="5">
        <f t="shared" si="11"/>
        <v>1</v>
      </c>
      <c r="J140" s="2" t="s">
        <v>346</v>
      </c>
      <c r="K140" s="2" t="s">
        <v>347</v>
      </c>
    </row>
    <row r="141" spans="1:11">
      <c r="A141">
        <v>2012</v>
      </c>
      <c r="B141">
        <v>2</v>
      </c>
      <c r="C141">
        <v>1</v>
      </c>
      <c r="D141" t="s">
        <v>82</v>
      </c>
      <c r="E141" t="str">
        <f t="shared" si="8"/>
        <v>2012-Q2-1</v>
      </c>
      <c r="F141">
        <f t="shared" si="9"/>
        <v>1</v>
      </c>
      <c r="G141" t="s">
        <v>23</v>
      </c>
      <c r="H141">
        <f t="shared" si="10"/>
        <v>1</v>
      </c>
      <c r="I141" s="5">
        <f t="shared" si="11"/>
        <v>1</v>
      </c>
      <c r="J141" s="2" t="s">
        <v>348</v>
      </c>
      <c r="K141" s="2" t="s">
        <v>349</v>
      </c>
    </row>
    <row r="142" spans="1:11">
      <c r="A142">
        <v>2012</v>
      </c>
      <c r="B142">
        <v>2</v>
      </c>
      <c r="C142">
        <v>2</v>
      </c>
      <c r="D142" t="s">
        <v>82</v>
      </c>
      <c r="E142" t="str">
        <f t="shared" si="8"/>
        <v>2012-Q2-2</v>
      </c>
      <c r="F142">
        <f t="shared" si="9"/>
        <v>1</v>
      </c>
      <c r="G142" t="s">
        <v>23</v>
      </c>
      <c r="H142">
        <f t="shared" si="10"/>
        <v>1</v>
      </c>
      <c r="I142" s="5">
        <f t="shared" si="11"/>
        <v>1</v>
      </c>
      <c r="J142" s="2" t="s">
        <v>350</v>
      </c>
      <c r="K142" s="2" t="s">
        <v>351</v>
      </c>
    </row>
    <row r="143" spans="1:11">
      <c r="A143">
        <v>2012</v>
      </c>
      <c r="B143">
        <v>2</v>
      </c>
      <c r="C143">
        <v>3</v>
      </c>
      <c r="D143" t="s">
        <v>82</v>
      </c>
      <c r="E143" t="str">
        <f t="shared" si="8"/>
        <v>2012-Q2-3</v>
      </c>
      <c r="F143">
        <f t="shared" si="9"/>
        <v>1</v>
      </c>
      <c r="G143" t="s">
        <v>23</v>
      </c>
      <c r="H143">
        <f t="shared" si="10"/>
        <v>1</v>
      </c>
      <c r="I143" s="5">
        <f t="shared" si="11"/>
        <v>1</v>
      </c>
      <c r="J143" s="2" t="s">
        <v>352</v>
      </c>
      <c r="K143" s="2" t="s">
        <v>353</v>
      </c>
    </row>
    <row r="144" spans="1:11">
      <c r="A144">
        <v>2012</v>
      </c>
      <c r="B144">
        <v>2</v>
      </c>
      <c r="C144">
        <v>4</v>
      </c>
      <c r="D144" t="s">
        <v>82</v>
      </c>
      <c r="E144" t="str">
        <f t="shared" si="8"/>
        <v>2012-Q2-4</v>
      </c>
      <c r="F144">
        <f t="shared" si="9"/>
        <v>1</v>
      </c>
      <c r="G144" t="s">
        <v>23</v>
      </c>
      <c r="H144">
        <f t="shared" si="10"/>
        <v>1</v>
      </c>
      <c r="I144" s="5">
        <f t="shared" si="11"/>
        <v>1</v>
      </c>
      <c r="J144" s="2" t="s">
        <v>354</v>
      </c>
      <c r="K144" s="2" t="s">
        <v>355</v>
      </c>
    </row>
    <row r="145" spans="1:11" ht="28.5" customHeight="1">
      <c r="A145">
        <v>2012</v>
      </c>
      <c r="B145">
        <v>3</v>
      </c>
      <c r="C145">
        <v>0</v>
      </c>
      <c r="D145" t="s">
        <v>82</v>
      </c>
      <c r="E145" t="str">
        <f t="shared" si="8"/>
        <v>2012-Q3-0</v>
      </c>
      <c r="F145">
        <f t="shared" si="9"/>
        <v>1</v>
      </c>
      <c r="G145" t="s">
        <v>11</v>
      </c>
      <c r="H145">
        <f t="shared" si="10"/>
        <v>1</v>
      </c>
      <c r="I145" s="5">
        <f t="shared" si="11"/>
        <v>1</v>
      </c>
      <c r="J145" s="2" t="s">
        <v>356</v>
      </c>
      <c r="K145" s="2" t="s">
        <v>357</v>
      </c>
    </row>
    <row r="146" spans="1:11" ht="28.5" customHeight="1">
      <c r="A146">
        <v>2012</v>
      </c>
      <c r="B146">
        <v>3</v>
      </c>
      <c r="C146">
        <v>1</v>
      </c>
      <c r="D146" t="s">
        <v>82</v>
      </c>
      <c r="E146" t="str">
        <f t="shared" si="8"/>
        <v>2012-Q3-1</v>
      </c>
      <c r="F146">
        <f t="shared" si="9"/>
        <v>1</v>
      </c>
      <c r="G146" t="s">
        <v>11</v>
      </c>
      <c r="H146">
        <f t="shared" si="10"/>
        <v>1</v>
      </c>
      <c r="I146" s="5">
        <f t="shared" si="11"/>
        <v>1</v>
      </c>
      <c r="J146" s="2" t="s">
        <v>358</v>
      </c>
      <c r="K146" s="2" t="s">
        <v>359</v>
      </c>
    </row>
    <row r="147" spans="1:11">
      <c r="A147">
        <v>2012</v>
      </c>
      <c r="B147">
        <v>3</v>
      </c>
      <c r="C147">
        <v>2</v>
      </c>
      <c r="D147" t="s">
        <v>82</v>
      </c>
      <c r="E147" t="str">
        <f t="shared" si="8"/>
        <v>2012-Q3-2</v>
      </c>
      <c r="F147">
        <f t="shared" si="9"/>
        <v>1</v>
      </c>
      <c r="G147" t="s">
        <v>11</v>
      </c>
      <c r="H147">
        <f t="shared" si="10"/>
        <v>1</v>
      </c>
      <c r="I147" s="5">
        <f t="shared" si="11"/>
        <v>1</v>
      </c>
      <c r="J147" s="2" t="s">
        <v>360</v>
      </c>
      <c r="K147" s="2" t="s">
        <v>361</v>
      </c>
    </row>
    <row r="148" spans="1:11" ht="28.5" customHeight="1">
      <c r="A148">
        <v>2012</v>
      </c>
      <c r="B148">
        <v>3</v>
      </c>
      <c r="C148">
        <v>3</v>
      </c>
      <c r="D148" t="s">
        <v>82</v>
      </c>
      <c r="E148" t="str">
        <f t="shared" si="8"/>
        <v>2012-Q3-3</v>
      </c>
      <c r="F148">
        <f t="shared" si="9"/>
        <v>1</v>
      </c>
      <c r="G148" t="s">
        <v>8</v>
      </c>
      <c r="H148">
        <f t="shared" si="10"/>
        <v>2</v>
      </c>
      <c r="I148" s="5">
        <f t="shared" si="11"/>
        <v>0.5</v>
      </c>
      <c r="J148" s="2" t="s">
        <v>362</v>
      </c>
      <c r="K148" s="2" t="s">
        <v>363</v>
      </c>
    </row>
    <row r="149" spans="1:11" ht="28.5" customHeight="1">
      <c r="A149">
        <v>2012</v>
      </c>
      <c r="B149">
        <v>3</v>
      </c>
      <c r="C149">
        <v>3</v>
      </c>
      <c r="D149" t="s">
        <v>82</v>
      </c>
      <c r="E149" t="str">
        <f t="shared" si="8"/>
        <v>2012-Q3-3</v>
      </c>
      <c r="F149">
        <f t="shared" si="9"/>
        <v>1</v>
      </c>
      <c r="G149" t="s">
        <v>11</v>
      </c>
      <c r="H149">
        <f t="shared" si="10"/>
        <v>2</v>
      </c>
      <c r="I149" s="5">
        <f t="shared" si="11"/>
        <v>0.5</v>
      </c>
      <c r="J149" s="2" t="s">
        <v>362</v>
      </c>
      <c r="K149" s="2" t="s">
        <v>363</v>
      </c>
    </row>
    <row r="150" spans="1:11" ht="28.5" customHeight="1">
      <c r="A150">
        <v>2012</v>
      </c>
      <c r="B150">
        <v>3</v>
      </c>
      <c r="C150">
        <v>4</v>
      </c>
      <c r="D150" t="s">
        <v>82</v>
      </c>
      <c r="E150" t="str">
        <f t="shared" si="8"/>
        <v>2012-Q3-4</v>
      </c>
      <c r="F150">
        <f t="shared" si="9"/>
        <v>1</v>
      </c>
      <c r="G150" t="s">
        <v>8</v>
      </c>
      <c r="H150">
        <f t="shared" si="10"/>
        <v>2</v>
      </c>
      <c r="I150" s="5">
        <f t="shared" si="11"/>
        <v>0.5</v>
      </c>
      <c r="J150" s="2" t="s">
        <v>364</v>
      </c>
      <c r="K150" s="2" t="s">
        <v>365</v>
      </c>
    </row>
    <row r="151" spans="1:11" ht="28.5" customHeight="1">
      <c r="A151">
        <v>2012</v>
      </c>
      <c r="B151">
        <v>3</v>
      </c>
      <c r="C151">
        <v>4</v>
      </c>
      <c r="D151" t="s">
        <v>82</v>
      </c>
      <c r="E151" t="str">
        <f t="shared" si="8"/>
        <v>2012-Q3-4</v>
      </c>
      <c r="F151">
        <f t="shared" si="9"/>
        <v>1</v>
      </c>
      <c r="G151" t="s">
        <v>11</v>
      </c>
      <c r="H151">
        <f t="shared" si="10"/>
        <v>2</v>
      </c>
      <c r="I151" s="5">
        <f t="shared" si="11"/>
        <v>0.5</v>
      </c>
      <c r="J151" s="2" t="s">
        <v>364</v>
      </c>
      <c r="K151" s="2" t="s">
        <v>365</v>
      </c>
    </row>
    <row r="152" spans="1:11">
      <c r="A152">
        <v>2012</v>
      </c>
      <c r="B152">
        <v>4</v>
      </c>
      <c r="C152">
        <v>0</v>
      </c>
      <c r="D152" t="s">
        <v>82</v>
      </c>
      <c r="E152" t="str">
        <f t="shared" si="8"/>
        <v>2012-Q4-0</v>
      </c>
      <c r="F152">
        <f t="shared" si="9"/>
        <v>1</v>
      </c>
      <c r="G152" t="s">
        <v>14</v>
      </c>
      <c r="H152">
        <f t="shared" si="10"/>
        <v>1</v>
      </c>
      <c r="I152" s="5">
        <f t="shared" si="11"/>
        <v>1</v>
      </c>
      <c r="J152" s="2" t="s">
        <v>366</v>
      </c>
      <c r="K152" s="2" t="s">
        <v>367</v>
      </c>
    </row>
    <row r="153" spans="1:11">
      <c r="A153">
        <v>2012</v>
      </c>
      <c r="B153">
        <v>4</v>
      </c>
      <c r="C153">
        <v>1</v>
      </c>
      <c r="D153" t="s">
        <v>82</v>
      </c>
      <c r="E153" t="str">
        <f t="shared" si="8"/>
        <v>2012-Q4-1</v>
      </c>
      <c r="F153">
        <f t="shared" si="9"/>
        <v>1</v>
      </c>
      <c r="G153" t="s">
        <v>14</v>
      </c>
      <c r="H153">
        <f t="shared" si="10"/>
        <v>1</v>
      </c>
      <c r="I153" s="5">
        <f t="shared" si="11"/>
        <v>1</v>
      </c>
      <c r="J153" s="2" t="s">
        <v>368</v>
      </c>
      <c r="K153" s="2" t="s">
        <v>369</v>
      </c>
    </row>
    <row r="154" spans="1:11" ht="28.5" customHeight="1">
      <c r="A154">
        <v>2012</v>
      </c>
      <c r="B154">
        <v>4</v>
      </c>
      <c r="C154">
        <v>2</v>
      </c>
      <c r="D154" t="s">
        <v>82</v>
      </c>
      <c r="E154" t="str">
        <f t="shared" si="8"/>
        <v>2012-Q4-2</v>
      </c>
      <c r="F154">
        <f t="shared" si="9"/>
        <v>1</v>
      </c>
      <c r="G154" t="s">
        <v>14</v>
      </c>
      <c r="H154">
        <f t="shared" si="10"/>
        <v>1</v>
      </c>
      <c r="I154" s="5">
        <f t="shared" si="11"/>
        <v>1</v>
      </c>
      <c r="J154" s="2" t="s">
        <v>370</v>
      </c>
      <c r="K154" s="2" t="s">
        <v>371</v>
      </c>
    </row>
    <row r="155" spans="1:11" ht="28.5" customHeight="1">
      <c r="A155">
        <v>2012</v>
      </c>
      <c r="B155">
        <v>4</v>
      </c>
      <c r="C155">
        <v>3</v>
      </c>
      <c r="D155" t="s">
        <v>82</v>
      </c>
      <c r="E155" t="str">
        <f t="shared" si="8"/>
        <v>2012-Q4-3</v>
      </c>
      <c r="F155">
        <f t="shared" si="9"/>
        <v>1</v>
      </c>
      <c r="G155" t="s">
        <v>14</v>
      </c>
      <c r="H155">
        <f t="shared" si="10"/>
        <v>1</v>
      </c>
      <c r="I155" s="5">
        <f t="shared" si="11"/>
        <v>1</v>
      </c>
      <c r="J155" s="2" t="s">
        <v>372</v>
      </c>
      <c r="K155" s="2" t="s">
        <v>373</v>
      </c>
    </row>
    <row r="156" spans="1:11" ht="28.5" customHeight="1">
      <c r="A156">
        <v>2012</v>
      </c>
      <c r="B156">
        <v>4</v>
      </c>
      <c r="C156">
        <v>4</v>
      </c>
      <c r="D156" t="s">
        <v>82</v>
      </c>
      <c r="E156" t="str">
        <f t="shared" si="8"/>
        <v>2012-Q4-4</v>
      </c>
      <c r="F156">
        <f t="shared" si="9"/>
        <v>1</v>
      </c>
      <c r="G156" t="s">
        <v>14</v>
      </c>
      <c r="H156">
        <f t="shared" si="10"/>
        <v>1</v>
      </c>
      <c r="I156" s="5">
        <f t="shared" si="11"/>
        <v>1</v>
      </c>
      <c r="J156" s="2" t="s">
        <v>374</v>
      </c>
      <c r="K156" s="2" t="s">
        <v>375</v>
      </c>
    </row>
    <row r="157" spans="1:11">
      <c r="A157">
        <v>2012</v>
      </c>
      <c r="B157">
        <v>5</v>
      </c>
      <c r="C157">
        <v>0</v>
      </c>
      <c r="D157" t="s">
        <v>82</v>
      </c>
      <c r="E157" t="str">
        <f t="shared" si="8"/>
        <v>2012-Q5-0</v>
      </c>
      <c r="F157">
        <f t="shared" si="9"/>
        <v>1</v>
      </c>
      <c r="G157" t="s">
        <v>14</v>
      </c>
      <c r="H157">
        <f t="shared" si="10"/>
        <v>1</v>
      </c>
      <c r="I157" s="5">
        <f t="shared" si="11"/>
        <v>1</v>
      </c>
      <c r="J157" s="2" t="s">
        <v>376</v>
      </c>
      <c r="K157" s="2" t="s">
        <v>377</v>
      </c>
    </row>
    <row r="158" spans="1:11" ht="28.5" customHeight="1">
      <c r="A158">
        <v>2012</v>
      </c>
      <c r="B158">
        <v>5</v>
      </c>
      <c r="C158">
        <v>1</v>
      </c>
      <c r="D158" t="s">
        <v>82</v>
      </c>
      <c r="E158" t="str">
        <f t="shared" si="8"/>
        <v>2012-Q5-1</v>
      </c>
      <c r="F158">
        <f t="shared" si="9"/>
        <v>1</v>
      </c>
      <c r="G158" t="s">
        <v>32</v>
      </c>
      <c r="H158">
        <f t="shared" si="10"/>
        <v>1</v>
      </c>
      <c r="I158" s="5">
        <f t="shared" si="11"/>
        <v>1</v>
      </c>
      <c r="J158" s="2" t="s">
        <v>378</v>
      </c>
      <c r="K158" s="2" t="s">
        <v>379</v>
      </c>
    </row>
    <row r="159" spans="1:11">
      <c r="A159">
        <v>2012</v>
      </c>
      <c r="B159">
        <v>5</v>
      </c>
      <c r="C159">
        <v>2</v>
      </c>
      <c r="D159" t="s">
        <v>82</v>
      </c>
      <c r="E159" t="str">
        <f t="shared" si="8"/>
        <v>2012-Q5-2</v>
      </c>
      <c r="F159">
        <f t="shared" si="9"/>
        <v>1</v>
      </c>
      <c r="G159" t="s">
        <v>14</v>
      </c>
      <c r="H159">
        <f t="shared" si="10"/>
        <v>1</v>
      </c>
      <c r="I159" s="5">
        <f t="shared" si="11"/>
        <v>1</v>
      </c>
      <c r="J159" s="2" t="s">
        <v>380</v>
      </c>
      <c r="K159" s="2" t="s">
        <v>381</v>
      </c>
    </row>
    <row r="160" spans="1:11">
      <c r="A160">
        <v>2012</v>
      </c>
      <c r="B160">
        <v>5</v>
      </c>
      <c r="C160">
        <v>3</v>
      </c>
      <c r="D160" t="s">
        <v>82</v>
      </c>
      <c r="E160" t="str">
        <f t="shared" si="8"/>
        <v>2012-Q5-3</v>
      </c>
      <c r="F160">
        <f t="shared" si="9"/>
        <v>1</v>
      </c>
      <c r="G160" t="s">
        <v>50</v>
      </c>
      <c r="H160">
        <f t="shared" si="10"/>
        <v>1</v>
      </c>
      <c r="I160" s="5">
        <f t="shared" si="11"/>
        <v>1</v>
      </c>
      <c r="J160" s="2" t="s">
        <v>382</v>
      </c>
      <c r="K160" s="2" t="s">
        <v>383</v>
      </c>
    </row>
    <row r="161" spans="1:11" ht="28.5" customHeight="1">
      <c r="A161">
        <v>2012</v>
      </c>
      <c r="B161">
        <v>5</v>
      </c>
      <c r="C161">
        <v>4</v>
      </c>
      <c r="D161" t="s">
        <v>82</v>
      </c>
      <c r="E161" t="str">
        <f t="shared" si="8"/>
        <v>2012-Q5-4</v>
      </c>
      <c r="F161">
        <f t="shared" si="9"/>
        <v>1</v>
      </c>
      <c r="G161" t="s">
        <v>14</v>
      </c>
      <c r="H161">
        <f t="shared" si="10"/>
        <v>1</v>
      </c>
      <c r="I161" s="5">
        <f t="shared" si="11"/>
        <v>1</v>
      </c>
      <c r="J161" s="2" t="s">
        <v>384</v>
      </c>
      <c r="K161" s="2" t="s">
        <v>385</v>
      </c>
    </row>
    <row r="162" spans="1:11" ht="42.75" customHeight="1">
      <c r="A162">
        <v>2012</v>
      </c>
      <c r="B162">
        <v>6</v>
      </c>
      <c r="C162">
        <v>0</v>
      </c>
      <c r="D162" t="s">
        <v>82</v>
      </c>
      <c r="E162" t="str">
        <f t="shared" si="8"/>
        <v>2012-Q6-0</v>
      </c>
      <c r="F162">
        <f t="shared" si="9"/>
        <v>1</v>
      </c>
      <c r="G162" t="s">
        <v>23</v>
      </c>
      <c r="H162">
        <f t="shared" si="10"/>
        <v>1</v>
      </c>
      <c r="I162" s="5">
        <f t="shared" si="11"/>
        <v>1</v>
      </c>
      <c r="J162" s="2" t="s">
        <v>386</v>
      </c>
      <c r="K162" s="2" t="s">
        <v>387</v>
      </c>
    </row>
    <row r="163" spans="1:11" ht="28.5" customHeight="1">
      <c r="A163">
        <v>2012</v>
      </c>
      <c r="B163">
        <v>6</v>
      </c>
      <c r="C163">
        <v>1</v>
      </c>
      <c r="D163" t="s">
        <v>82</v>
      </c>
      <c r="E163" t="str">
        <f t="shared" si="8"/>
        <v>2012-Q6-1</v>
      </c>
      <c r="F163">
        <f t="shared" si="9"/>
        <v>1</v>
      </c>
      <c r="G163" t="s">
        <v>23</v>
      </c>
      <c r="H163">
        <f t="shared" si="10"/>
        <v>1</v>
      </c>
      <c r="I163" s="5">
        <f t="shared" si="11"/>
        <v>1</v>
      </c>
      <c r="J163" s="2" t="s">
        <v>388</v>
      </c>
      <c r="K163" s="2" t="s">
        <v>389</v>
      </c>
    </row>
    <row r="164" spans="1:11" ht="28.5" customHeight="1">
      <c r="A164">
        <v>2012</v>
      </c>
      <c r="B164">
        <v>6</v>
      </c>
      <c r="C164">
        <v>2</v>
      </c>
      <c r="D164" t="s">
        <v>82</v>
      </c>
      <c r="E164" t="str">
        <f t="shared" si="8"/>
        <v>2012-Q6-2</v>
      </c>
      <c r="F164">
        <f t="shared" si="9"/>
        <v>1</v>
      </c>
      <c r="G164" t="s">
        <v>23</v>
      </c>
      <c r="H164">
        <f t="shared" si="10"/>
        <v>1</v>
      </c>
      <c r="I164" s="5">
        <f t="shared" si="11"/>
        <v>1</v>
      </c>
      <c r="J164" s="2" t="s">
        <v>390</v>
      </c>
      <c r="K164" s="2" t="s">
        <v>391</v>
      </c>
    </row>
    <row r="165" spans="1:11" ht="28.5" customHeight="1">
      <c r="A165">
        <v>2012</v>
      </c>
      <c r="B165">
        <v>6</v>
      </c>
      <c r="C165">
        <v>3</v>
      </c>
      <c r="D165" t="s">
        <v>82</v>
      </c>
      <c r="E165" t="str">
        <f t="shared" si="8"/>
        <v>2012-Q6-3</v>
      </c>
      <c r="F165">
        <f t="shared" si="9"/>
        <v>1</v>
      </c>
      <c r="G165" t="s">
        <v>23</v>
      </c>
      <c r="H165">
        <f t="shared" si="10"/>
        <v>1</v>
      </c>
      <c r="I165" s="5">
        <f t="shared" si="11"/>
        <v>1</v>
      </c>
      <c r="J165" s="2" t="s">
        <v>392</v>
      </c>
      <c r="K165" s="2" t="s">
        <v>393</v>
      </c>
    </row>
    <row r="166" spans="1:11" ht="28.5" customHeight="1">
      <c r="A166">
        <v>2012</v>
      </c>
      <c r="B166">
        <v>6</v>
      </c>
      <c r="C166">
        <v>4</v>
      </c>
      <c r="D166" t="s">
        <v>82</v>
      </c>
      <c r="E166" t="str">
        <f t="shared" si="8"/>
        <v>2012-Q6-4</v>
      </c>
      <c r="F166">
        <f t="shared" si="9"/>
        <v>1</v>
      </c>
      <c r="G166" t="s">
        <v>23</v>
      </c>
      <c r="H166">
        <f t="shared" si="10"/>
        <v>1</v>
      </c>
      <c r="I166" s="5">
        <f t="shared" si="11"/>
        <v>1</v>
      </c>
      <c r="J166" s="2" t="s">
        <v>394</v>
      </c>
      <c r="K166" s="2" t="s">
        <v>395</v>
      </c>
    </row>
    <row r="167" spans="1:11" ht="28.5" customHeight="1">
      <c r="A167">
        <v>2012</v>
      </c>
      <c r="B167">
        <v>7</v>
      </c>
      <c r="C167">
        <v>0</v>
      </c>
      <c r="D167" t="s">
        <v>82</v>
      </c>
      <c r="E167" t="str">
        <f t="shared" si="8"/>
        <v>2012-Q7-0</v>
      </c>
      <c r="F167">
        <f t="shared" si="9"/>
        <v>1</v>
      </c>
      <c r="G167" t="s">
        <v>20</v>
      </c>
      <c r="H167">
        <f t="shared" si="10"/>
        <v>1</v>
      </c>
      <c r="I167" s="5">
        <f t="shared" si="11"/>
        <v>1</v>
      </c>
      <c r="J167" s="2" t="s">
        <v>396</v>
      </c>
      <c r="K167" s="2" t="s">
        <v>397</v>
      </c>
    </row>
    <row r="168" spans="1:11" ht="28.5" customHeight="1">
      <c r="A168">
        <v>2012</v>
      </c>
      <c r="B168">
        <v>7</v>
      </c>
      <c r="C168">
        <v>1</v>
      </c>
      <c r="D168" t="s">
        <v>82</v>
      </c>
      <c r="E168" t="str">
        <f t="shared" si="8"/>
        <v>2012-Q7-1</v>
      </c>
      <c r="F168">
        <f t="shared" si="9"/>
        <v>1</v>
      </c>
      <c r="G168" t="s">
        <v>20</v>
      </c>
      <c r="H168">
        <f t="shared" si="10"/>
        <v>1</v>
      </c>
      <c r="I168" s="5">
        <f t="shared" si="11"/>
        <v>1</v>
      </c>
      <c r="J168" s="2" t="s">
        <v>398</v>
      </c>
      <c r="K168" s="2" t="s">
        <v>399</v>
      </c>
    </row>
    <row r="169" spans="1:11" ht="28.5" customHeight="1">
      <c r="A169">
        <v>2012</v>
      </c>
      <c r="B169">
        <v>7</v>
      </c>
      <c r="C169">
        <v>2</v>
      </c>
      <c r="D169" t="s">
        <v>82</v>
      </c>
      <c r="E169" t="str">
        <f t="shared" si="8"/>
        <v>2012-Q7-2</v>
      </c>
      <c r="F169">
        <f t="shared" si="9"/>
        <v>1</v>
      </c>
      <c r="G169" t="s">
        <v>20</v>
      </c>
      <c r="H169">
        <f t="shared" si="10"/>
        <v>1</v>
      </c>
      <c r="I169" s="5">
        <f t="shared" si="11"/>
        <v>1</v>
      </c>
      <c r="J169" s="2" t="s">
        <v>400</v>
      </c>
      <c r="K169" s="2" t="s">
        <v>401</v>
      </c>
    </row>
    <row r="170" spans="1:11" ht="28.5" customHeight="1">
      <c r="A170">
        <v>2012</v>
      </c>
      <c r="B170">
        <v>7</v>
      </c>
      <c r="C170">
        <v>3</v>
      </c>
      <c r="D170" t="s">
        <v>82</v>
      </c>
      <c r="E170" t="str">
        <f t="shared" si="8"/>
        <v>2012-Q7-3</v>
      </c>
      <c r="F170">
        <f t="shared" si="9"/>
        <v>1</v>
      </c>
      <c r="G170" t="s">
        <v>20</v>
      </c>
      <c r="H170">
        <f t="shared" si="10"/>
        <v>1</v>
      </c>
      <c r="I170" s="5">
        <f t="shared" si="11"/>
        <v>1</v>
      </c>
      <c r="J170" s="2" t="s">
        <v>402</v>
      </c>
      <c r="K170" s="2" t="s">
        <v>403</v>
      </c>
    </row>
    <row r="171" spans="1:11" ht="28.5" customHeight="1">
      <c r="A171">
        <v>2012</v>
      </c>
      <c r="B171">
        <v>7</v>
      </c>
      <c r="C171">
        <v>4</v>
      </c>
      <c r="D171" t="s">
        <v>82</v>
      </c>
      <c r="E171" t="str">
        <f t="shared" si="8"/>
        <v>2012-Q7-4</v>
      </c>
      <c r="F171">
        <f t="shared" si="9"/>
        <v>1</v>
      </c>
      <c r="G171" t="s">
        <v>20</v>
      </c>
      <c r="H171">
        <f t="shared" si="10"/>
        <v>1</v>
      </c>
      <c r="I171" s="5">
        <f t="shared" si="11"/>
        <v>1</v>
      </c>
      <c r="J171" s="2" t="s">
        <v>404</v>
      </c>
      <c r="K171" s="2" t="s">
        <v>405</v>
      </c>
    </row>
    <row r="172" spans="1:11" ht="28.5" customHeight="1">
      <c r="A172">
        <v>2012</v>
      </c>
      <c r="B172">
        <v>8</v>
      </c>
      <c r="C172">
        <v>0</v>
      </c>
      <c r="D172" t="s">
        <v>82</v>
      </c>
      <c r="E172" t="str">
        <f t="shared" si="8"/>
        <v>2012-Q8-0</v>
      </c>
      <c r="F172">
        <f t="shared" si="9"/>
        <v>1</v>
      </c>
      <c r="G172" t="s">
        <v>29</v>
      </c>
      <c r="H172">
        <f t="shared" si="10"/>
        <v>1</v>
      </c>
      <c r="I172" s="5">
        <f t="shared" si="11"/>
        <v>1</v>
      </c>
      <c r="J172" s="2" t="s">
        <v>406</v>
      </c>
      <c r="K172" s="2" t="s">
        <v>407</v>
      </c>
    </row>
    <row r="173" spans="1:11" ht="28.5" customHeight="1">
      <c r="A173">
        <v>2012</v>
      </c>
      <c r="B173">
        <v>8</v>
      </c>
      <c r="C173">
        <v>1</v>
      </c>
      <c r="D173" t="s">
        <v>82</v>
      </c>
      <c r="E173" t="str">
        <f t="shared" si="8"/>
        <v>2012-Q8-1</v>
      </c>
      <c r="F173">
        <f t="shared" si="9"/>
        <v>1</v>
      </c>
      <c r="G173" t="s">
        <v>35</v>
      </c>
      <c r="H173">
        <f t="shared" si="10"/>
        <v>1</v>
      </c>
      <c r="I173" s="5">
        <f t="shared" si="11"/>
        <v>1</v>
      </c>
      <c r="J173" s="2" t="s">
        <v>408</v>
      </c>
      <c r="K173" s="2" t="s">
        <v>409</v>
      </c>
    </row>
    <row r="174" spans="1:11" ht="28.5" customHeight="1">
      <c r="A174">
        <v>2012</v>
      </c>
      <c r="B174">
        <v>8</v>
      </c>
      <c r="C174">
        <v>2</v>
      </c>
      <c r="D174" t="s">
        <v>82</v>
      </c>
      <c r="E174" t="str">
        <f t="shared" si="8"/>
        <v>2012-Q8-2</v>
      </c>
      <c r="F174">
        <f t="shared" si="9"/>
        <v>1</v>
      </c>
      <c r="G174" t="s">
        <v>35</v>
      </c>
      <c r="H174">
        <f t="shared" si="10"/>
        <v>1</v>
      </c>
      <c r="I174" s="5">
        <f t="shared" si="11"/>
        <v>1</v>
      </c>
      <c r="J174" s="2" t="s">
        <v>410</v>
      </c>
      <c r="K174" s="2" t="s">
        <v>411</v>
      </c>
    </row>
    <row r="175" spans="1:11" ht="28.5" customHeight="1">
      <c r="A175">
        <v>2012</v>
      </c>
      <c r="B175">
        <v>8</v>
      </c>
      <c r="C175">
        <v>3</v>
      </c>
      <c r="D175" t="s">
        <v>82</v>
      </c>
      <c r="E175" t="str">
        <f t="shared" si="8"/>
        <v>2012-Q8-3</v>
      </c>
      <c r="F175">
        <f t="shared" si="9"/>
        <v>1</v>
      </c>
      <c r="G175" t="s">
        <v>35</v>
      </c>
      <c r="H175">
        <f t="shared" si="10"/>
        <v>1</v>
      </c>
      <c r="I175" s="5">
        <f t="shared" si="11"/>
        <v>1</v>
      </c>
      <c r="J175" s="2" t="s">
        <v>412</v>
      </c>
      <c r="K175" s="2" t="s">
        <v>413</v>
      </c>
    </row>
    <row r="176" spans="1:11" ht="28.5" customHeight="1">
      <c r="A176">
        <v>2012</v>
      </c>
      <c r="B176">
        <v>8</v>
      </c>
      <c r="C176">
        <v>4</v>
      </c>
      <c r="D176" t="s">
        <v>82</v>
      </c>
      <c r="E176" t="str">
        <f t="shared" si="8"/>
        <v>2012-Q8-4</v>
      </c>
      <c r="F176">
        <f t="shared" si="9"/>
        <v>1</v>
      </c>
      <c r="G176" t="s">
        <v>35</v>
      </c>
      <c r="H176">
        <f t="shared" si="10"/>
        <v>1</v>
      </c>
      <c r="I176" s="5">
        <f t="shared" si="11"/>
        <v>1</v>
      </c>
      <c r="J176" s="2" t="s">
        <v>414</v>
      </c>
      <c r="K176" s="2" t="s">
        <v>415</v>
      </c>
    </row>
    <row r="177" spans="1:11" ht="28.5" customHeight="1">
      <c r="A177">
        <v>2012</v>
      </c>
      <c r="B177">
        <v>9</v>
      </c>
      <c r="C177">
        <v>0</v>
      </c>
      <c r="D177" t="s">
        <v>82</v>
      </c>
      <c r="E177" t="str">
        <f t="shared" si="8"/>
        <v>2012-Q9-0</v>
      </c>
      <c r="F177">
        <f t="shared" si="9"/>
        <v>1</v>
      </c>
      <c r="G177" t="s">
        <v>26</v>
      </c>
      <c r="H177">
        <f t="shared" si="10"/>
        <v>1</v>
      </c>
      <c r="I177" s="5">
        <f t="shared" si="11"/>
        <v>1</v>
      </c>
      <c r="J177" s="2" t="s">
        <v>416</v>
      </c>
      <c r="K177" s="2" t="s">
        <v>417</v>
      </c>
    </row>
    <row r="178" spans="1:11" ht="28.5" customHeight="1">
      <c r="A178">
        <v>2012</v>
      </c>
      <c r="B178">
        <v>9</v>
      </c>
      <c r="C178">
        <v>1</v>
      </c>
      <c r="D178" t="s">
        <v>82</v>
      </c>
      <c r="E178" t="str">
        <f t="shared" si="8"/>
        <v>2012-Q9-1</v>
      </c>
      <c r="F178">
        <f t="shared" si="9"/>
        <v>1</v>
      </c>
      <c r="G178" t="s">
        <v>54</v>
      </c>
      <c r="H178">
        <f t="shared" si="10"/>
        <v>1</v>
      </c>
      <c r="I178" s="5">
        <f t="shared" si="11"/>
        <v>1</v>
      </c>
      <c r="J178" s="2" t="s">
        <v>418</v>
      </c>
      <c r="K178" s="2" t="s">
        <v>419</v>
      </c>
    </row>
    <row r="179" spans="1:11" ht="28.5" customHeight="1">
      <c r="A179">
        <v>2012</v>
      </c>
      <c r="B179">
        <v>9</v>
      </c>
      <c r="C179">
        <v>2</v>
      </c>
      <c r="D179" t="s">
        <v>82</v>
      </c>
      <c r="E179" t="str">
        <f t="shared" si="8"/>
        <v>2012-Q9-2</v>
      </c>
      <c r="F179">
        <f t="shared" si="9"/>
        <v>1</v>
      </c>
      <c r="G179" t="s">
        <v>26</v>
      </c>
      <c r="H179">
        <f t="shared" si="10"/>
        <v>1</v>
      </c>
      <c r="I179" s="5">
        <f t="shared" si="11"/>
        <v>1</v>
      </c>
      <c r="J179" s="2" t="s">
        <v>420</v>
      </c>
      <c r="K179" s="2" t="s">
        <v>421</v>
      </c>
    </row>
    <row r="180" spans="1:11" ht="28.5" customHeight="1">
      <c r="A180">
        <v>2012</v>
      </c>
      <c r="B180">
        <v>9</v>
      </c>
      <c r="C180">
        <v>3</v>
      </c>
      <c r="D180" t="s">
        <v>82</v>
      </c>
      <c r="E180" t="str">
        <f t="shared" si="8"/>
        <v>2012-Q9-3</v>
      </c>
      <c r="F180">
        <f t="shared" si="9"/>
        <v>1</v>
      </c>
      <c r="G180" t="s">
        <v>26</v>
      </c>
      <c r="H180">
        <f t="shared" si="10"/>
        <v>1</v>
      </c>
      <c r="I180" s="5">
        <f t="shared" si="11"/>
        <v>1</v>
      </c>
      <c r="J180" s="2" t="s">
        <v>422</v>
      </c>
      <c r="K180" s="2" t="s">
        <v>423</v>
      </c>
    </row>
    <row r="181" spans="1:11" ht="28.5" customHeight="1">
      <c r="A181">
        <v>2012</v>
      </c>
      <c r="B181">
        <v>9</v>
      </c>
      <c r="C181">
        <v>4</v>
      </c>
      <c r="D181" t="s">
        <v>82</v>
      </c>
      <c r="E181" t="str">
        <f t="shared" si="8"/>
        <v>2012-Q9-4</v>
      </c>
      <c r="F181">
        <f t="shared" si="9"/>
        <v>1</v>
      </c>
      <c r="G181" t="s">
        <v>26</v>
      </c>
      <c r="H181">
        <f t="shared" si="10"/>
        <v>1</v>
      </c>
      <c r="I181" s="5">
        <f t="shared" si="11"/>
        <v>1</v>
      </c>
      <c r="J181" s="2" t="s">
        <v>424</v>
      </c>
      <c r="K181" s="2" t="s">
        <v>425</v>
      </c>
    </row>
    <row r="182" spans="1:11" ht="28.5" customHeight="1">
      <c r="A182">
        <v>2012</v>
      </c>
      <c r="B182">
        <v>10</v>
      </c>
      <c r="C182">
        <v>0</v>
      </c>
      <c r="D182" t="s">
        <v>82</v>
      </c>
      <c r="E182" t="str">
        <f t="shared" si="8"/>
        <v>2012-Q10-0</v>
      </c>
      <c r="F182">
        <f t="shared" si="9"/>
        <v>1</v>
      </c>
      <c r="G182" t="s">
        <v>23</v>
      </c>
      <c r="H182">
        <f t="shared" si="10"/>
        <v>1</v>
      </c>
      <c r="I182" s="5">
        <f t="shared" si="11"/>
        <v>1</v>
      </c>
      <c r="J182" s="2" t="s">
        <v>426</v>
      </c>
      <c r="K182" s="2" t="s">
        <v>427</v>
      </c>
    </row>
    <row r="183" spans="1:11" ht="28.5" customHeight="1">
      <c r="A183">
        <v>2012</v>
      </c>
      <c r="B183">
        <v>10</v>
      </c>
      <c r="C183">
        <v>1</v>
      </c>
      <c r="D183" t="s">
        <v>82</v>
      </c>
      <c r="E183" t="str">
        <f t="shared" si="8"/>
        <v>2012-Q10-1</v>
      </c>
      <c r="F183">
        <f t="shared" si="9"/>
        <v>1</v>
      </c>
      <c r="G183" t="s">
        <v>23</v>
      </c>
      <c r="H183">
        <f t="shared" si="10"/>
        <v>1</v>
      </c>
      <c r="I183" s="5">
        <f t="shared" si="11"/>
        <v>1</v>
      </c>
      <c r="J183" s="2" t="s">
        <v>428</v>
      </c>
      <c r="K183" s="2" t="s">
        <v>429</v>
      </c>
    </row>
    <row r="184" spans="1:11" ht="28.5" customHeight="1">
      <c r="A184">
        <v>2012</v>
      </c>
      <c r="B184">
        <v>10</v>
      </c>
      <c r="C184">
        <v>2</v>
      </c>
      <c r="D184" t="s">
        <v>82</v>
      </c>
      <c r="E184" t="str">
        <f t="shared" si="8"/>
        <v>2012-Q10-2</v>
      </c>
      <c r="F184">
        <f t="shared" si="9"/>
        <v>1</v>
      </c>
      <c r="G184" t="s">
        <v>23</v>
      </c>
      <c r="H184">
        <f t="shared" si="10"/>
        <v>1</v>
      </c>
      <c r="I184" s="5">
        <f t="shared" si="11"/>
        <v>1</v>
      </c>
      <c r="J184" s="2" t="s">
        <v>430</v>
      </c>
      <c r="K184" s="2" t="s">
        <v>431</v>
      </c>
    </row>
    <row r="185" spans="1:11" ht="28.5" customHeight="1">
      <c r="A185">
        <v>2012</v>
      </c>
      <c r="B185">
        <v>10</v>
      </c>
      <c r="C185">
        <v>3</v>
      </c>
      <c r="D185" t="s">
        <v>82</v>
      </c>
      <c r="E185" t="str">
        <f t="shared" si="8"/>
        <v>2012-Q10-3</v>
      </c>
      <c r="F185">
        <f t="shared" si="9"/>
        <v>1</v>
      </c>
      <c r="G185" t="s">
        <v>23</v>
      </c>
      <c r="H185">
        <f t="shared" si="10"/>
        <v>1</v>
      </c>
      <c r="I185" s="5">
        <f t="shared" si="11"/>
        <v>1</v>
      </c>
      <c r="J185" s="2" t="s">
        <v>432</v>
      </c>
      <c r="K185" s="2" t="s">
        <v>433</v>
      </c>
    </row>
    <row r="186" spans="1:11" ht="28.5" customHeight="1">
      <c r="A186">
        <v>2012</v>
      </c>
      <c r="B186">
        <v>10</v>
      </c>
      <c r="C186">
        <v>4</v>
      </c>
      <c r="D186" t="s">
        <v>82</v>
      </c>
      <c r="E186" t="str">
        <f t="shared" si="8"/>
        <v>2012-Q10-4</v>
      </c>
      <c r="F186">
        <f t="shared" si="9"/>
        <v>1</v>
      </c>
      <c r="G186" t="s">
        <v>23</v>
      </c>
      <c r="H186">
        <f t="shared" si="10"/>
        <v>1</v>
      </c>
      <c r="I186" s="5">
        <f t="shared" si="11"/>
        <v>1</v>
      </c>
      <c r="J186" s="2" t="s">
        <v>434</v>
      </c>
      <c r="K186" s="2" t="s">
        <v>435</v>
      </c>
    </row>
    <row r="187" spans="1:11" ht="28.5" customHeight="1">
      <c r="A187">
        <v>2012</v>
      </c>
      <c r="B187">
        <v>11</v>
      </c>
      <c r="C187">
        <v>0</v>
      </c>
      <c r="D187" t="s">
        <v>82</v>
      </c>
      <c r="E187" t="str">
        <f t="shared" si="8"/>
        <v>2012-Q11-0</v>
      </c>
      <c r="F187">
        <f t="shared" si="9"/>
        <v>1</v>
      </c>
      <c r="G187" t="s">
        <v>41</v>
      </c>
      <c r="H187">
        <f t="shared" si="10"/>
        <v>1</v>
      </c>
      <c r="I187" s="5">
        <f t="shared" si="11"/>
        <v>1</v>
      </c>
      <c r="J187" s="2" t="s">
        <v>436</v>
      </c>
      <c r="K187" s="2" t="s">
        <v>437</v>
      </c>
    </row>
    <row r="188" spans="1:11" ht="28.5" customHeight="1">
      <c r="A188">
        <v>2012</v>
      </c>
      <c r="B188">
        <v>11</v>
      </c>
      <c r="C188">
        <v>1</v>
      </c>
      <c r="D188" t="s">
        <v>82</v>
      </c>
      <c r="E188" t="str">
        <f t="shared" si="8"/>
        <v>2012-Q11-1</v>
      </c>
      <c r="F188">
        <f t="shared" si="9"/>
        <v>1</v>
      </c>
      <c r="G188" t="s">
        <v>41</v>
      </c>
      <c r="H188">
        <f t="shared" si="10"/>
        <v>1</v>
      </c>
      <c r="I188" s="5">
        <f t="shared" si="11"/>
        <v>1</v>
      </c>
      <c r="J188" s="2" t="s">
        <v>438</v>
      </c>
      <c r="K188" s="2" t="s">
        <v>439</v>
      </c>
    </row>
    <row r="189" spans="1:11" ht="28.5" customHeight="1">
      <c r="A189">
        <v>2012</v>
      </c>
      <c r="B189">
        <v>11</v>
      </c>
      <c r="C189">
        <v>2</v>
      </c>
      <c r="D189" t="s">
        <v>82</v>
      </c>
      <c r="E189" t="str">
        <f t="shared" si="8"/>
        <v>2012-Q11-2</v>
      </c>
      <c r="F189">
        <f t="shared" si="9"/>
        <v>1</v>
      </c>
      <c r="G189" t="s">
        <v>41</v>
      </c>
      <c r="H189">
        <f t="shared" si="10"/>
        <v>1</v>
      </c>
      <c r="I189" s="5">
        <f t="shared" si="11"/>
        <v>1</v>
      </c>
      <c r="J189" s="2" t="s">
        <v>440</v>
      </c>
      <c r="K189" s="2" t="s">
        <v>441</v>
      </c>
    </row>
    <row r="190" spans="1:11" ht="28.5" customHeight="1">
      <c r="A190">
        <v>2012</v>
      </c>
      <c r="B190">
        <v>11</v>
      </c>
      <c r="C190">
        <v>3</v>
      </c>
      <c r="D190" t="s">
        <v>82</v>
      </c>
      <c r="E190" t="str">
        <f t="shared" si="8"/>
        <v>2012-Q11-3</v>
      </c>
      <c r="F190">
        <f t="shared" si="9"/>
        <v>1</v>
      </c>
      <c r="G190" t="s">
        <v>41</v>
      </c>
      <c r="H190">
        <f t="shared" si="10"/>
        <v>1</v>
      </c>
      <c r="I190" s="5">
        <f t="shared" si="11"/>
        <v>1</v>
      </c>
      <c r="J190" s="2" t="s">
        <v>442</v>
      </c>
      <c r="K190" s="2" t="s">
        <v>443</v>
      </c>
    </row>
    <row r="191" spans="1:11" ht="28.5" customHeight="1">
      <c r="A191">
        <v>2012</v>
      </c>
      <c r="B191">
        <v>11</v>
      </c>
      <c r="C191">
        <v>4</v>
      </c>
      <c r="D191" t="s">
        <v>82</v>
      </c>
      <c r="E191" t="str">
        <f t="shared" si="8"/>
        <v>2012-Q11-4</v>
      </c>
      <c r="F191">
        <f t="shared" si="9"/>
        <v>1</v>
      </c>
      <c r="G191" t="s">
        <v>41</v>
      </c>
      <c r="H191">
        <f t="shared" si="10"/>
        <v>1</v>
      </c>
      <c r="I191" s="5">
        <f t="shared" si="11"/>
        <v>1</v>
      </c>
      <c r="J191" s="2" t="s">
        <v>444</v>
      </c>
      <c r="K191" s="2" t="s">
        <v>445</v>
      </c>
    </row>
    <row r="192" spans="1:11" ht="28.5" customHeight="1">
      <c r="A192">
        <v>2012</v>
      </c>
      <c r="B192">
        <v>12</v>
      </c>
      <c r="C192">
        <v>0</v>
      </c>
      <c r="D192" t="s">
        <v>82</v>
      </c>
      <c r="E192" t="str">
        <f t="shared" si="8"/>
        <v>2012-Q12-0</v>
      </c>
      <c r="F192">
        <f t="shared" si="9"/>
        <v>1</v>
      </c>
      <c r="G192" t="s">
        <v>32</v>
      </c>
      <c r="H192">
        <f t="shared" si="10"/>
        <v>1</v>
      </c>
      <c r="I192" s="5">
        <f t="shared" si="11"/>
        <v>1</v>
      </c>
      <c r="J192" s="2" t="s">
        <v>446</v>
      </c>
      <c r="K192" s="2" t="s">
        <v>447</v>
      </c>
    </row>
    <row r="193" spans="1:11" ht="28.5" customHeight="1">
      <c r="A193">
        <v>2012</v>
      </c>
      <c r="B193">
        <v>12</v>
      </c>
      <c r="C193">
        <v>1</v>
      </c>
      <c r="D193" t="s">
        <v>82</v>
      </c>
      <c r="E193" t="str">
        <f t="shared" si="8"/>
        <v>2012-Q12-1</v>
      </c>
      <c r="F193">
        <f t="shared" si="9"/>
        <v>1</v>
      </c>
      <c r="G193" t="s">
        <v>32</v>
      </c>
      <c r="H193">
        <f t="shared" si="10"/>
        <v>1</v>
      </c>
      <c r="I193" s="5">
        <f t="shared" si="11"/>
        <v>1</v>
      </c>
      <c r="J193" s="2" t="s">
        <v>448</v>
      </c>
      <c r="K193" s="2" t="s">
        <v>449</v>
      </c>
    </row>
    <row r="194" spans="1:11" ht="28.5" customHeight="1">
      <c r="A194">
        <v>2012</v>
      </c>
      <c r="B194">
        <v>12</v>
      </c>
      <c r="C194">
        <v>2</v>
      </c>
      <c r="D194" t="s">
        <v>82</v>
      </c>
      <c r="E194" t="str">
        <f t="shared" si="8"/>
        <v>2012-Q12-2</v>
      </c>
      <c r="F194">
        <f t="shared" si="9"/>
        <v>1</v>
      </c>
      <c r="G194" t="s">
        <v>32</v>
      </c>
      <c r="H194">
        <f t="shared" si="10"/>
        <v>1</v>
      </c>
      <c r="I194" s="5">
        <f t="shared" si="11"/>
        <v>1</v>
      </c>
      <c r="J194" s="2" t="s">
        <v>450</v>
      </c>
      <c r="K194" s="2" t="s">
        <v>451</v>
      </c>
    </row>
    <row r="195" spans="1:11" ht="28.5" customHeight="1">
      <c r="A195">
        <v>2012</v>
      </c>
      <c r="B195">
        <v>12</v>
      </c>
      <c r="C195">
        <v>3</v>
      </c>
      <c r="D195" t="s">
        <v>82</v>
      </c>
      <c r="E195" t="str">
        <f t="shared" si="8"/>
        <v>2012-Q12-3</v>
      </c>
      <c r="F195">
        <f t="shared" si="9"/>
        <v>1</v>
      </c>
      <c r="G195" t="s">
        <v>32</v>
      </c>
      <c r="H195">
        <f t="shared" si="10"/>
        <v>1</v>
      </c>
      <c r="I195" s="5">
        <f t="shared" si="11"/>
        <v>1</v>
      </c>
      <c r="J195" s="2" t="s">
        <v>452</v>
      </c>
      <c r="K195" s="2" t="s">
        <v>453</v>
      </c>
    </row>
    <row r="196" spans="1:11" ht="28.5" customHeight="1">
      <c r="A196">
        <v>2012</v>
      </c>
      <c r="B196">
        <v>12</v>
      </c>
      <c r="C196">
        <v>4</v>
      </c>
      <c r="D196" t="s">
        <v>82</v>
      </c>
      <c r="E196" t="str">
        <f t="shared" si="8"/>
        <v>2012-Q12-4</v>
      </c>
      <c r="F196">
        <f t="shared" si="9"/>
        <v>1</v>
      </c>
      <c r="G196" t="s">
        <v>32</v>
      </c>
      <c r="H196">
        <f t="shared" si="10"/>
        <v>2</v>
      </c>
      <c r="I196" s="5">
        <f t="shared" si="11"/>
        <v>0.5</v>
      </c>
      <c r="J196" s="2" t="s">
        <v>454</v>
      </c>
      <c r="K196" s="2" t="s">
        <v>455</v>
      </c>
    </row>
    <row r="197" spans="1:11" ht="28.5" customHeight="1">
      <c r="A197">
        <v>2012</v>
      </c>
      <c r="B197">
        <v>12</v>
      </c>
      <c r="C197">
        <v>4</v>
      </c>
      <c r="D197" t="s">
        <v>82</v>
      </c>
      <c r="E197" t="str">
        <f t="shared" ref="E197:E260" si="12">IF(A197="","",TEXT(A197,"0")&amp;"-Q"&amp;TEXT(B197,"0")&amp;"-"&amp;IF(C197="","ABERTA",C197))</f>
        <v>2012-Q12-4</v>
      </c>
      <c r="F197">
        <f t="shared" ref="F197:F260" si="13">IF(D197="V/F",1,IF(D197="Aberta/numérica",5,""))</f>
        <v>1</v>
      </c>
      <c r="G197" t="s">
        <v>35</v>
      </c>
      <c r="H197">
        <f t="shared" ref="H197:H260" si="14">IF(A197="","",IF(C197="",COUNTIFS($A$5:$A$1504,A197,$B$5:$B$1504,B197,$C$5:$C$1504,"",$D$5:$D$1504,D197),COUNTIFS($A$5:$A$1504,A197,$B$5:$B$1504,B197,$C$5:$C$1504,C197,$D$5:$D$1504,D197)))</f>
        <v>2</v>
      </c>
      <c r="I197" s="5">
        <f t="shared" ref="I197:I260" si="15">IF(OR(F197="",H197="",G197=""),"",F197/H197)</f>
        <v>0.5</v>
      </c>
      <c r="J197" s="2" t="s">
        <v>454</v>
      </c>
      <c r="K197" s="2" t="s">
        <v>455</v>
      </c>
    </row>
    <row r="198" spans="1:11" ht="28.5" customHeight="1">
      <c r="A198">
        <v>2012</v>
      </c>
      <c r="B198">
        <v>13</v>
      </c>
      <c r="C198">
        <v>0</v>
      </c>
      <c r="D198" t="s">
        <v>82</v>
      </c>
      <c r="E198" t="str">
        <f t="shared" si="12"/>
        <v>2012-Q13-0</v>
      </c>
      <c r="F198">
        <f t="shared" si="13"/>
        <v>1</v>
      </c>
      <c r="G198" t="s">
        <v>41</v>
      </c>
      <c r="H198">
        <f t="shared" si="14"/>
        <v>1</v>
      </c>
      <c r="I198" s="5">
        <f t="shared" si="15"/>
        <v>1</v>
      </c>
      <c r="J198" s="2" t="s">
        <v>456</v>
      </c>
      <c r="K198" s="2" t="s">
        <v>457</v>
      </c>
    </row>
    <row r="199" spans="1:11" ht="28.5" customHeight="1">
      <c r="A199">
        <v>2012</v>
      </c>
      <c r="B199">
        <v>13</v>
      </c>
      <c r="C199">
        <v>1</v>
      </c>
      <c r="D199" t="s">
        <v>82</v>
      </c>
      <c r="E199" t="str">
        <f t="shared" si="12"/>
        <v>2012-Q13-1</v>
      </c>
      <c r="F199">
        <f t="shared" si="13"/>
        <v>1</v>
      </c>
      <c r="G199" t="s">
        <v>41</v>
      </c>
      <c r="H199">
        <f t="shared" si="14"/>
        <v>1</v>
      </c>
      <c r="I199" s="5">
        <f t="shared" si="15"/>
        <v>1</v>
      </c>
      <c r="J199" s="2" t="s">
        <v>458</v>
      </c>
      <c r="K199" s="2" t="s">
        <v>459</v>
      </c>
    </row>
    <row r="200" spans="1:11" ht="28.5" customHeight="1">
      <c r="A200">
        <v>2012</v>
      </c>
      <c r="B200">
        <v>13</v>
      </c>
      <c r="C200">
        <v>2</v>
      </c>
      <c r="D200" t="s">
        <v>82</v>
      </c>
      <c r="E200" t="str">
        <f t="shared" si="12"/>
        <v>2012-Q13-2</v>
      </c>
      <c r="F200">
        <f t="shared" si="13"/>
        <v>1</v>
      </c>
      <c r="G200" t="s">
        <v>41</v>
      </c>
      <c r="H200">
        <f t="shared" si="14"/>
        <v>1</v>
      </c>
      <c r="I200" s="5">
        <f t="shared" si="15"/>
        <v>1</v>
      </c>
      <c r="J200" s="2" t="s">
        <v>460</v>
      </c>
      <c r="K200" s="2" t="s">
        <v>461</v>
      </c>
    </row>
    <row r="201" spans="1:11" ht="28.5" customHeight="1">
      <c r="A201">
        <v>2012</v>
      </c>
      <c r="B201">
        <v>13</v>
      </c>
      <c r="C201">
        <v>3</v>
      </c>
      <c r="D201" t="s">
        <v>82</v>
      </c>
      <c r="E201" t="str">
        <f t="shared" si="12"/>
        <v>2012-Q13-3</v>
      </c>
      <c r="F201">
        <f t="shared" si="13"/>
        <v>1</v>
      </c>
      <c r="G201" t="s">
        <v>41</v>
      </c>
      <c r="H201">
        <f t="shared" si="14"/>
        <v>1</v>
      </c>
      <c r="I201" s="5">
        <f t="shared" si="15"/>
        <v>1</v>
      </c>
      <c r="J201" s="2" t="s">
        <v>462</v>
      </c>
      <c r="K201" s="2" t="s">
        <v>463</v>
      </c>
    </row>
    <row r="202" spans="1:11" ht="28.5" customHeight="1">
      <c r="A202">
        <v>2012</v>
      </c>
      <c r="B202">
        <v>13</v>
      </c>
      <c r="C202">
        <v>4</v>
      </c>
      <c r="D202" t="s">
        <v>82</v>
      </c>
      <c r="E202" t="str">
        <f t="shared" si="12"/>
        <v>2012-Q13-4</v>
      </c>
      <c r="F202">
        <f t="shared" si="13"/>
        <v>1</v>
      </c>
      <c r="G202" t="s">
        <v>41</v>
      </c>
      <c r="H202">
        <f t="shared" si="14"/>
        <v>1</v>
      </c>
      <c r="I202" s="5">
        <f t="shared" si="15"/>
        <v>1</v>
      </c>
      <c r="J202" s="2" t="s">
        <v>464</v>
      </c>
      <c r="K202" s="2" t="s">
        <v>465</v>
      </c>
    </row>
    <row r="203" spans="1:11" ht="42.75" customHeight="1">
      <c r="A203">
        <v>2012</v>
      </c>
      <c r="B203">
        <v>14</v>
      </c>
      <c r="D203" t="s">
        <v>193</v>
      </c>
      <c r="E203" t="str">
        <f t="shared" si="12"/>
        <v>2012-Q14-ABERTA</v>
      </c>
      <c r="F203">
        <f t="shared" si="13"/>
        <v>5</v>
      </c>
      <c r="G203" t="s">
        <v>17</v>
      </c>
      <c r="H203">
        <f t="shared" si="14"/>
        <v>1</v>
      </c>
      <c r="I203" s="5">
        <f t="shared" si="15"/>
        <v>5</v>
      </c>
      <c r="J203" s="2" t="s">
        <v>466</v>
      </c>
      <c r="K203" s="2" t="s">
        <v>467</v>
      </c>
    </row>
    <row r="204" spans="1:11" ht="28.5" customHeight="1">
      <c r="A204">
        <v>2012</v>
      </c>
      <c r="B204">
        <v>15</v>
      </c>
      <c r="D204" t="s">
        <v>193</v>
      </c>
      <c r="E204" t="str">
        <f t="shared" si="12"/>
        <v>2012-Q15-ABERTA</v>
      </c>
      <c r="F204">
        <f t="shared" si="13"/>
        <v>5</v>
      </c>
      <c r="G204" t="s">
        <v>35</v>
      </c>
      <c r="H204">
        <f t="shared" si="14"/>
        <v>1</v>
      </c>
      <c r="I204" s="5">
        <f t="shared" si="15"/>
        <v>5</v>
      </c>
      <c r="J204" s="2" t="s">
        <v>468</v>
      </c>
      <c r="K204" s="2" t="s">
        <v>469</v>
      </c>
    </row>
    <row r="205" spans="1:11" ht="28.5" customHeight="1">
      <c r="A205">
        <v>2013</v>
      </c>
      <c r="B205">
        <v>1</v>
      </c>
      <c r="C205">
        <v>0</v>
      </c>
      <c r="D205" t="s">
        <v>82</v>
      </c>
      <c r="E205" t="str">
        <f t="shared" si="12"/>
        <v>2013-Q1-0</v>
      </c>
      <c r="F205">
        <f t="shared" si="13"/>
        <v>1</v>
      </c>
      <c r="G205" t="s">
        <v>20</v>
      </c>
      <c r="H205">
        <f t="shared" si="14"/>
        <v>1</v>
      </c>
      <c r="I205" s="5">
        <f t="shared" si="15"/>
        <v>1</v>
      </c>
      <c r="J205" s="2" t="s">
        <v>470</v>
      </c>
      <c r="K205" s="2" t="s">
        <v>471</v>
      </c>
    </row>
    <row r="206" spans="1:11" ht="28.5" customHeight="1">
      <c r="A206">
        <v>2013</v>
      </c>
      <c r="B206">
        <v>1</v>
      </c>
      <c r="C206">
        <v>1</v>
      </c>
      <c r="D206" t="s">
        <v>82</v>
      </c>
      <c r="E206" t="str">
        <f t="shared" si="12"/>
        <v>2013-Q1-1</v>
      </c>
      <c r="F206">
        <f t="shared" si="13"/>
        <v>1</v>
      </c>
      <c r="G206" t="s">
        <v>20</v>
      </c>
      <c r="H206">
        <f t="shared" si="14"/>
        <v>1</v>
      </c>
      <c r="I206" s="5">
        <f t="shared" si="15"/>
        <v>1</v>
      </c>
      <c r="J206" s="2" t="s">
        <v>472</v>
      </c>
      <c r="K206" s="2" t="s">
        <v>473</v>
      </c>
    </row>
    <row r="207" spans="1:11" ht="28.5" customHeight="1">
      <c r="A207">
        <v>2013</v>
      </c>
      <c r="B207">
        <v>1</v>
      </c>
      <c r="C207">
        <v>2</v>
      </c>
      <c r="D207" t="s">
        <v>82</v>
      </c>
      <c r="E207" t="str">
        <f t="shared" si="12"/>
        <v>2013-Q1-2</v>
      </c>
      <c r="F207">
        <f t="shared" si="13"/>
        <v>1</v>
      </c>
      <c r="G207" t="s">
        <v>20</v>
      </c>
      <c r="H207">
        <f t="shared" si="14"/>
        <v>1</v>
      </c>
      <c r="I207" s="5">
        <f t="shared" si="15"/>
        <v>1</v>
      </c>
      <c r="J207" s="2" t="s">
        <v>474</v>
      </c>
      <c r="K207" s="2" t="s">
        <v>475</v>
      </c>
    </row>
    <row r="208" spans="1:11">
      <c r="A208">
        <v>2013</v>
      </c>
      <c r="B208">
        <v>1</v>
      </c>
      <c r="C208">
        <v>3</v>
      </c>
      <c r="D208" t="s">
        <v>82</v>
      </c>
      <c r="E208" t="str">
        <f t="shared" si="12"/>
        <v>2013-Q1-3</v>
      </c>
      <c r="F208">
        <f t="shared" si="13"/>
        <v>1</v>
      </c>
      <c r="G208" t="s">
        <v>20</v>
      </c>
      <c r="H208">
        <f t="shared" si="14"/>
        <v>1</v>
      </c>
      <c r="I208" s="5">
        <f t="shared" si="15"/>
        <v>1</v>
      </c>
      <c r="J208" s="2" t="s">
        <v>476</v>
      </c>
      <c r="K208" s="2" t="s">
        <v>477</v>
      </c>
    </row>
    <row r="209" spans="1:11">
      <c r="A209">
        <v>2013</v>
      </c>
      <c r="B209">
        <v>1</v>
      </c>
      <c r="C209">
        <v>4</v>
      </c>
      <c r="D209" t="s">
        <v>82</v>
      </c>
      <c r="E209" t="str">
        <f t="shared" si="12"/>
        <v>2013-Q1-4</v>
      </c>
      <c r="F209">
        <f t="shared" si="13"/>
        <v>1</v>
      </c>
      <c r="G209" t="s">
        <v>20</v>
      </c>
      <c r="H209">
        <f t="shared" si="14"/>
        <v>1</v>
      </c>
      <c r="I209" s="5">
        <f t="shared" si="15"/>
        <v>1</v>
      </c>
      <c r="J209" s="2" t="s">
        <v>478</v>
      </c>
      <c r="K209" s="2" t="s">
        <v>479</v>
      </c>
    </row>
    <row r="210" spans="1:11" ht="28.5" customHeight="1">
      <c r="A210">
        <v>2013</v>
      </c>
      <c r="B210">
        <v>2</v>
      </c>
      <c r="C210">
        <v>0</v>
      </c>
      <c r="D210" t="s">
        <v>82</v>
      </c>
      <c r="E210" t="str">
        <f t="shared" si="12"/>
        <v>2013-Q2-0</v>
      </c>
      <c r="F210">
        <f t="shared" si="13"/>
        <v>1</v>
      </c>
      <c r="G210" t="s">
        <v>26</v>
      </c>
      <c r="H210">
        <f t="shared" si="14"/>
        <v>1</v>
      </c>
      <c r="I210" s="5">
        <f t="shared" si="15"/>
        <v>1</v>
      </c>
      <c r="J210" s="2" t="s">
        <v>480</v>
      </c>
      <c r="K210" s="2" t="s">
        <v>481</v>
      </c>
    </row>
    <row r="211" spans="1:11">
      <c r="A211">
        <v>2013</v>
      </c>
      <c r="B211">
        <v>2</v>
      </c>
      <c r="C211">
        <v>1</v>
      </c>
      <c r="D211" t="s">
        <v>82</v>
      </c>
      <c r="E211" t="str">
        <f t="shared" si="12"/>
        <v>2013-Q2-1</v>
      </c>
      <c r="F211">
        <f t="shared" si="13"/>
        <v>1</v>
      </c>
      <c r="G211" t="s">
        <v>26</v>
      </c>
      <c r="H211">
        <f t="shared" si="14"/>
        <v>1</v>
      </c>
      <c r="I211" s="5">
        <f t="shared" si="15"/>
        <v>1</v>
      </c>
      <c r="J211" s="2" t="s">
        <v>482</v>
      </c>
      <c r="K211" s="2" t="s">
        <v>483</v>
      </c>
    </row>
    <row r="212" spans="1:11" ht="28.5" customHeight="1">
      <c r="A212">
        <v>2013</v>
      </c>
      <c r="B212">
        <v>2</v>
      </c>
      <c r="C212">
        <v>2</v>
      </c>
      <c r="D212" t="s">
        <v>82</v>
      </c>
      <c r="E212" t="str">
        <f t="shared" si="12"/>
        <v>2013-Q2-2</v>
      </c>
      <c r="F212">
        <f t="shared" si="13"/>
        <v>1</v>
      </c>
      <c r="G212" t="s">
        <v>26</v>
      </c>
      <c r="H212">
        <f t="shared" si="14"/>
        <v>1</v>
      </c>
      <c r="I212" s="5">
        <f t="shared" si="15"/>
        <v>1</v>
      </c>
      <c r="J212" s="2" t="s">
        <v>484</v>
      </c>
      <c r="K212" s="2" t="s">
        <v>485</v>
      </c>
    </row>
    <row r="213" spans="1:11" ht="28.5" customHeight="1">
      <c r="A213">
        <v>2013</v>
      </c>
      <c r="B213">
        <v>2</v>
      </c>
      <c r="C213">
        <v>3</v>
      </c>
      <c r="D213" t="s">
        <v>82</v>
      </c>
      <c r="E213" t="str">
        <f t="shared" si="12"/>
        <v>2013-Q2-3</v>
      </c>
      <c r="F213">
        <f t="shared" si="13"/>
        <v>1</v>
      </c>
      <c r="G213" t="s">
        <v>26</v>
      </c>
      <c r="H213">
        <f t="shared" si="14"/>
        <v>1</v>
      </c>
      <c r="I213" s="5">
        <f t="shared" si="15"/>
        <v>1</v>
      </c>
      <c r="J213" s="2" t="s">
        <v>486</v>
      </c>
      <c r="K213" s="2" t="s">
        <v>487</v>
      </c>
    </row>
    <row r="214" spans="1:11">
      <c r="A214">
        <v>2013</v>
      </c>
      <c r="B214">
        <v>2</v>
      </c>
      <c r="C214">
        <v>4</v>
      </c>
      <c r="D214" t="s">
        <v>82</v>
      </c>
      <c r="E214" t="str">
        <f t="shared" si="12"/>
        <v>2013-Q2-4</v>
      </c>
      <c r="F214">
        <f t="shared" si="13"/>
        <v>1</v>
      </c>
      <c r="G214" t="s">
        <v>26</v>
      </c>
      <c r="H214">
        <f t="shared" si="14"/>
        <v>1</v>
      </c>
      <c r="I214" s="5">
        <f t="shared" si="15"/>
        <v>1</v>
      </c>
      <c r="J214" s="2" t="s">
        <v>488</v>
      </c>
      <c r="K214" s="2" t="s">
        <v>489</v>
      </c>
    </row>
    <row r="215" spans="1:11">
      <c r="A215">
        <v>2013</v>
      </c>
      <c r="B215">
        <v>3</v>
      </c>
      <c r="C215">
        <v>0</v>
      </c>
      <c r="D215" t="s">
        <v>82</v>
      </c>
      <c r="E215" t="str">
        <f t="shared" si="12"/>
        <v>2013-Q3-0</v>
      </c>
      <c r="F215">
        <f t="shared" si="13"/>
        <v>1</v>
      </c>
      <c r="G215" t="s">
        <v>50</v>
      </c>
      <c r="H215">
        <f t="shared" si="14"/>
        <v>1</v>
      </c>
      <c r="I215" s="5">
        <f t="shared" si="15"/>
        <v>1</v>
      </c>
      <c r="J215" s="2" t="s">
        <v>490</v>
      </c>
      <c r="K215" s="2" t="s">
        <v>491</v>
      </c>
    </row>
    <row r="216" spans="1:11" ht="28.5" customHeight="1">
      <c r="A216">
        <v>2013</v>
      </c>
      <c r="B216">
        <v>3</v>
      </c>
      <c r="C216">
        <v>1</v>
      </c>
      <c r="D216" t="s">
        <v>82</v>
      </c>
      <c r="E216" t="str">
        <f t="shared" si="12"/>
        <v>2013-Q3-1</v>
      </c>
      <c r="F216">
        <f t="shared" si="13"/>
        <v>1</v>
      </c>
      <c r="G216" t="s">
        <v>14</v>
      </c>
      <c r="H216">
        <f t="shared" si="14"/>
        <v>1</v>
      </c>
      <c r="I216" s="5">
        <f t="shared" si="15"/>
        <v>1</v>
      </c>
      <c r="J216" s="2" t="s">
        <v>492</v>
      </c>
      <c r="K216" s="2" t="s">
        <v>493</v>
      </c>
    </row>
    <row r="217" spans="1:11">
      <c r="A217">
        <v>2013</v>
      </c>
      <c r="B217">
        <v>3</v>
      </c>
      <c r="C217">
        <v>2</v>
      </c>
      <c r="D217" t="s">
        <v>82</v>
      </c>
      <c r="E217" t="str">
        <f t="shared" si="12"/>
        <v>2013-Q3-2</v>
      </c>
      <c r="F217">
        <f t="shared" si="13"/>
        <v>1</v>
      </c>
      <c r="G217" t="s">
        <v>44</v>
      </c>
      <c r="H217">
        <f t="shared" si="14"/>
        <v>1</v>
      </c>
      <c r="I217" s="5">
        <f t="shared" si="15"/>
        <v>1</v>
      </c>
      <c r="J217" s="2" t="s">
        <v>494</v>
      </c>
      <c r="K217" s="2" t="s">
        <v>495</v>
      </c>
    </row>
    <row r="218" spans="1:11" ht="28.5" customHeight="1">
      <c r="A218">
        <v>2013</v>
      </c>
      <c r="B218">
        <v>3</v>
      </c>
      <c r="C218">
        <v>3</v>
      </c>
      <c r="D218" t="s">
        <v>82</v>
      </c>
      <c r="E218" t="str">
        <f t="shared" si="12"/>
        <v>2013-Q3-3</v>
      </c>
      <c r="F218">
        <f t="shared" si="13"/>
        <v>1</v>
      </c>
      <c r="G218" t="s">
        <v>44</v>
      </c>
      <c r="H218">
        <f t="shared" si="14"/>
        <v>1</v>
      </c>
      <c r="I218" s="5">
        <f t="shared" si="15"/>
        <v>1</v>
      </c>
      <c r="J218" s="2" t="s">
        <v>496</v>
      </c>
      <c r="K218" s="2" t="s">
        <v>497</v>
      </c>
    </row>
    <row r="219" spans="1:11" ht="28.5" customHeight="1">
      <c r="A219">
        <v>2013</v>
      </c>
      <c r="B219">
        <v>3</v>
      </c>
      <c r="C219">
        <v>4</v>
      </c>
      <c r="D219" t="s">
        <v>82</v>
      </c>
      <c r="E219" t="str">
        <f t="shared" si="12"/>
        <v>2013-Q3-4</v>
      </c>
      <c r="F219">
        <f t="shared" si="13"/>
        <v>1</v>
      </c>
      <c r="G219" t="s">
        <v>50</v>
      </c>
      <c r="H219">
        <f t="shared" si="14"/>
        <v>1</v>
      </c>
      <c r="I219" s="5">
        <f t="shared" si="15"/>
        <v>1</v>
      </c>
      <c r="J219" s="2" t="s">
        <v>498</v>
      </c>
      <c r="K219" s="2" t="s">
        <v>499</v>
      </c>
    </row>
    <row r="220" spans="1:11" ht="28.5" customHeight="1">
      <c r="A220">
        <v>2013</v>
      </c>
      <c r="B220">
        <v>4</v>
      </c>
      <c r="C220">
        <v>0</v>
      </c>
      <c r="D220" t="s">
        <v>82</v>
      </c>
      <c r="E220" t="str">
        <f t="shared" si="12"/>
        <v>2013-Q4-0</v>
      </c>
      <c r="F220">
        <f t="shared" si="13"/>
        <v>1</v>
      </c>
      <c r="G220" t="s">
        <v>35</v>
      </c>
      <c r="H220">
        <f t="shared" si="14"/>
        <v>1</v>
      </c>
      <c r="I220" s="5">
        <f t="shared" si="15"/>
        <v>1</v>
      </c>
      <c r="J220" s="2" t="s">
        <v>500</v>
      </c>
      <c r="K220" s="2" t="s">
        <v>501</v>
      </c>
    </row>
    <row r="221" spans="1:11" ht="28.5" customHeight="1">
      <c r="A221">
        <v>2013</v>
      </c>
      <c r="B221">
        <v>4</v>
      </c>
      <c r="C221">
        <v>1</v>
      </c>
      <c r="D221" t="s">
        <v>82</v>
      </c>
      <c r="E221" t="str">
        <f t="shared" si="12"/>
        <v>2013-Q4-1</v>
      </c>
      <c r="F221">
        <f t="shared" si="13"/>
        <v>1</v>
      </c>
      <c r="G221" t="s">
        <v>38</v>
      </c>
      <c r="H221">
        <f t="shared" si="14"/>
        <v>1</v>
      </c>
      <c r="I221" s="5">
        <f t="shared" si="15"/>
        <v>1</v>
      </c>
      <c r="J221" s="2" t="s">
        <v>502</v>
      </c>
      <c r="K221" s="2" t="s">
        <v>503</v>
      </c>
    </row>
    <row r="222" spans="1:11" ht="28.5" customHeight="1">
      <c r="A222">
        <v>2013</v>
      </c>
      <c r="B222">
        <v>4</v>
      </c>
      <c r="C222">
        <v>2</v>
      </c>
      <c r="D222" t="s">
        <v>82</v>
      </c>
      <c r="E222" t="str">
        <f t="shared" si="12"/>
        <v>2013-Q4-2</v>
      </c>
      <c r="F222">
        <f t="shared" si="13"/>
        <v>1</v>
      </c>
      <c r="G222" t="s">
        <v>35</v>
      </c>
      <c r="H222">
        <f t="shared" si="14"/>
        <v>1</v>
      </c>
      <c r="I222" s="5">
        <f t="shared" si="15"/>
        <v>1</v>
      </c>
      <c r="J222" s="2" t="s">
        <v>504</v>
      </c>
      <c r="K222" s="2" t="s">
        <v>505</v>
      </c>
    </row>
    <row r="223" spans="1:11">
      <c r="A223">
        <v>2013</v>
      </c>
      <c r="B223">
        <v>4</v>
      </c>
      <c r="C223">
        <v>3</v>
      </c>
      <c r="D223" t="s">
        <v>82</v>
      </c>
      <c r="E223" t="str">
        <f t="shared" si="12"/>
        <v>2013-Q4-3</v>
      </c>
      <c r="F223">
        <f t="shared" si="13"/>
        <v>1</v>
      </c>
      <c r="G223" t="s">
        <v>32</v>
      </c>
      <c r="H223">
        <f t="shared" si="14"/>
        <v>1</v>
      </c>
      <c r="I223" s="5">
        <f t="shared" si="15"/>
        <v>1</v>
      </c>
      <c r="J223" s="2" t="s">
        <v>506</v>
      </c>
      <c r="K223" s="2" t="s">
        <v>507</v>
      </c>
    </row>
    <row r="224" spans="1:11">
      <c r="A224">
        <v>2013</v>
      </c>
      <c r="B224">
        <v>4</v>
      </c>
      <c r="C224">
        <v>4</v>
      </c>
      <c r="D224" t="s">
        <v>82</v>
      </c>
      <c r="E224" t="str">
        <f t="shared" si="12"/>
        <v>2013-Q4-4</v>
      </c>
      <c r="F224">
        <f t="shared" si="13"/>
        <v>1</v>
      </c>
      <c r="G224" t="s">
        <v>38</v>
      </c>
      <c r="H224">
        <f t="shared" si="14"/>
        <v>1</v>
      </c>
      <c r="I224" s="5">
        <f t="shared" si="15"/>
        <v>1</v>
      </c>
      <c r="J224" s="2" t="s">
        <v>508</v>
      </c>
      <c r="K224" s="2" t="s">
        <v>509</v>
      </c>
    </row>
    <row r="225" spans="1:11">
      <c r="A225">
        <v>2013</v>
      </c>
      <c r="B225">
        <v>5</v>
      </c>
      <c r="C225">
        <v>0</v>
      </c>
      <c r="D225" t="s">
        <v>82</v>
      </c>
      <c r="E225" t="str">
        <f t="shared" si="12"/>
        <v>2013-Q5-0</v>
      </c>
      <c r="F225">
        <f t="shared" si="13"/>
        <v>1</v>
      </c>
      <c r="G225" t="s">
        <v>41</v>
      </c>
      <c r="H225">
        <f t="shared" si="14"/>
        <v>1</v>
      </c>
      <c r="I225" s="5">
        <f t="shared" si="15"/>
        <v>1</v>
      </c>
      <c r="J225" s="2" t="s">
        <v>510</v>
      </c>
      <c r="K225" s="2" t="s">
        <v>511</v>
      </c>
    </row>
    <row r="226" spans="1:11" ht="28.5" customHeight="1">
      <c r="A226">
        <v>2013</v>
      </c>
      <c r="B226">
        <v>5</v>
      </c>
      <c r="C226">
        <v>1</v>
      </c>
      <c r="D226" t="s">
        <v>82</v>
      </c>
      <c r="E226" t="str">
        <f t="shared" si="12"/>
        <v>2013-Q5-1</v>
      </c>
      <c r="F226">
        <f t="shared" si="13"/>
        <v>1</v>
      </c>
      <c r="G226" t="s">
        <v>41</v>
      </c>
      <c r="H226">
        <f t="shared" si="14"/>
        <v>1</v>
      </c>
      <c r="I226" s="5">
        <f t="shared" si="15"/>
        <v>1</v>
      </c>
      <c r="J226" s="2" t="s">
        <v>512</v>
      </c>
      <c r="K226" s="2" t="s">
        <v>513</v>
      </c>
    </row>
    <row r="227" spans="1:11" ht="28.5" customHeight="1">
      <c r="A227">
        <v>2013</v>
      </c>
      <c r="B227">
        <v>5</v>
      </c>
      <c r="C227">
        <v>2</v>
      </c>
      <c r="D227" t="s">
        <v>82</v>
      </c>
      <c r="E227" t="str">
        <f t="shared" si="12"/>
        <v>2013-Q5-2</v>
      </c>
      <c r="F227">
        <f t="shared" si="13"/>
        <v>1</v>
      </c>
      <c r="G227" t="s">
        <v>41</v>
      </c>
      <c r="H227">
        <f t="shared" si="14"/>
        <v>1</v>
      </c>
      <c r="I227" s="5">
        <f t="shared" si="15"/>
        <v>1</v>
      </c>
      <c r="J227" s="2" t="s">
        <v>514</v>
      </c>
      <c r="K227" s="2" t="s">
        <v>515</v>
      </c>
    </row>
    <row r="228" spans="1:11" ht="28.5" customHeight="1">
      <c r="A228">
        <v>2013</v>
      </c>
      <c r="B228">
        <v>5</v>
      </c>
      <c r="C228">
        <v>3</v>
      </c>
      <c r="D228" t="s">
        <v>82</v>
      </c>
      <c r="E228" t="str">
        <f t="shared" si="12"/>
        <v>2013-Q5-3</v>
      </c>
      <c r="F228">
        <f t="shared" si="13"/>
        <v>1</v>
      </c>
      <c r="G228" t="s">
        <v>41</v>
      </c>
      <c r="H228">
        <f t="shared" si="14"/>
        <v>1</v>
      </c>
      <c r="I228" s="5">
        <f t="shared" si="15"/>
        <v>1</v>
      </c>
      <c r="J228" s="2" t="s">
        <v>516</v>
      </c>
      <c r="K228" s="2" t="s">
        <v>517</v>
      </c>
    </row>
    <row r="229" spans="1:11" ht="28.5" customHeight="1">
      <c r="A229">
        <v>2013</v>
      </c>
      <c r="B229">
        <v>5</v>
      </c>
      <c r="C229">
        <v>4</v>
      </c>
      <c r="D229" t="s">
        <v>82</v>
      </c>
      <c r="E229" t="str">
        <f t="shared" si="12"/>
        <v>2013-Q5-4</v>
      </c>
      <c r="F229">
        <f t="shared" si="13"/>
        <v>1</v>
      </c>
      <c r="G229" t="s">
        <v>41</v>
      </c>
      <c r="H229">
        <f t="shared" si="14"/>
        <v>1</v>
      </c>
      <c r="I229" s="5">
        <f t="shared" si="15"/>
        <v>1</v>
      </c>
      <c r="J229" s="2" t="s">
        <v>518</v>
      </c>
      <c r="K229" s="2" t="s">
        <v>519</v>
      </c>
    </row>
    <row r="230" spans="1:11" ht="42.75" customHeight="1">
      <c r="A230">
        <v>2013</v>
      </c>
      <c r="B230">
        <v>6</v>
      </c>
      <c r="C230">
        <v>0</v>
      </c>
      <c r="D230" t="s">
        <v>82</v>
      </c>
      <c r="E230" t="str">
        <f t="shared" si="12"/>
        <v>2013-Q6-0</v>
      </c>
      <c r="F230">
        <f t="shared" si="13"/>
        <v>1</v>
      </c>
      <c r="G230" t="s">
        <v>8</v>
      </c>
      <c r="H230">
        <f t="shared" si="14"/>
        <v>1</v>
      </c>
      <c r="I230" s="5">
        <f t="shared" si="15"/>
        <v>1</v>
      </c>
      <c r="J230" s="2" t="s">
        <v>520</v>
      </c>
      <c r="K230" s="2" t="s">
        <v>521</v>
      </c>
    </row>
    <row r="231" spans="1:11" ht="28.5" customHeight="1">
      <c r="A231">
        <v>2013</v>
      </c>
      <c r="B231">
        <v>6</v>
      </c>
      <c r="C231">
        <v>1</v>
      </c>
      <c r="D231" t="s">
        <v>82</v>
      </c>
      <c r="E231" t="str">
        <f t="shared" si="12"/>
        <v>2013-Q6-1</v>
      </c>
      <c r="F231">
        <f t="shared" si="13"/>
        <v>1</v>
      </c>
      <c r="G231" t="s">
        <v>8</v>
      </c>
      <c r="H231">
        <f t="shared" si="14"/>
        <v>2</v>
      </c>
      <c r="I231" s="5">
        <f t="shared" si="15"/>
        <v>0.5</v>
      </c>
      <c r="J231" s="2" t="s">
        <v>522</v>
      </c>
      <c r="K231" s="2" t="s">
        <v>523</v>
      </c>
    </row>
    <row r="232" spans="1:11" ht="28.5" customHeight="1">
      <c r="A232">
        <v>2013</v>
      </c>
      <c r="B232">
        <v>6</v>
      </c>
      <c r="C232">
        <v>1</v>
      </c>
      <c r="D232" t="s">
        <v>82</v>
      </c>
      <c r="E232" t="str">
        <f t="shared" si="12"/>
        <v>2013-Q6-1</v>
      </c>
      <c r="F232">
        <f t="shared" si="13"/>
        <v>1</v>
      </c>
      <c r="G232" t="s">
        <v>11</v>
      </c>
      <c r="H232">
        <f t="shared" si="14"/>
        <v>2</v>
      </c>
      <c r="I232" s="5">
        <f t="shared" si="15"/>
        <v>0.5</v>
      </c>
      <c r="J232" s="2" t="s">
        <v>522</v>
      </c>
      <c r="K232" s="2" t="s">
        <v>523</v>
      </c>
    </row>
    <row r="233" spans="1:11" ht="28.5" customHeight="1">
      <c r="A233">
        <v>2013</v>
      </c>
      <c r="B233">
        <v>6</v>
      </c>
      <c r="C233">
        <v>2</v>
      </c>
      <c r="D233" t="s">
        <v>82</v>
      </c>
      <c r="E233" t="str">
        <f t="shared" si="12"/>
        <v>2013-Q6-2</v>
      </c>
      <c r="F233">
        <f t="shared" si="13"/>
        <v>1</v>
      </c>
      <c r="G233" t="s">
        <v>8</v>
      </c>
      <c r="H233">
        <f t="shared" si="14"/>
        <v>1</v>
      </c>
      <c r="I233" s="5">
        <f t="shared" si="15"/>
        <v>1</v>
      </c>
      <c r="J233" s="2" t="s">
        <v>109</v>
      </c>
      <c r="K233" s="2" t="s">
        <v>524</v>
      </c>
    </row>
    <row r="234" spans="1:11" ht="28.5" customHeight="1">
      <c r="A234">
        <v>2013</v>
      </c>
      <c r="B234">
        <v>6</v>
      </c>
      <c r="C234">
        <v>3</v>
      </c>
      <c r="D234" t="s">
        <v>82</v>
      </c>
      <c r="E234" t="str">
        <f t="shared" si="12"/>
        <v>2013-Q6-3</v>
      </c>
      <c r="F234">
        <f t="shared" si="13"/>
        <v>1</v>
      </c>
      <c r="G234" t="s">
        <v>8</v>
      </c>
      <c r="H234">
        <f t="shared" si="14"/>
        <v>1</v>
      </c>
      <c r="I234" s="5">
        <f t="shared" si="15"/>
        <v>1</v>
      </c>
      <c r="J234" s="2" t="s">
        <v>525</v>
      </c>
      <c r="K234" s="2" t="s">
        <v>526</v>
      </c>
    </row>
    <row r="235" spans="1:11" ht="28.5" customHeight="1">
      <c r="A235">
        <v>2013</v>
      </c>
      <c r="B235">
        <v>6</v>
      </c>
      <c r="C235">
        <v>4</v>
      </c>
      <c r="D235" t="s">
        <v>82</v>
      </c>
      <c r="E235" t="str">
        <f t="shared" si="12"/>
        <v>2013-Q6-4</v>
      </c>
      <c r="F235">
        <f t="shared" si="13"/>
        <v>1</v>
      </c>
      <c r="G235" t="s">
        <v>26</v>
      </c>
      <c r="H235">
        <f t="shared" si="14"/>
        <v>1</v>
      </c>
      <c r="I235" s="5">
        <f t="shared" si="15"/>
        <v>1</v>
      </c>
      <c r="J235" s="2" t="s">
        <v>527</v>
      </c>
      <c r="K235" s="2" t="s">
        <v>528</v>
      </c>
    </row>
    <row r="236" spans="1:11" ht="28.5" customHeight="1">
      <c r="A236">
        <v>2013</v>
      </c>
      <c r="B236">
        <v>7</v>
      </c>
      <c r="C236">
        <v>0</v>
      </c>
      <c r="D236" t="s">
        <v>82</v>
      </c>
      <c r="E236" t="str">
        <f t="shared" si="12"/>
        <v>2013-Q7-0</v>
      </c>
      <c r="F236">
        <f t="shared" si="13"/>
        <v>1</v>
      </c>
      <c r="G236" t="s">
        <v>44</v>
      </c>
      <c r="H236">
        <f t="shared" si="14"/>
        <v>1</v>
      </c>
      <c r="I236" s="5">
        <f t="shared" si="15"/>
        <v>1</v>
      </c>
      <c r="J236" s="2" t="s">
        <v>529</v>
      </c>
      <c r="K236" s="2" t="s">
        <v>530</v>
      </c>
    </row>
    <row r="237" spans="1:11" ht="28.5" customHeight="1">
      <c r="A237">
        <v>2013</v>
      </c>
      <c r="B237">
        <v>7</v>
      </c>
      <c r="C237">
        <v>1</v>
      </c>
      <c r="D237" t="s">
        <v>82</v>
      </c>
      <c r="E237" t="str">
        <f t="shared" si="12"/>
        <v>2013-Q7-1</v>
      </c>
      <c r="F237">
        <f t="shared" si="13"/>
        <v>1</v>
      </c>
      <c r="G237" t="s">
        <v>44</v>
      </c>
      <c r="H237">
        <f t="shared" si="14"/>
        <v>1</v>
      </c>
      <c r="I237" s="5">
        <f t="shared" si="15"/>
        <v>1</v>
      </c>
      <c r="J237" s="2" t="s">
        <v>531</v>
      </c>
      <c r="K237" s="2" t="s">
        <v>532</v>
      </c>
    </row>
    <row r="238" spans="1:11" ht="28.5" customHeight="1">
      <c r="A238">
        <v>2013</v>
      </c>
      <c r="B238">
        <v>7</v>
      </c>
      <c r="C238">
        <v>2</v>
      </c>
      <c r="D238" t="s">
        <v>82</v>
      </c>
      <c r="E238" t="str">
        <f t="shared" si="12"/>
        <v>2013-Q7-2</v>
      </c>
      <c r="F238">
        <f t="shared" si="13"/>
        <v>1</v>
      </c>
      <c r="G238" t="s">
        <v>44</v>
      </c>
      <c r="H238">
        <f t="shared" si="14"/>
        <v>1</v>
      </c>
      <c r="I238" s="5">
        <f t="shared" si="15"/>
        <v>1</v>
      </c>
      <c r="J238" s="2" t="s">
        <v>533</v>
      </c>
      <c r="K238" s="2" t="s">
        <v>534</v>
      </c>
    </row>
    <row r="239" spans="1:11" ht="28.5" customHeight="1">
      <c r="A239">
        <v>2013</v>
      </c>
      <c r="B239">
        <v>7</v>
      </c>
      <c r="C239">
        <v>3</v>
      </c>
      <c r="D239" t="s">
        <v>82</v>
      </c>
      <c r="E239" t="str">
        <f t="shared" si="12"/>
        <v>2013-Q7-3</v>
      </c>
      <c r="F239">
        <f t="shared" si="13"/>
        <v>1</v>
      </c>
      <c r="G239" t="s">
        <v>47</v>
      </c>
      <c r="H239">
        <f t="shared" si="14"/>
        <v>1</v>
      </c>
      <c r="I239" s="5">
        <f t="shared" si="15"/>
        <v>1</v>
      </c>
      <c r="J239" s="2" t="s">
        <v>535</v>
      </c>
      <c r="K239" s="2" t="s">
        <v>536</v>
      </c>
    </row>
    <row r="240" spans="1:11" ht="28.5" customHeight="1">
      <c r="A240">
        <v>2013</v>
      </c>
      <c r="B240">
        <v>7</v>
      </c>
      <c r="C240">
        <v>4</v>
      </c>
      <c r="D240" t="s">
        <v>82</v>
      </c>
      <c r="E240" t="str">
        <f t="shared" si="12"/>
        <v>2013-Q7-4</v>
      </c>
      <c r="F240">
        <f t="shared" si="13"/>
        <v>1</v>
      </c>
      <c r="G240" t="s">
        <v>47</v>
      </c>
      <c r="H240">
        <f t="shared" si="14"/>
        <v>1</v>
      </c>
      <c r="I240" s="5">
        <f t="shared" si="15"/>
        <v>1</v>
      </c>
      <c r="J240" s="2" t="s">
        <v>537</v>
      </c>
      <c r="K240" s="2" t="s">
        <v>538</v>
      </c>
    </row>
    <row r="241" spans="1:11" ht="28.5" customHeight="1">
      <c r="A241">
        <v>2013</v>
      </c>
      <c r="B241">
        <v>8</v>
      </c>
      <c r="C241">
        <v>0</v>
      </c>
      <c r="D241" t="s">
        <v>82</v>
      </c>
      <c r="E241" t="str">
        <f t="shared" si="12"/>
        <v>2013-Q8-0</v>
      </c>
      <c r="F241">
        <f t="shared" si="13"/>
        <v>1</v>
      </c>
      <c r="G241" t="s">
        <v>17</v>
      </c>
      <c r="H241">
        <f t="shared" si="14"/>
        <v>1</v>
      </c>
      <c r="I241" s="5">
        <f t="shared" si="15"/>
        <v>1</v>
      </c>
      <c r="J241" s="2" t="s">
        <v>539</v>
      </c>
      <c r="K241" s="2" t="s">
        <v>540</v>
      </c>
    </row>
    <row r="242" spans="1:11" ht="28.5" customHeight="1">
      <c r="A242">
        <v>2013</v>
      </c>
      <c r="B242">
        <v>8</v>
      </c>
      <c r="C242">
        <v>1</v>
      </c>
      <c r="D242" t="s">
        <v>82</v>
      </c>
      <c r="E242" t="str">
        <f t="shared" si="12"/>
        <v>2013-Q8-1</v>
      </c>
      <c r="F242">
        <f t="shared" si="13"/>
        <v>1</v>
      </c>
      <c r="G242" t="s">
        <v>17</v>
      </c>
      <c r="H242">
        <f t="shared" si="14"/>
        <v>1</v>
      </c>
      <c r="I242" s="5">
        <f t="shared" si="15"/>
        <v>1</v>
      </c>
      <c r="J242" s="2" t="s">
        <v>541</v>
      </c>
      <c r="K242" s="2" t="s">
        <v>542</v>
      </c>
    </row>
    <row r="243" spans="1:11" ht="28.5" customHeight="1">
      <c r="A243">
        <v>2013</v>
      </c>
      <c r="B243">
        <v>8</v>
      </c>
      <c r="C243">
        <v>2</v>
      </c>
      <c r="D243" t="s">
        <v>82</v>
      </c>
      <c r="E243" t="str">
        <f t="shared" si="12"/>
        <v>2013-Q8-2</v>
      </c>
      <c r="F243">
        <f t="shared" si="13"/>
        <v>1</v>
      </c>
      <c r="G243" t="s">
        <v>35</v>
      </c>
      <c r="H243">
        <f t="shared" si="14"/>
        <v>1</v>
      </c>
      <c r="I243" s="5">
        <f t="shared" si="15"/>
        <v>1</v>
      </c>
      <c r="J243" s="2" t="s">
        <v>543</v>
      </c>
      <c r="K243" s="2" t="s">
        <v>544</v>
      </c>
    </row>
    <row r="244" spans="1:11" ht="28.5" customHeight="1">
      <c r="A244">
        <v>2013</v>
      </c>
      <c r="B244">
        <v>8</v>
      </c>
      <c r="C244">
        <v>3</v>
      </c>
      <c r="D244" t="s">
        <v>82</v>
      </c>
      <c r="E244" t="str">
        <f t="shared" si="12"/>
        <v>2013-Q8-3</v>
      </c>
      <c r="F244">
        <f t="shared" si="13"/>
        <v>1</v>
      </c>
      <c r="G244" t="s">
        <v>8</v>
      </c>
      <c r="H244">
        <f t="shared" si="14"/>
        <v>1</v>
      </c>
      <c r="I244" s="5">
        <f t="shared" si="15"/>
        <v>1</v>
      </c>
      <c r="J244" s="2" t="s">
        <v>545</v>
      </c>
      <c r="K244" s="2" t="s">
        <v>546</v>
      </c>
    </row>
    <row r="245" spans="1:11" ht="28.5" customHeight="1">
      <c r="A245">
        <v>2013</v>
      </c>
      <c r="B245">
        <v>8</v>
      </c>
      <c r="C245">
        <v>4</v>
      </c>
      <c r="D245" t="s">
        <v>82</v>
      </c>
      <c r="E245" t="str">
        <f t="shared" si="12"/>
        <v>2013-Q8-4</v>
      </c>
      <c r="F245">
        <f t="shared" si="13"/>
        <v>1</v>
      </c>
      <c r="G245" t="s">
        <v>8</v>
      </c>
      <c r="H245">
        <f t="shared" si="14"/>
        <v>1</v>
      </c>
      <c r="I245" s="5">
        <f t="shared" si="15"/>
        <v>1</v>
      </c>
      <c r="J245" s="2" t="s">
        <v>547</v>
      </c>
      <c r="K245" s="2" t="s">
        <v>548</v>
      </c>
    </row>
    <row r="246" spans="1:11" ht="28.5" customHeight="1">
      <c r="A246">
        <v>2013</v>
      </c>
      <c r="B246">
        <v>9</v>
      </c>
      <c r="C246">
        <v>0</v>
      </c>
      <c r="D246" t="s">
        <v>82</v>
      </c>
      <c r="E246" t="str">
        <f t="shared" si="12"/>
        <v>2013-Q9-0</v>
      </c>
      <c r="F246">
        <f t="shared" si="13"/>
        <v>1</v>
      </c>
      <c r="G246" t="s">
        <v>26</v>
      </c>
      <c r="H246">
        <f t="shared" si="14"/>
        <v>1</v>
      </c>
      <c r="I246" s="5">
        <f t="shared" si="15"/>
        <v>1</v>
      </c>
      <c r="J246" s="2" t="s">
        <v>549</v>
      </c>
      <c r="K246" s="2" t="s">
        <v>550</v>
      </c>
    </row>
    <row r="247" spans="1:11" ht="28.5" customHeight="1">
      <c r="A247">
        <v>2013</v>
      </c>
      <c r="B247">
        <v>9</v>
      </c>
      <c r="C247">
        <v>1</v>
      </c>
      <c r="D247" t="s">
        <v>82</v>
      </c>
      <c r="E247" t="str">
        <f t="shared" si="12"/>
        <v>2013-Q9-1</v>
      </c>
      <c r="F247">
        <f t="shared" si="13"/>
        <v>1</v>
      </c>
      <c r="G247" t="s">
        <v>26</v>
      </c>
      <c r="H247">
        <f t="shared" si="14"/>
        <v>1</v>
      </c>
      <c r="I247" s="5">
        <f t="shared" si="15"/>
        <v>1</v>
      </c>
      <c r="J247" s="2" t="s">
        <v>551</v>
      </c>
      <c r="K247" s="2" t="s">
        <v>552</v>
      </c>
    </row>
    <row r="248" spans="1:11" ht="28.5" customHeight="1">
      <c r="A248">
        <v>2013</v>
      </c>
      <c r="B248">
        <v>9</v>
      </c>
      <c r="C248">
        <v>2</v>
      </c>
      <c r="D248" t="s">
        <v>82</v>
      </c>
      <c r="E248" t="str">
        <f t="shared" si="12"/>
        <v>2013-Q9-2</v>
      </c>
      <c r="F248">
        <f t="shared" si="13"/>
        <v>1</v>
      </c>
      <c r="G248" t="s">
        <v>26</v>
      </c>
      <c r="H248">
        <f t="shared" si="14"/>
        <v>1</v>
      </c>
      <c r="I248" s="5">
        <f t="shared" si="15"/>
        <v>1</v>
      </c>
      <c r="J248" s="2" t="s">
        <v>553</v>
      </c>
      <c r="K248" s="2" t="s">
        <v>554</v>
      </c>
    </row>
    <row r="249" spans="1:11" ht="28.5" customHeight="1">
      <c r="A249">
        <v>2013</v>
      </c>
      <c r="B249">
        <v>9</v>
      </c>
      <c r="C249">
        <v>3</v>
      </c>
      <c r="D249" t="s">
        <v>82</v>
      </c>
      <c r="E249" t="str">
        <f t="shared" si="12"/>
        <v>2013-Q9-3</v>
      </c>
      <c r="F249">
        <f t="shared" si="13"/>
        <v>1</v>
      </c>
      <c r="G249" t="s">
        <v>26</v>
      </c>
      <c r="H249">
        <f t="shared" si="14"/>
        <v>1</v>
      </c>
      <c r="I249" s="5">
        <f t="shared" si="15"/>
        <v>1</v>
      </c>
      <c r="J249" s="2" t="s">
        <v>555</v>
      </c>
      <c r="K249" s="2" t="s">
        <v>556</v>
      </c>
    </row>
    <row r="250" spans="1:11" ht="28.5" customHeight="1">
      <c r="A250">
        <v>2013</v>
      </c>
      <c r="B250">
        <v>9</v>
      </c>
      <c r="C250">
        <v>4</v>
      </c>
      <c r="D250" t="s">
        <v>82</v>
      </c>
      <c r="E250" t="str">
        <f t="shared" si="12"/>
        <v>2013-Q9-4</v>
      </c>
      <c r="F250">
        <f t="shared" si="13"/>
        <v>1</v>
      </c>
      <c r="G250" t="s">
        <v>26</v>
      </c>
      <c r="H250">
        <f t="shared" si="14"/>
        <v>1</v>
      </c>
      <c r="I250" s="5">
        <f t="shared" si="15"/>
        <v>1</v>
      </c>
      <c r="J250" s="2" t="s">
        <v>557</v>
      </c>
      <c r="K250" s="2" t="s">
        <v>558</v>
      </c>
    </row>
    <row r="251" spans="1:11" ht="28.5" customHeight="1">
      <c r="A251">
        <v>2013</v>
      </c>
      <c r="B251">
        <v>10</v>
      </c>
      <c r="C251">
        <v>0</v>
      </c>
      <c r="D251" t="s">
        <v>82</v>
      </c>
      <c r="E251" t="str">
        <f t="shared" si="12"/>
        <v>2013-Q10-0</v>
      </c>
      <c r="F251">
        <f t="shared" si="13"/>
        <v>1</v>
      </c>
      <c r="G251" t="s">
        <v>14</v>
      </c>
      <c r="H251">
        <f t="shared" si="14"/>
        <v>1</v>
      </c>
      <c r="I251" s="5">
        <f t="shared" si="15"/>
        <v>1</v>
      </c>
      <c r="J251" s="2" t="s">
        <v>559</v>
      </c>
      <c r="K251" s="2" t="s">
        <v>560</v>
      </c>
    </row>
    <row r="252" spans="1:11" ht="28.5" customHeight="1">
      <c r="A252">
        <v>2013</v>
      </c>
      <c r="B252">
        <v>10</v>
      </c>
      <c r="C252">
        <v>1</v>
      </c>
      <c r="D252" t="s">
        <v>82</v>
      </c>
      <c r="E252" t="str">
        <f t="shared" si="12"/>
        <v>2013-Q10-1</v>
      </c>
      <c r="F252">
        <f t="shared" si="13"/>
        <v>1</v>
      </c>
      <c r="G252" t="s">
        <v>17</v>
      </c>
      <c r="H252">
        <f t="shared" si="14"/>
        <v>1</v>
      </c>
      <c r="I252" s="5">
        <f t="shared" si="15"/>
        <v>1</v>
      </c>
      <c r="J252" s="2" t="s">
        <v>561</v>
      </c>
      <c r="K252" s="2" t="s">
        <v>562</v>
      </c>
    </row>
    <row r="253" spans="1:11" ht="28.5" customHeight="1">
      <c r="A253">
        <v>2013</v>
      </c>
      <c r="B253">
        <v>10</v>
      </c>
      <c r="C253">
        <v>2</v>
      </c>
      <c r="D253" t="s">
        <v>82</v>
      </c>
      <c r="E253" t="str">
        <f t="shared" si="12"/>
        <v>2013-Q10-2</v>
      </c>
      <c r="F253">
        <f t="shared" si="13"/>
        <v>1</v>
      </c>
      <c r="G253" t="s">
        <v>14</v>
      </c>
      <c r="H253">
        <f t="shared" si="14"/>
        <v>1</v>
      </c>
      <c r="I253" s="5">
        <f t="shared" si="15"/>
        <v>1</v>
      </c>
      <c r="J253" s="2" t="s">
        <v>563</v>
      </c>
      <c r="K253" s="2" t="s">
        <v>564</v>
      </c>
    </row>
    <row r="254" spans="1:11" ht="28.5" customHeight="1">
      <c r="A254">
        <v>2013</v>
      </c>
      <c r="B254">
        <v>10</v>
      </c>
      <c r="C254">
        <v>3</v>
      </c>
      <c r="D254" t="s">
        <v>82</v>
      </c>
      <c r="E254" t="str">
        <f t="shared" si="12"/>
        <v>2013-Q10-3</v>
      </c>
      <c r="F254">
        <f t="shared" si="13"/>
        <v>1</v>
      </c>
      <c r="G254" t="s">
        <v>14</v>
      </c>
      <c r="H254">
        <f t="shared" si="14"/>
        <v>1</v>
      </c>
      <c r="I254" s="5">
        <f t="shared" si="15"/>
        <v>1</v>
      </c>
      <c r="J254" s="2" t="s">
        <v>565</v>
      </c>
      <c r="K254" s="2" t="s">
        <v>566</v>
      </c>
    </row>
    <row r="255" spans="1:11" ht="28.5" customHeight="1">
      <c r="A255">
        <v>2013</v>
      </c>
      <c r="B255">
        <v>10</v>
      </c>
      <c r="C255">
        <v>4</v>
      </c>
      <c r="D255" t="s">
        <v>82</v>
      </c>
      <c r="E255" t="str">
        <f t="shared" si="12"/>
        <v>2013-Q10-4</v>
      </c>
      <c r="F255">
        <f t="shared" si="13"/>
        <v>1</v>
      </c>
      <c r="G255" t="s">
        <v>17</v>
      </c>
      <c r="H255">
        <f t="shared" si="14"/>
        <v>1</v>
      </c>
      <c r="I255" s="5">
        <f t="shared" si="15"/>
        <v>1</v>
      </c>
      <c r="J255" s="2" t="s">
        <v>567</v>
      </c>
      <c r="K255" s="2" t="s">
        <v>568</v>
      </c>
    </row>
    <row r="256" spans="1:11" ht="28.5" customHeight="1">
      <c r="A256">
        <v>2013</v>
      </c>
      <c r="B256">
        <v>11</v>
      </c>
      <c r="C256">
        <v>0</v>
      </c>
      <c r="D256" t="s">
        <v>82</v>
      </c>
      <c r="E256" t="str">
        <f t="shared" si="12"/>
        <v>2013-Q11-0</v>
      </c>
      <c r="F256">
        <f t="shared" si="13"/>
        <v>1</v>
      </c>
      <c r="G256" t="s">
        <v>35</v>
      </c>
      <c r="H256">
        <f t="shared" si="14"/>
        <v>1</v>
      </c>
      <c r="I256" s="5">
        <f t="shared" si="15"/>
        <v>1</v>
      </c>
      <c r="J256" s="2" t="s">
        <v>569</v>
      </c>
      <c r="K256" s="2" t="s">
        <v>570</v>
      </c>
    </row>
    <row r="257" spans="1:11" ht="28.5" customHeight="1">
      <c r="A257">
        <v>2013</v>
      </c>
      <c r="B257">
        <v>11</v>
      </c>
      <c r="C257">
        <v>1</v>
      </c>
      <c r="D257" t="s">
        <v>82</v>
      </c>
      <c r="E257" t="str">
        <f t="shared" si="12"/>
        <v>2013-Q11-1</v>
      </c>
      <c r="F257">
        <f t="shared" si="13"/>
        <v>1</v>
      </c>
      <c r="G257" t="s">
        <v>38</v>
      </c>
      <c r="H257">
        <f t="shared" si="14"/>
        <v>1</v>
      </c>
      <c r="I257" s="5">
        <f t="shared" si="15"/>
        <v>1</v>
      </c>
      <c r="J257" s="2" t="s">
        <v>571</v>
      </c>
      <c r="K257" s="2" t="s">
        <v>572</v>
      </c>
    </row>
    <row r="258" spans="1:11" ht="28.5" customHeight="1">
      <c r="A258">
        <v>2013</v>
      </c>
      <c r="B258">
        <v>11</v>
      </c>
      <c r="C258">
        <v>2</v>
      </c>
      <c r="D258" t="s">
        <v>82</v>
      </c>
      <c r="E258" t="str">
        <f t="shared" si="12"/>
        <v>2013-Q11-2</v>
      </c>
      <c r="F258">
        <f t="shared" si="13"/>
        <v>1</v>
      </c>
      <c r="G258" t="s">
        <v>35</v>
      </c>
      <c r="H258">
        <f t="shared" si="14"/>
        <v>1</v>
      </c>
      <c r="I258" s="5">
        <f t="shared" si="15"/>
        <v>1</v>
      </c>
      <c r="J258" s="2" t="s">
        <v>573</v>
      </c>
      <c r="K258" s="2" t="s">
        <v>574</v>
      </c>
    </row>
    <row r="259" spans="1:11" ht="28.5" customHeight="1">
      <c r="A259">
        <v>2013</v>
      </c>
      <c r="B259">
        <v>11</v>
      </c>
      <c r="C259">
        <v>3</v>
      </c>
      <c r="D259" t="s">
        <v>82</v>
      </c>
      <c r="E259" t="str">
        <f t="shared" si="12"/>
        <v>2013-Q11-3</v>
      </c>
      <c r="F259">
        <f t="shared" si="13"/>
        <v>1</v>
      </c>
      <c r="G259" t="s">
        <v>35</v>
      </c>
      <c r="H259">
        <f t="shared" si="14"/>
        <v>1</v>
      </c>
      <c r="I259" s="5">
        <f t="shared" si="15"/>
        <v>1</v>
      </c>
      <c r="J259" s="2" t="s">
        <v>575</v>
      </c>
      <c r="K259" s="2" t="s">
        <v>576</v>
      </c>
    </row>
    <row r="260" spans="1:11" ht="28.5" customHeight="1">
      <c r="A260">
        <v>2013</v>
      </c>
      <c r="B260">
        <v>11</v>
      </c>
      <c r="C260">
        <v>4</v>
      </c>
      <c r="D260" t="s">
        <v>82</v>
      </c>
      <c r="E260" t="str">
        <f t="shared" si="12"/>
        <v>2013-Q11-4</v>
      </c>
      <c r="F260">
        <f t="shared" si="13"/>
        <v>1</v>
      </c>
      <c r="G260" t="s">
        <v>29</v>
      </c>
      <c r="H260">
        <f t="shared" si="14"/>
        <v>1</v>
      </c>
      <c r="I260" s="5">
        <f t="shared" si="15"/>
        <v>1</v>
      </c>
      <c r="J260" s="2" t="s">
        <v>577</v>
      </c>
      <c r="K260" s="2" t="s">
        <v>578</v>
      </c>
    </row>
    <row r="261" spans="1:11" ht="28.5" customHeight="1">
      <c r="A261">
        <v>2013</v>
      </c>
      <c r="B261">
        <v>12</v>
      </c>
      <c r="C261">
        <v>0</v>
      </c>
      <c r="D261" t="s">
        <v>82</v>
      </c>
      <c r="E261" t="str">
        <f t="shared" ref="E261:E324" si="16">IF(A261="","",TEXT(A261,"0")&amp;"-Q"&amp;TEXT(B261,"0")&amp;"-"&amp;IF(C261="","ABERTA",C261))</f>
        <v>2013-Q12-0</v>
      </c>
      <c r="F261">
        <f t="shared" ref="F261:F324" si="17">IF(D261="V/F",1,IF(D261="Aberta/numérica",5,""))</f>
        <v>1</v>
      </c>
      <c r="G261" t="s">
        <v>11</v>
      </c>
      <c r="H261">
        <f t="shared" ref="H261:H324" si="18">IF(A261="","",IF(C261="",COUNTIFS($A$5:$A$1504,A261,$B$5:$B$1504,B261,$C$5:$C$1504,"",$D$5:$D$1504,D261),COUNTIFS($A$5:$A$1504,A261,$B$5:$B$1504,B261,$C$5:$C$1504,C261,$D$5:$D$1504,D261)))</f>
        <v>1</v>
      </c>
      <c r="I261" s="5">
        <f t="shared" ref="I261:I324" si="19">IF(OR(F261="",H261="",G261=""),"",F261/H261)</f>
        <v>1</v>
      </c>
      <c r="J261" s="2" t="s">
        <v>579</v>
      </c>
      <c r="K261" s="2" t="s">
        <v>580</v>
      </c>
    </row>
    <row r="262" spans="1:11" ht="28.5" customHeight="1">
      <c r="A262">
        <v>2013</v>
      </c>
      <c r="B262">
        <v>12</v>
      </c>
      <c r="C262">
        <v>1</v>
      </c>
      <c r="D262" t="s">
        <v>82</v>
      </c>
      <c r="E262" t="str">
        <f t="shared" si="16"/>
        <v>2013-Q12-1</v>
      </c>
      <c r="F262">
        <f t="shared" si="17"/>
        <v>1</v>
      </c>
      <c r="G262" t="s">
        <v>11</v>
      </c>
      <c r="H262">
        <f t="shared" si="18"/>
        <v>1</v>
      </c>
      <c r="I262" s="5">
        <f t="shared" si="19"/>
        <v>1</v>
      </c>
      <c r="J262" s="2" t="s">
        <v>581</v>
      </c>
      <c r="K262" s="2" t="s">
        <v>582</v>
      </c>
    </row>
    <row r="263" spans="1:11" ht="28.5" customHeight="1">
      <c r="A263">
        <v>2013</v>
      </c>
      <c r="B263">
        <v>12</v>
      </c>
      <c r="C263">
        <v>2</v>
      </c>
      <c r="D263" t="s">
        <v>82</v>
      </c>
      <c r="E263" t="str">
        <f t="shared" si="16"/>
        <v>2013-Q12-2</v>
      </c>
      <c r="F263">
        <f t="shared" si="17"/>
        <v>1</v>
      </c>
      <c r="G263" t="s">
        <v>8</v>
      </c>
      <c r="H263">
        <f t="shared" si="18"/>
        <v>2</v>
      </c>
      <c r="I263" s="5">
        <f t="shared" si="19"/>
        <v>0.5</v>
      </c>
      <c r="J263" s="2" t="s">
        <v>583</v>
      </c>
      <c r="K263" s="2" t="s">
        <v>584</v>
      </c>
    </row>
    <row r="264" spans="1:11" ht="28.5" customHeight="1">
      <c r="A264">
        <v>2013</v>
      </c>
      <c r="B264">
        <v>12</v>
      </c>
      <c r="C264">
        <v>2</v>
      </c>
      <c r="D264" t="s">
        <v>82</v>
      </c>
      <c r="E264" t="str">
        <f t="shared" si="16"/>
        <v>2013-Q12-2</v>
      </c>
      <c r="F264">
        <f t="shared" si="17"/>
        <v>1</v>
      </c>
      <c r="G264" t="s">
        <v>11</v>
      </c>
      <c r="H264">
        <f t="shared" si="18"/>
        <v>2</v>
      </c>
      <c r="I264" s="5">
        <f t="shared" si="19"/>
        <v>0.5</v>
      </c>
      <c r="J264" s="2" t="s">
        <v>583</v>
      </c>
      <c r="K264" s="2" t="s">
        <v>584</v>
      </c>
    </row>
    <row r="265" spans="1:11" ht="28.5" customHeight="1">
      <c r="A265">
        <v>2013</v>
      </c>
      <c r="B265">
        <v>12</v>
      </c>
      <c r="C265">
        <v>3</v>
      </c>
      <c r="D265" t="s">
        <v>82</v>
      </c>
      <c r="E265" t="str">
        <f t="shared" si="16"/>
        <v>2013-Q12-3</v>
      </c>
      <c r="F265">
        <f t="shared" si="17"/>
        <v>1</v>
      </c>
      <c r="G265" t="s">
        <v>11</v>
      </c>
      <c r="H265">
        <f t="shared" si="18"/>
        <v>1</v>
      </c>
      <c r="I265" s="5">
        <f t="shared" si="19"/>
        <v>1</v>
      </c>
      <c r="J265" s="2" t="s">
        <v>585</v>
      </c>
      <c r="K265" s="2" t="s">
        <v>586</v>
      </c>
    </row>
    <row r="266" spans="1:11" ht="28.5" customHeight="1">
      <c r="A266">
        <v>2013</v>
      </c>
      <c r="B266">
        <v>12</v>
      </c>
      <c r="C266">
        <v>4</v>
      </c>
      <c r="D266" t="s">
        <v>82</v>
      </c>
      <c r="E266" t="str">
        <f t="shared" si="16"/>
        <v>2013-Q12-4</v>
      </c>
      <c r="F266">
        <f t="shared" si="17"/>
        <v>1</v>
      </c>
      <c r="G266" t="s">
        <v>8</v>
      </c>
      <c r="H266">
        <f t="shared" si="18"/>
        <v>2</v>
      </c>
      <c r="I266" s="5">
        <f t="shared" si="19"/>
        <v>0.5</v>
      </c>
      <c r="J266" s="2" t="s">
        <v>587</v>
      </c>
      <c r="K266" s="2" t="s">
        <v>588</v>
      </c>
    </row>
    <row r="267" spans="1:11" ht="28.5" customHeight="1">
      <c r="A267">
        <v>2013</v>
      </c>
      <c r="B267">
        <v>12</v>
      </c>
      <c r="C267">
        <v>4</v>
      </c>
      <c r="D267" t="s">
        <v>82</v>
      </c>
      <c r="E267" t="str">
        <f t="shared" si="16"/>
        <v>2013-Q12-4</v>
      </c>
      <c r="F267">
        <f t="shared" si="17"/>
        <v>1</v>
      </c>
      <c r="G267" t="s">
        <v>11</v>
      </c>
      <c r="H267">
        <f t="shared" si="18"/>
        <v>2</v>
      </c>
      <c r="I267" s="5">
        <f t="shared" si="19"/>
        <v>0.5</v>
      </c>
      <c r="J267" s="2" t="s">
        <v>587</v>
      </c>
      <c r="K267" s="2" t="s">
        <v>588</v>
      </c>
    </row>
    <row r="268" spans="1:11" ht="28.5" customHeight="1">
      <c r="A268">
        <v>2013</v>
      </c>
      <c r="B268">
        <v>13</v>
      </c>
      <c r="C268">
        <v>0</v>
      </c>
      <c r="D268" t="s">
        <v>82</v>
      </c>
      <c r="E268" t="str">
        <f t="shared" si="16"/>
        <v>2013-Q13-0</v>
      </c>
      <c r="F268">
        <f t="shared" si="17"/>
        <v>1</v>
      </c>
      <c r="G268" t="s">
        <v>23</v>
      </c>
      <c r="H268">
        <f t="shared" si="18"/>
        <v>1</v>
      </c>
      <c r="I268" s="5">
        <f t="shared" si="19"/>
        <v>1</v>
      </c>
      <c r="J268" s="2" t="s">
        <v>589</v>
      </c>
      <c r="K268" s="2" t="s">
        <v>590</v>
      </c>
    </row>
    <row r="269" spans="1:11" ht="28.5" customHeight="1">
      <c r="A269">
        <v>2013</v>
      </c>
      <c r="B269">
        <v>13</v>
      </c>
      <c r="C269">
        <v>1</v>
      </c>
      <c r="D269" t="s">
        <v>82</v>
      </c>
      <c r="E269" t="str">
        <f t="shared" si="16"/>
        <v>2013-Q13-1</v>
      </c>
      <c r="F269">
        <f t="shared" si="17"/>
        <v>1</v>
      </c>
      <c r="G269" t="s">
        <v>23</v>
      </c>
      <c r="H269">
        <f t="shared" si="18"/>
        <v>1</v>
      </c>
      <c r="I269" s="5">
        <f t="shared" si="19"/>
        <v>1</v>
      </c>
      <c r="J269" s="2" t="s">
        <v>591</v>
      </c>
      <c r="K269" s="2" t="s">
        <v>592</v>
      </c>
    </row>
    <row r="270" spans="1:11" ht="28.5" customHeight="1">
      <c r="A270">
        <v>2013</v>
      </c>
      <c r="B270">
        <v>13</v>
      </c>
      <c r="C270">
        <v>2</v>
      </c>
      <c r="D270" t="s">
        <v>82</v>
      </c>
      <c r="E270" t="str">
        <f t="shared" si="16"/>
        <v>2013-Q13-2</v>
      </c>
      <c r="F270">
        <f t="shared" si="17"/>
        <v>1</v>
      </c>
      <c r="G270" t="s">
        <v>23</v>
      </c>
      <c r="H270">
        <f t="shared" si="18"/>
        <v>1</v>
      </c>
      <c r="I270" s="5">
        <f t="shared" si="19"/>
        <v>1</v>
      </c>
      <c r="J270" s="2" t="s">
        <v>593</v>
      </c>
      <c r="K270" s="2" t="s">
        <v>594</v>
      </c>
    </row>
    <row r="271" spans="1:11" ht="28.5" customHeight="1">
      <c r="A271">
        <v>2013</v>
      </c>
      <c r="B271">
        <v>13</v>
      </c>
      <c r="C271">
        <v>3</v>
      </c>
      <c r="D271" t="s">
        <v>82</v>
      </c>
      <c r="E271" t="str">
        <f t="shared" si="16"/>
        <v>2013-Q13-3</v>
      </c>
      <c r="F271">
        <f t="shared" si="17"/>
        <v>1</v>
      </c>
      <c r="G271" t="s">
        <v>23</v>
      </c>
      <c r="H271">
        <f t="shared" si="18"/>
        <v>1</v>
      </c>
      <c r="I271" s="5">
        <f t="shared" si="19"/>
        <v>1</v>
      </c>
      <c r="J271" s="2" t="s">
        <v>595</v>
      </c>
      <c r="K271" s="2" t="s">
        <v>596</v>
      </c>
    </row>
    <row r="272" spans="1:11" ht="28.5" customHeight="1">
      <c r="A272">
        <v>2013</v>
      </c>
      <c r="B272">
        <v>13</v>
      </c>
      <c r="C272">
        <v>4</v>
      </c>
      <c r="D272" t="s">
        <v>82</v>
      </c>
      <c r="E272" t="str">
        <f t="shared" si="16"/>
        <v>2013-Q13-4</v>
      </c>
      <c r="F272">
        <f t="shared" si="17"/>
        <v>1</v>
      </c>
      <c r="G272" t="s">
        <v>23</v>
      </c>
      <c r="H272">
        <f t="shared" si="18"/>
        <v>1</v>
      </c>
      <c r="I272" s="5">
        <f t="shared" si="19"/>
        <v>1</v>
      </c>
      <c r="J272" s="2" t="s">
        <v>597</v>
      </c>
      <c r="K272" s="2" t="s">
        <v>598</v>
      </c>
    </row>
    <row r="273" spans="1:11" ht="28.5" customHeight="1">
      <c r="A273">
        <v>2013</v>
      </c>
      <c r="B273">
        <v>14</v>
      </c>
      <c r="D273" t="s">
        <v>193</v>
      </c>
      <c r="E273" t="str">
        <f t="shared" si="16"/>
        <v>2013-Q14-ABERTA</v>
      </c>
      <c r="F273">
        <f t="shared" si="17"/>
        <v>5</v>
      </c>
      <c r="G273" t="s">
        <v>41</v>
      </c>
      <c r="H273">
        <f t="shared" si="18"/>
        <v>1</v>
      </c>
      <c r="I273" s="5">
        <f t="shared" si="19"/>
        <v>5</v>
      </c>
      <c r="J273" s="2" t="s">
        <v>599</v>
      </c>
      <c r="K273" s="2" t="s">
        <v>600</v>
      </c>
    </row>
    <row r="274" spans="1:11" ht="28.5" customHeight="1">
      <c r="A274">
        <v>2013</v>
      </c>
      <c r="B274">
        <v>15</v>
      </c>
      <c r="C274">
        <v>0</v>
      </c>
      <c r="D274" t="s">
        <v>82</v>
      </c>
      <c r="E274" t="str">
        <f t="shared" si="16"/>
        <v>2013-Q15-0</v>
      </c>
      <c r="F274">
        <f t="shared" si="17"/>
        <v>1</v>
      </c>
      <c r="G274" t="s">
        <v>44</v>
      </c>
      <c r="H274">
        <f t="shared" si="18"/>
        <v>1</v>
      </c>
      <c r="I274" s="5">
        <f t="shared" si="19"/>
        <v>1</v>
      </c>
      <c r="J274" s="2" t="s">
        <v>601</v>
      </c>
      <c r="K274" s="2" t="s">
        <v>602</v>
      </c>
    </row>
    <row r="275" spans="1:11" ht="28.5" customHeight="1">
      <c r="A275">
        <v>2013</v>
      </c>
      <c r="B275">
        <v>15</v>
      </c>
      <c r="C275">
        <v>1</v>
      </c>
      <c r="D275" t="s">
        <v>82</v>
      </c>
      <c r="E275" t="str">
        <f t="shared" si="16"/>
        <v>2013-Q15-1</v>
      </c>
      <c r="F275">
        <f t="shared" si="17"/>
        <v>1</v>
      </c>
      <c r="G275" t="s">
        <v>47</v>
      </c>
      <c r="H275">
        <f t="shared" si="18"/>
        <v>1</v>
      </c>
      <c r="I275" s="5">
        <f t="shared" si="19"/>
        <v>1</v>
      </c>
      <c r="J275" s="2" t="s">
        <v>603</v>
      </c>
      <c r="K275" s="2" t="s">
        <v>604</v>
      </c>
    </row>
    <row r="276" spans="1:11" ht="28.5" customHeight="1">
      <c r="A276">
        <v>2013</v>
      </c>
      <c r="B276">
        <v>15</v>
      </c>
      <c r="C276">
        <v>2</v>
      </c>
      <c r="D276" t="s">
        <v>82</v>
      </c>
      <c r="E276" t="str">
        <f t="shared" si="16"/>
        <v>2013-Q15-2</v>
      </c>
      <c r="F276">
        <f t="shared" si="17"/>
        <v>1</v>
      </c>
      <c r="G276" t="s">
        <v>8</v>
      </c>
      <c r="H276">
        <f t="shared" si="18"/>
        <v>1</v>
      </c>
      <c r="I276" s="5">
        <f t="shared" si="19"/>
        <v>1</v>
      </c>
      <c r="J276" s="2" t="s">
        <v>605</v>
      </c>
      <c r="K276" s="2" t="s">
        <v>606</v>
      </c>
    </row>
    <row r="277" spans="1:11" ht="28.5" customHeight="1">
      <c r="A277">
        <v>2013</v>
      </c>
      <c r="B277">
        <v>15</v>
      </c>
      <c r="C277">
        <v>3</v>
      </c>
      <c r="D277" t="s">
        <v>82</v>
      </c>
      <c r="E277" t="str">
        <f t="shared" si="16"/>
        <v>2013-Q15-3</v>
      </c>
      <c r="F277">
        <f t="shared" si="17"/>
        <v>1</v>
      </c>
      <c r="G277" t="s">
        <v>44</v>
      </c>
      <c r="H277">
        <f t="shared" si="18"/>
        <v>1</v>
      </c>
      <c r="I277" s="5">
        <f t="shared" si="19"/>
        <v>1</v>
      </c>
      <c r="J277" s="2" t="s">
        <v>607</v>
      </c>
      <c r="K277" s="2" t="s">
        <v>608</v>
      </c>
    </row>
    <row r="278" spans="1:11" ht="28.5" customHeight="1">
      <c r="A278">
        <v>2013</v>
      </c>
      <c r="B278">
        <v>15</v>
      </c>
      <c r="C278">
        <v>4</v>
      </c>
      <c r="D278" t="s">
        <v>82</v>
      </c>
      <c r="E278" t="str">
        <f t="shared" si="16"/>
        <v>2013-Q15-4</v>
      </c>
      <c r="F278">
        <f t="shared" si="17"/>
        <v>1</v>
      </c>
      <c r="G278" t="s">
        <v>44</v>
      </c>
      <c r="H278">
        <f t="shared" si="18"/>
        <v>1</v>
      </c>
      <c r="I278" s="5">
        <f t="shared" si="19"/>
        <v>1</v>
      </c>
      <c r="J278" s="2" t="s">
        <v>609</v>
      </c>
      <c r="K278" s="2" t="s">
        <v>610</v>
      </c>
    </row>
    <row r="279" spans="1:11" ht="28.5" customHeight="1">
      <c r="A279">
        <v>2014</v>
      </c>
      <c r="B279">
        <v>1</v>
      </c>
      <c r="C279">
        <v>0</v>
      </c>
      <c r="D279" t="s">
        <v>82</v>
      </c>
      <c r="E279" t="str">
        <f t="shared" si="16"/>
        <v>2014-Q1-0</v>
      </c>
      <c r="F279">
        <f t="shared" si="17"/>
        <v>1</v>
      </c>
      <c r="G279" t="s">
        <v>8</v>
      </c>
      <c r="H279">
        <f t="shared" si="18"/>
        <v>1</v>
      </c>
      <c r="I279" s="5">
        <f t="shared" si="19"/>
        <v>1</v>
      </c>
      <c r="J279" s="2" t="s">
        <v>611</v>
      </c>
      <c r="K279" s="2" t="s">
        <v>612</v>
      </c>
    </row>
    <row r="280" spans="1:11">
      <c r="A280">
        <v>2014</v>
      </c>
      <c r="B280">
        <v>1</v>
      </c>
      <c r="C280">
        <v>1</v>
      </c>
      <c r="D280" t="s">
        <v>82</v>
      </c>
      <c r="E280" t="str">
        <f t="shared" si="16"/>
        <v>2014-Q1-1</v>
      </c>
      <c r="F280">
        <f t="shared" si="17"/>
        <v>1</v>
      </c>
      <c r="G280" t="s">
        <v>8</v>
      </c>
      <c r="H280">
        <f t="shared" si="18"/>
        <v>1</v>
      </c>
      <c r="I280" s="5">
        <f t="shared" si="19"/>
        <v>1</v>
      </c>
      <c r="J280" s="2" t="s">
        <v>613</v>
      </c>
      <c r="K280" s="2" t="s">
        <v>614</v>
      </c>
    </row>
    <row r="281" spans="1:11">
      <c r="A281">
        <v>2014</v>
      </c>
      <c r="B281">
        <v>1</v>
      </c>
      <c r="C281">
        <v>2</v>
      </c>
      <c r="D281" t="s">
        <v>82</v>
      </c>
      <c r="E281" t="str">
        <f t="shared" si="16"/>
        <v>2014-Q1-2</v>
      </c>
      <c r="F281">
        <f t="shared" si="17"/>
        <v>1</v>
      </c>
      <c r="G281" t="s">
        <v>8</v>
      </c>
      <c r="H281">
        <f t="shared" si="18"/>
        <v>1</v>
      </c>
      <c r="I281" s="5">
        <f t="shared" si="19"/>
        <v>1</v>
      </c>
      <c r="J281" s="2" t="s">
        <v>615</v>
      </c>
      <c r="K281" s="2" t="s">
        <v>616</v>
      </c>
    </row>
    <row r="282" spans="1:11">
      <c r="A282">
        <v>2014</v>
      </c>
      <c r="B282">
        <v>1</v>
      </c>
      <c r="C282">
        <v>3</v>
      </c>
      <c r="D282" t="s">
        <v>82</v>
      </c>
      <c r="E282" t="str">
        <f t="shared" si="16"/>
        <v>2014-Q1-3</v>
      </c>
      <c r="F282">
        <f t="shared" si="17"/>
        <v>1</v>
      </c>
      <c r="G282" t="s">
        <v>11</v>
      </c>
      <c r="H282">
        <f t="shared" si="18"/>
        <v>1</v>
      </c>
      <c r="I282" s="5">
        <f t="shared" si="19"/>
        <v>1</v>
      </c>
      <c r="J282" s="2" t="s">
        <v>617</v>
      </c>
      <c r="K282" s="2" t="s">
        <v>618</v>
      </c>
    </row>
    <row r="283" spans="1:11">
      <c r="A283">
        <v>2014</v>
      </c>
      <c r="B283">
        <v>1</v>
      </c>
      <c r="C283">
        <v>4</v>
      </c>
      <c r="D283" t="s">
        <v>82</v>
      </c>
      <c r="E283" t="str">
        <f t="shared" si="16"/>
        <v>2014-Q1-4</v>
      </c>
      <c r="F283">
        <f t="shared" si="17"/>
        <v>1</v>
      </c>
      <c r="G283" t="s">
        <v>8</v>
      </c>
      <c r="H283">
        <f t="shared" si="18"/>
        <v>1</v>
      </c>
      <c r="I283" s="5">
        <f t="shared" si="19"/>
        <v>1</v>
      </c>
      <c r="J283" s="2" t="s">
        <v>619</v>
      </c>
      <c r="K283" s="2" t="s">
        <v>620</v>
      </c>
    </row>
    <row r="284" spans="1:11" ht="42.75" customHeight="1">
      <c r="A284">
        <v>2014</v>
      </c>
      <c r="B284">
        <v>2</v>
      </c>
      <c r="C284">
        <v>0</v>
      </c>
      <c r="D284" t="s">
        <v>82</v>
      </c>
      <c r="E284" t="str">
        <f t="shared" si="16"/>
        <v>2014-Q2-0</v>
      </c>
      <c r="F284">
        <f t="shared" si="17"/>
        <v>1</v>
      </c>
      <c r="G284" t="s">
        <v>35</v>
      </c>
      <c r="H284">
        <f t="shared" si="18"/>
        <v>1</v>
      </c>
      <c r="I284" s="5">
        <f t="shared" si="19"/>
        <v>1</v>
      </c>
      <c r="J284" s="2" t="s">
        <v>621</v>
      </c>
      <c r="K284" s="2" t="s">
        <v>622</v>
      </c>
    </row>
    <row r="285" spans="1:11">
      <c r="A285">
        <v>2014</v>
      </c>
      <c r="B285">
        <v>2</v>
      </c>
      <c r="C285">
        <v>1</v>
      </c>
      <c r="D285" t="s">
        <v>82</v>
      </c>
      <c r="E285" t="str">
        <f t="shared" si="16"/>
        <v>2014-Q2-1</v>
      </c>
      <c r="F285">
        <f t="shared" si="17"/>
        <v>1</v>
      </c>
      <c r="G285" t="s">
        <v>32</v>
      </c>
      <c r="H285">
        <f t="shared" si="18"/>
        <v>1</v>
      </c>
      <c r="I285" s="5">
        <f t="shared" si="19"/>
        <v>1</v>
      </c>
      <c r="J285" s="2" t="s">
        <v>623</v>
      </c>
      <c r="K285" s="2" t="s">
        <v>624</v>
      </c>
    </row>
    <row r="286" spans="1:11">
      <c r="A286">
        <v>2014</v>
      </c>
      <c r="B286">
        <v>2</v>
      </c>
      <c r="C286">
        <v>2</v>
      </c>
      <c r="D286" t="s">
        <v>82</v>
      </c>
      <c r="E286" t="str">
        <f t="shared" si="16"/>
        <v>2014-Q2-2</v>
      </c>
      <c r="F286">
        <f t="shared" si="17"/>
        <v>1</v>
      </c>
      <c r="G286" t="s">
        <v>50</v>
      </c>
      <c r="H286">
        <f t="shared" si="18"/>
        <v>1</v>
      </c>
      <c r="I286" s="5">
        <f t="shared" si="19"/>
        <v>1</v>
      </c>
      <c r="J286" s="2" t="s">
        <v>625</v>
      </c>
      <c r="K286" s="2" t="s">
        <v>626</v>
      </c>
    </row>
    <row r="287" spans="1:11" ht="28.5" customHeight="1">
      <c r="A287">
        <v>2014</v>
      </c>
      <c r="B287">
        <v>2</v>
      </c>
      <c r="C287">
        <v>3</v>
      </c>
      <c r="D287" t="s">
        <v>82</v>
      </c>
      <c r="E287" t="str">
        <f t="shared" si="16"/>
        <v>2014-Q2-3</v>
      </c>
      <c r="F287">
        <f t="shared" si="17"/>
        <v>1</v>
      </c>
      <c r="G287" t="s">
        <v>44</v>
      </c>
      <c r="H287">
        <f t="shared" si="18"/>
        <v>1</v>
      </c>
      <c r="I287" s="5">
        <f t="shared" si="19"/>
        <v>1</v>
      </c>
      <c r="J287" s="2" t="s">
        <v>627</v>
      </c>
      <c r="K287" s="2" t="s">
        <v>628</v>
      </c>
    </row>
    <row r="288" spans="1:11" ht="28.5" customHeight="1">
      <c r="A288">
        <v>2014</v>
      </c>
      <c r="B288">
        <v>2</v>
      </c>
      <c r="C288">
        <v>4</v>
      </c>
      <c r="D288" t="s">
        <v>82</v>
      </c>
      <c r="E288" t="str">
        <f t="shared" si="16"/>
        <v>2014-Q2-4</v>
      </c>
      <c r="F288">
        <f t="shared" si="17"/>
        <v>1</v>
      </c>
      <c r="G288" t="s">
        <v>44</v>
      </c>
      <c r="H288">
        <f t="shared" si="18"/>
        <v>1</v>
      </c>
      <c r="I288" s="5">
        <f t="shared" si="19"/>
        <v>1</v>
      </c>
      <c r="J288" s="2" t="s">
        <v>629</v>
      </c>
      <c r="K288" s="2" t="s">
        <v>630</v>
      </c>
    </row>
    <row r="289" spans="1:11" ht="28.5" customHeight="1">
      <c r="A289">
        <v>2014</v>
      </c>
      <c r="B289">
        <v>3</v>
      </c>
      <c r="C289">
        <v>0</v>
      </c>
      <c r="D289" t="s">
        <v>82</v>
      </c>
      <c r="E289" t="str">
        <f t="shared" si="16"/>
        <v>2014-Q3-0</v>
      </c>
      <c r="F289">
        <f t="shared" si="17"/>
        <v>1</v>
      </c>
      <c r="G289" t="s">
        <v>23</v>
      </c>
      <c r="H289">
        <f t="shared" si="18"/>
        <v>1</v>
      </c>
      <c r="I289" s="5">
        <f t="shared" si="19"/>
        <v>1</v>
      </c>
      <c r="J289" s="2" t="s">
        <v>631</v>
      </c>
      <c r="K289" s="2" t="s">
        <v>632</v>
      </c>
    </row>
    <row r="290" spans="1:11" ht="28.5" customHeight="1">
      <c r="A290">
        <v>2014</v>
      </c>
      <c r="B290">
        <v>3</v>
      </c>
      <c r="C290">
        <v>1</v>
      </c>
      <c r="D290" t="s">
        <v>82</v>
      </c>
      <c r="E290" t="str">
        <f t="shared" si="16"/>
        <v>2014-Q3-1</v>
      </c>
      <c r="F290">
        <f t="shared" si="17"/>
        <v>1</v>
      </c>
      <c r="G290" t="s">
        <v>23</v>
      </c>
      <c r="H290">
        <f t="shared" si="18"/>
        <v>1</v>
      </c>
      <c r="I290" s="5">
        <f t="shared" si="19"/>
        <v>1</v>
      </c>
      <c r="J290" s="2" t="s">
        <v>633</v>
      </c>
      <c r="K290" s="2" t="s">
        <v>634</v>
      </c>
    </row>
    <row r="291" spans="1:11" ht="28.5" customHeight="1">
      <c r="A291">
        <v>2014</v>
      </c>
      <c r="B291">
        <v>3</v>
      </c>
      <c r="C291">
        <v>2</v>
      </c>
      <c r="D291" t="s">
        <v>82</v>
      </c>
      <c r="E291" t="str">
        <f t="shared" si="16"/>
        <v>2014-Q3-2</v>
      </c>
      <c r="F291">
        <f t="shared" si="17"/>
        <v>1</v>
      </c>
      <c r="G291" t="s">
        <v>23</v>
      </c>
      <c r="H291">
        <f t="shared" si="18"/>
        <v>1</v>
      </c>
      <c r="I291" s="5">
        <f t="shared" si="19"/>
        <v>1</v>
      </c>
      <c r="J291" s="2" t="s">
        <v>635</v>
      </c>
      <c r="K291" s="2" t="s">
        <v>636</v>
      </c>
    </row>
    <row r="292" spans="1:11">
      <c r="A292">
        <v>2014</v>
      </c>
      <c r="B292">
        <v>3</v>
      </c>
      <c r="C292">
        <v>3</v>
      </c>
      <c r="D292" t="s">
        <v>82</v>
      </c>
      <c r="E292" t="str">
        <f t="shared" si="16"/>
        <v>2014-Q3-3</v>
      </c>
      <c r="F292">
        <f t="shared" si="17"/>
        <v>1</v>
      </c>
      <c r="G292" t="s">
        <v>23</v>
      </c>
      <c r="H292">
        <f t="shared" si="18"/>
        <v>1</v>
      </c>
      <c r="I292" s="5">
        <f t="shared" si="19"/>
        <v>1</v>
      </c>
      <c r="J292" s="2" t="s">
        <v>637</v>
      </c>
      <c r="K292" s="2" t="s">
        <v>638</v>
      </c>
    </row>
    <row r="293" spans="1:11">
      <c r="A293">
        <v>2014</v>
      </c>
      <c r="B293">
        <v>3</v>
      </c>
      <c r="C293">
        <v>4</v>
      </c>
      <c r="D293" t="s">
        <v>82</v>
      </c>
      <c r="E293" t="str">
        <f t="shared" si="16"/>
        <v>2014-Q3-4</v>
      </c>
      <c r="F293">
        <f t="shared" si="17"/>
        <v>1</v>
      </c>
      <c r="G293" t="s">
        <v>23</v>
      </c>
      <c r="H293">
        <f t="shared" si="18"/>
        <v>1</v>
      </c>
      <c r="I293" s="5">
        <f t="shared" si="19"/>
        <v>1</v>
      </c>
      <c r="J293" s="2" t="s">
        <v>639</v>
      </c>
      <c r="K293" s="2" t="s">
        <v>640</v>
      </c>
    </row>
    <row r="294" spans="1:11">
      <c r="A294">
        <v>2014</v>
      </c>
      <c r="B294">
        <v>4</v>
      </c>
      <c r="C294">
        <v>0</v>
      </c>
      <c r="D294" t="s">
        <v>82</v>
      </c>
      <c r="E294" t="str">
        <f t="shared" si="16"/>
        <v>2014-Q4-0</v>
      </c>
      <c r="F294">
        <f t="shared" si="17"/>
        <v>1</v>
      </c>
      <c r="G294" t="s">
        <v>14</v>
      </c>
      <c r="H294">
        <f t="shared" si="18"/>
        <v>1</v>
      </c>
      <c r="I294" s="5">
        <f t="shared" si="19"/>
        <v>1</v>
      </c>
      <c r="J294" s="2" t="s">
        <v>641</v>
      </c>
      <c r="K294" s="2" t="s">
        <v>642</v>
      </c>
    </row>
    <row r="295" spans="1:11">
      <c r="A295">
        <v>2014</v>
      </c>
      <c r="B295">
        <v>4</v>
      </c>
      <c r="C295">
        <v>1</v>
      </c>
      <c r="D295" t="s">
        <v>82</v>
      </c>
      <c r="E295" t="str">
        <f t="shared" si="16"/>
        <v>2014-Q4-1</v>
      </c>
      <c r="F295">
        <f t="shared" si="17"/>
        <v>1</v>
      </c>
      <c r="G295" t="s">
        <v>17</v>
      </c>
      <c r="H295">
        <f t="shared" si="18"/>
        <v>1</v>
      </c>
      <c r="I295" s="5">
        <f t="shared" si="19"/>
        <v>1</v>
      </c>
      <c r="J295" s="2" t="s">
        <v>643</v>
      </c>
      <c r="K295" s="2" t="s">
        <v>644</v>
      </c>
    </row>
    <row r="296" spans="1:11" ht="28.5" customHeight="1">
      <c r="A296">
        <v>2014</v>
      </c>
      <c r="B296">
        <v>4</v>
      </c>
      <c r="C296">
        <v>2</v>
      </c>
      <c r="D296" t="s">
        <v>82</v>
      </c>
      <c r="E296" t="str">
        <f t="shared" si="16"/>
        <v>2014-Q4-2</v>
      </c>
      <c r="F296">
        <f t="shared" si="17"/>
        <v>1</v>
      </c>
      <c r="G296" t="s">
        <v>14</v>
      </c>
      <c r="H296">
        <f t="shared" si="18"/>
        <v>1</v>
      </c>
      <c r="I296" s="5">
        <f t="shared" si="19"/>
        <v>1</v>
      </c>
      <c r="J296" s="2" t="s">
        <v>645</v>
      </c>
      <c r="K296" s="2" t="s">
        <v>646</v>
      </c>
    </row>
    <row r="297" spans="1:11" ht="28.5" customHeight="1">
      <c r="A297">
        <v>2014</v>
      </c>
      <c r="B297">
        <v>4</v>
      </c>
      <c r="C297">
        <v>3</v>
      </c>
      <c r="D297" t="s">
        <v>82</v>
      </c>
      <c r="E297" t="str">
        <f t="shared" si="16"/>
        <v>2014-Q4-3</v>
      </c>
      <c r="F297">
        <f t="shared" si="17"/>
        <v>1</v>
      </c>
      <c r="G297" t="s">
        <v>14</v>
      </c>
      <c r="H297">
        <f t="shared" si="18"/>
        <v>1</v>
      </c>
      <c r="I297" s="5">
        <f t="shared" si="19"/>
        <v>1</v>
      </c>
      <c r="J297" s="2" t="s">
        <v>647</v>
      </c>
      <c r="K297" s="2" t="s">
        <v>648</v>
      </c>
    </row>
    <row r="298" spans="1:11" ht="28.5" customHeight="1">
      <c r="A298">
        <v>2014</v>
      </c>
      <c r="B298">
        <v>4</v>
      </c>
      <c r="C298">
        <v>4</v>
      </c>
      <c r="D298" t="s">
        <v>82</v>
      </c>
      <c r="E298" t="str">
        <f t="shared" si="16"/>
        <v>2014-Q4-4</v>
      </c>
      <c r="F298">
        <f t="shared" si="17"/>
        <v>1</v>
      </c>
      <c r="G298" t="s">
        <v>14</v>
      </c>
      <c r="H298">
        <f t="shared" si="18"/>
        <v>1</v>
      </c>
      <c r="I298" s="5">
        <f t="shared" si="19"/>
        <v>1</v>
      </c>
      <c r="J298" s="2" t="s">
        <v>649</v>
      </c>
      <c r="K298" s="2" t="s">
        <v>650</v>
      </c>
    </row>
    <row r="299" spans="1:11" ht="28.5" customHeight="1">
      <c r="A299">
        <v>2014</v>
      </c>
      <c r="B299">
        <v>5</v>
      </c>
      <c r="C299">
        <v>0</v>
      </c>
      <c r="D299" t="s">
        <v>82</v>
      </c>
      <c r="E299" t="str">
        <f t="shared" si="16"/>
        <v>2014-Q5-0</v>
      </c>
      <c r="F299">
        <f t="shared" si="17"/>
        <v>1</v>
      </c>
      <c r="G299" t="s">
        <v>35</v>
      </c>
      <c r="H299">
        <f t="shared" si="18"/>
        <v>1</v>
      </c>
      <c r="I299" s="5">
        <f t="shared" si="19"/>
        <v>1</v>
      </c>
      <c r="J299" s="2" t="s">
        <v>651</v>
      </c>
      <c r="K299" s="2" t="s">
        <v>652</v>
      </c>
    </row>
    <row r="300" spans="1:11" ht="28.5" customHeight="1">
      <c r="A300">
        <v>2014</v>
      </c>
      <c r="B300">
        <v>5</v>
      </c>
      <c r="C300">
        <v>1</v>
      </c>
      <c r="D300" t="s">
        <v>82</v>
      </c>
      <c r="E300" t="str">
        <f t="shared" si="16"/>
        <v>2014-Q5-1</v>
      </c>
      <c r="F300">
        <f t="shared" si="17"/>
        <v>1</v>
      </c>
      <c r="G300" t="s">
        <v>35</v>
      </c>
      <c r="H300">
        <f t="shared" si="18"/>
        <v>1</v>
      </c>
      <c r="I300" s="5">
        <f t="shared" si="19"/>
        <v>1</v>
      </c>
      <c r="J300" s="2" t="s">
        <v>653</v>
      </c>
      <c r="K300" s="2" t="s">
        <v>654</v>
      </c>
    </row>
    <row r="301" spans="1:11">
      <c r="A301">
        <v>2014</v>
      </c>
      <c r="B301">
        <v>5</v>
      </c>
      <c r="C301">
        <v>2</v>
      </c>
      <c r="D301" t="s">
        <v>82</v>
      </c>
      <c r="E301" t="str">
        <f t="shared" si="16"/>
        <v>2014-Q5-2</v>
      </c>
      <c r="F301">
        <f t="shared" si="17"/>
        <v>1</v>
      </c>
      <c r="G301" t="s">
        <v>35</v>
      </c>
      <c r="H301">
        <f t="shared" si="18"/>
        <v>1</v>
      </c>
      <c r="I301" s="5">
        <f t="shared" si="19"/>
        <v>1</v>
      </c>
      <c r="J301" s="2" t="s">
        <v>655</v>
      </c>
      <c r="K301" s="2" t="s">
        <v>656</v>
      </c>
    </row>
    <row r="302" spans="1:11" ht="28.5" customHeight="1">
      <c r="A302">
        <v>2014</v>
      </c>
      <c r="B302">
        <v>5</v>
      </c>
      <c r="C302">
        <v>3</v>
      </c>
      <c r="D302" t="s">
        <v>82</v>
      </c>
      <c r="E302" t="str">
        <f t="shared" si="16"/>
        <v>2014-Q5-3</v>
      </c>
      <c r="F302">
        <f t="shared" si="17"/>
        <v>1</v>
      </c>
      <c r="G302" t="s">
        <v>35</v>
      </c>
      <c r="H302">
        <f t="shared" si="18"/>
        <v>1</v>
      </c>
      <c r="I302" s="5">
        <f t="shared" si="19"/>
        <v>1</v>
      </c>
      <c r="J302" s="2" t="s">
        <v>657</v>
      </c>
      <c r="K302" s="2" t="s">
        <v>658</v>
      </c>
    </row>
    <row r="303" spans="1:11" ht="28.5" customHeight="1">
      <c r="A303">
        <v>2014</v>
      </c>
      <c r="B303">
        <v>5</v>
      </c>
      <c r="C303">
        <v>4</v>
      </c>
      <c r="D303" t="s">
        <v>82</v>
      </c>
      <c r="E303" t="str">
        <f t="shared" si="16"/>
        <v>2014-Q5-4</v>
      </c>
      <c r="F303">
        <f t="shared" si="17"/>
        <v>1</v>
      </c>
      <c r="G303" t="s">
        <v>29</v>
      </c>
      <c r="H303">
        <f t="shared" si="18"/>
        <v>1</v>
      </c>
      <c r="I303" s="5">
        <f t="shared" si="19"/>
        <v>1</v>
      </c>
      <c r="J303" s="2" t="s">
        <v>659</v>
      </c>
      <c r="K303" s="2" t="s">
        <v>660</v>
      </c>
    </row>
    <row r="304" spans="1:11" ht="28.5" customHeight="1">
      <c r="A304">
        <v>2014</v>
      </c>
      <c r="B304">
        <v>6</v>
      </c>
      <c r="C304">
        <v>0</v>
      </c>
      <c r="D304" t="s">
        <v>82</v>
      </c>
      <c r="E304" t="str">
        <f t="shared" si="16"/>
        <v>2014-Q6-0</v>
      </c>
      <c r="F304">
        <f t="shared" si="17"/>
        <v>1</v>
      </c>
      <c r="G304" t="s">
        <v>35</v>
      </c>
      <c r="H304">
        <f t="shared" si="18"/>
        <v>2</v>
      </c>
      <c r="I304" s="5">
        <f t="shared" si="19"/>
        <v>0.5</v>
      </c>
      <c r="J304" s="2" t="s">
        <v>661</v>
      </c>
      <c r="K304" s="2" t="s">
        <v>662</v>
      </c>
    </row>
    <row r="305" spans="1:11" ht="28.5" customHeight="1">
      <c r="A305">
        <v>2014</v>
      </c>
      <c r="B305">
        <v>6</v>
      </c>
      <c r="C305">
        <v>0</v>
      </c>
      <c r="D305" t="s">
        <v>82</v>
      </c>
      <c r="E305" t="str">
        <f t="shared" si="16"/>
        <v>2014-Q6-0</v>
      </c>
      <c r="F305">
        <f t="shared" si="17"/>
        <v>1</v>
      </c>
      <c r="G305" t="s">
        <v>38</v>
      </c>
      <c r="H305">
        <f t="shared" si="18"/>
        <v>2</v>
      </c>
      <c r="I305" s="5">
        <f t="shared" si="19"/>
        <v>0.5</v>
      </c>
      <c r="J305" s="2" t="s">
        <v>661</v>
      </c>
      <c r="K305" s="2" t="s">
        <v>662</v>
      </c>
    </row>
    <row r="306" spans="1:11" ht="28.5" customHeight="1">
      <c r="A306">
        <v>2014</v>
      </c>
      <c r="B306">
        <v>6</v>
      </c>
      <c r="C306">
        <v>1</v>
      </c>
      <c r="D306" t="s">
        <v>82</v>
      </c>
      <c r="E306" t="str">
        <f t="shared" si="16"/>
        <v>2014-Q6-1</v>
      </c>
      <c r="F306">
        <f t="shared" si="17"/>
        <v>1</v>
      </c>
      <c r="G306" t="s">
        <v>35</v>
      </c>
      <c r="H306">
        <f t="shared" si="18"/>
        <v>1</v>
      </c>
      <c r="I306" s="5">
        <f t="shared" si="19"/>
        <v>1</v>
      </c>
      <c r="J306" s="2" t="s">
        <v>663</v>
      </c>
      <c r="K306" s="2" t="s">
        <v>664</v>
      </c>
    </row>
    <row r="307" spans="1:11">
      <c r="A307">
        <v>2014</v>
      </c>
      <c r="B307">
        <v>6</v>
      </c>
      <c r="C307">
        <v>2</v>
      </c>
      <c r="D307" t="s">
        <v>82</v>
      </c>
      <c r="E307" t="str">
        <f t="shared" si="16"/>
        <v>2014-Q6-2</v>
      </c>
      <c r="F307">
        <f t="shared" si="17"/>
        <v>1</v>
      </c>
      <c r="G307" t="s">
        <v>35</v>
      </c>
      <c r="H307">
        <f t="shared" si="18"/>
        <v>1</v>
      </c>
      <c r="I307" s="5">
        <f t="shared" si="19"/>
        <v>1</v>
      </c>
      <c r="J307" s="2" t="s">
        <v>665</v>
      </c>
      <c r="K307" s="2" t="s">
        <v>666</v>
      </c>
    </row>
    <row r="308" spans="1:11">
      <c r="A308">
        <v>2014</v>
      </c>
      <c r="B308">
        <v>6</v>
      </c>
      <c r="C308">
        <v>3</v>
      </c>
      <c r="D308" t="s">
        <v>82</v>
      </c>
      <c r="E308" t="str">
        <f t="shared" si="16"/>
        <v>2014-Q6-3</v>
      </c>
      <c r="F308">
        <f t="shared" si="17"/>
        <v>1</v>
      </c>
      <c r="G308" t="s">
        <v>32</v>
      </c>
      <c r="H308">
        <f t="shared" si="18"/>
        <v>1</v>
      </c>
      <c r="I308" s="5">
        <f t="shared" si="19"/>
        <v>1</v>
      </c>
      <c r="J308" s="2" t="s">
        <v>667</v>
      </c>
      <c r="K308" s="2" t="s">
        <v>668</v>
      </c>
    </row>
    <row r="309" spans="1:11" ht="28.5" customHeight="1">
      <c r="A309">
        <v>2014</v>
      </c>
      <c r="B309">
        <v>6</v>
      </c>
      <c r="C309">
        <v>4</v>
      </c>
      <c r="D309" t="s">
        <v>82</v>
      </c>
      <c r="E309" t="str">
        <f t="shared" si="16"/>
        <v>2014-Q6-4</v>
      </c>
      <c r="F309">
        <f t="shared" si="17"/>
        <v>1</v>
      </c>
      <c r="G309" t="s">
        <v>17</v>
      </c>
      <c r="H309">
        <f t="shared" si="18"/>
        <v>1</v>
      </c>
      <c r="I309" s="5">
        <f t="shared" si="19"/>
        <v>1</v>
      </c>
      <c r="J309" s="2" t="s">
        <v>669</v>
      </c>
      <c r="K309" s="2" t="s">
        <v>670</v>
      </c>
    </row>
    <row r="310" spans="1:11" ht="28.5" customHeight="1">
      <c r="A310">
        <v>2014</v>
      </c>
      <c r="B310">
        <v>7</v>
      </c>
      <c r="C310">
        <v>0</v>
      </c>
      <c r="D310" t="s">
        <v>82</v>
      </c>
      <c r="E310" t="str">
        <f t="shared" si="16"/>
        <v>2014-Q7-0</v>
      </c>
      <c r="F310">
        <f t="shared" si="17"/>
        <v>1</v>
      </c>
      <c r="G310" t="s">
        <v>41</v>
      </c>
      <c r="H310">
        <f t="shared" si="18"/>
        <v>1</v>
      </c>
      <c r="I310" s="5">
        <f t="shared" si="19"/>
        <v>1</v>
      </c>
      <c r="J310" s="2" t="s">
        <v>671</v>
      </c>
      <c r="K310" s="2" t="s">
        <v>672</v>
      </c>
    </row>
    <row r="311" spans="1:11" ht="28.5" customHeight="1">
      <c r="A311">
        <v>2014</v>
      </c>
      <c r="B311">
        <v>7</v>
      </c>
      <c r="C311">
        <v>1</v>
      </c>
      <c r="D311" t="s">
        <v>82</v>
      </c>
      <c r="E311" t="str">
        <f t="shared" si="16"/>
        <v>2014-Q7-1</v>
      </c>
      <c r="F311">
        <f t="shared" si="17"/>
        <v>1</v>
      </c>
      <c r="G311" t="s">
        <v>41</v>
      </c>
      <c r="H311">
        <f t="shared" si="18"/>
        <v>1</v>
      </c>
      <c r="I311" s="5">
        <f t="shared" si="19"/>
        <v>1</v>
      </c>
      <c r="J311" s="2" t="s">
        <v>673</v>
      </c>
      <c r="K311" s="2" t="s">
        <v>674</v>
      </c>
    </row>
    <row r="312" spans="1:11">
      <c r="A312">
        <v>2014</v>
      </c>
      <c r="B312">
        <v>7</v>
      </c>
      <c r="C312">
        <v>2</v>
      </c>
      <c r="D312" t="s">
        <v>82</v>
      </c>
      <c r="E312" t="str">
        <f t="shared" si="16"/>
        <v>2014-Q7-2</v>
      </c>
      <c r="F312">
        <f t="shared" si="17"/>
        <v>1</v>
      </c>
      <c r="G312" t="s">
        <v>41</v>
      </c>
      <c r="H312">
        <f t="shared" si="18"/>
        <v>1</v>
      </c>
      <c r="I312" s="5">
        <f t="shared" si="19"/>
        <v>1</v>
      </c>
      <c r="J312" s="2" t="s">
        <v>675</v>
      </c>
      <c r="K312" s="2" t="s">
        <v>676</v>
      </c>
    </row>
    <row r="313" spans="1:11" ht="28.5" customHeight="1">
      <c r="A313">
        <v>2014</v>
      </c>
      <c r="B313">
        <v>7</v>
      </c>
      <c r="C313">
        <v>3</v>
      </c>
      <c r="D313" t="s">
        <v>82</v>
      </c>
      <c r="E313" t="str">
        <f t="shared" si="16"/>
        <v>2014-Q7-3</v>
      </c>
      <c r="F313">
        <f t="shared" si="17"/>
        <v>1</v>
      </c>
      <c r="G313" t="s">
        <v>41</v>
      </c>
      <c r="H313">
        <f t="shared" si="18"/>
        <v>1</v>
      </c>
      <c r="I313" s="5">
        <f t="shared" si="19"/>
        <v>1</v>
      </c>
      <c r="J313" s="2" t="s">
        <v>677</v>
      </c>
      <c r="K313" s="2" t="s">
        <v>678</v>
      </c>
    </row>
    <row r="314" spans="1:11" ht="28.5" customHeight="1">
      <c r="A314">
        <v>2014</v>
      </c>
      <c r="B314">
        <v>7</v>
      </c>
      <c r="C314">
        <v>4</v>
      </c>
      <c r="D314" t="s">
        <v>82</v>
      </c>
      <c r="E314" t="str">
        <f t="shared" si="16"/>
        <v>2014-Q7-4</v>
      </c>
      <c r="F314">
        <f t="shared" si="17"/>
        <v>1</v>
      </c>
      <c r="G314" t="s">
        <v>41</v>
      </c>
      <c r="H314">
        <f t="shared" si="18"/>
        <v>1</v>
      </c>
      <c r="I314" s="5">
        <f t="shared" si="19"/>
        <v>1</v>
      </c>
      <c r="J314" s="2" t="s">
        <v>679</v>
      </c>
      <c r="K314" s="2" t="s">
        <v>680</v>
      </c>
    </row>
    <row r="315" spans="1:11" ht="28.5" customHeight="1">
      <c r="A315">
        <v>2014</v>
      </c>
      <c r="B315">
        <v>8</v>
      </c>
      <c r="C315">
        <v>0</v>
      </c>
      <c r="D315" t="s">
        <v>82</v>
      </c>
      <c r="E315" t="str">
        <f t="shared" si="16"/>
        <v>2014-Q8-0</v>
      </c>
      <c r="F315">
        <f t="shared" si="17"/>
        <v>1</v>
      </c>
      <c r="G315" t="s">
        <v>20</v>
      </c>
      <c r="H315">
        <f t="shared" si="18"/>
        <v>1</v>
      </c>
      <c r="I315" s="5">
        <f t="shared" si="19"/>
        <v>1</v>
      </c>
      <c r="J315" s="2" t="s">
        <v>681</v>
      </c>
      <c r="K315" s="2" t="s">
        <v>682</v>
      </c>
    </row>
    <row r="316" spans="1:11">
      <c r="A316">
        <v>2014</v>
      </c>
      <c r="B316">
        <v>8</v>
      </c>
      <c r="C316">
        <v>1</v>
      </c>
      <c r="D316" t="s">
        <v>82</v>
      </c>
      <c r="E316" t="str">
        <f t="shared" si="16"/>
        <v>2014-Q8-1</v>
      </c>
      <c r="F316">
        <f t="shared" si="17"/>
        <v>1</v>
      </c>
      <c r="G316" t="s">
        <v>20</v>
      </c>
      <c r="H316">
        <f t="shared" si="18"/>
        <v>1</v>
      </c>
      <c r="I316" s="5">
        <f t="shared" si="19"/>
        <v>1</v>
      </c>
      <c r="J316" s="2" t="s">
        <v>683</v>
      </c>
      <c r="K316" s="2" t="s">
        <v>684</v>
      </c>
    </row>
    <row r="317" spans="1:11" ht="28.5" customHeight="1">
      <c r="A317">
        <v>2014</v>
      </c>
      <c r="B317">
        <v>8</v>
      </c>
      <c r="C317">
        <v>2</v>
      </c>
      <c r="D317" t="s">
        <v>82</v>
      </c>
      <c r="E317" t="str">
        <f t="shared" si="16"/>
        <v>2014-Q8-2</v>
      </c>
      <c r="F317">
        <f t="shared" si="17"/>
        <v>1</v>
      </c>
      <c r="G317" t="s">
        <v>23</v>
      </c>
      <c r="H317">
        <f t="shared" si="18"/>
        <v>1</v>
      </c>
      <c r="I317" s="5">
        <f t="shared" si="19"/>
        <v>1</v>
      </c>
      <c r="J317" s="2" t="s">
        <v>685</v>
      </c>
      <c r="K317" s="2" t="s">
        <v>686</v>
      </c>
    </row>
    <row r="318" spans="1:11" ht="28.5" customHeight="1">
      <c r="A318">
        <v>2014</v>
      </c>
      <c r="B318">
        <v>8</v>
      </c>
      <c r="C318">
        <v>3</v>
      </c>
      <c r="D318" t="s">
        <v>82</v>
      </c>
      <c r="E318" t="str">
        <f t="shared" si="16"/>
        <v>2014-Q8-3</v>
      </c>
      <c r="F318">
        <f t="shared" si="17"/>
        <v>1</v>
      </c>
      <c r="G318" t="s">
        <v>26</v>
      </c>
      <c r="H318">
        <f t="shared" si="18"/>
        <v>1</v>
      </c>
      <c r="I318" s="5">
        <f t="shared" si="19"/>
        <v>1</v>
      </c>
      <c r="J318" s="2" t="s">
        <v>687</v>
      </c>
      <c r="K318" s="2" t="s">
        <v>688</v>
      </c>
    </row>
    <row r="319" spans="1:11">
      <c r="A319">
        <v>2014</v>
      </c>
      <c r="B319">
        <v>8</v>
      </c>
      <c r="C319">
        <v>4</v>
      </c>
      <c r="D319" t="s">
        <v>82</v>
      </c>
      <c r="E319" t="str">
        <f t="shared" si="16"/>
        <v>2014-Q8-4</v>
      </c>
      <c r="F319">
        <f t="shared" si="17"/>
        <v>1</v>
      </c>
      <c r="G319" t="s">
        <v>26</v>
      </c>
      <c r="H319">
        <f t="shared" si="18"/>
        <v>1</v>
      </c>
      <c r="I319" s="5">
        <f t="shared" si="19"/>
        <v>1</v>
      </c>
      <c r="J319" s="2" t="s">
        <v>689</v>
      </c>
      <c r="K319" s="2" t="s">
        <v>690</v>
      </c>
    </row>
    <row r="320" spans="1:11" ht="28.5" customHeight="1">
      <c r="A320">
        <v>2014</v>
      </c>
      <c r="B320">
        <v>9</v>
      </c>
      <c r="C320">
        <v>0</v>
      </c>
      <c r="D320" t="s">
        <v>82</v>
      </c>
      <c r="E320" t="str">
        <f t="shared" si="16"/>
        <v>2014-Q9-0</v>
      </c>
      <c r="F320">
        <f t="shared" si="17"/>
        <v>1</v>
      </c>
      <c r="G320" t="s">
        <v>44</v>
      </c>
      <c r="H320">
        <f t="shared" si="18"/>
        <v>1</v>
      </c>
      <c r="I320" s="5">
        <f t="shared" si="19"/>
        <v>1</v>
      </c>
      <c r="J320" s="2" t="s">
        <v>691</v>
      </c>
      <c r="K320" s="2" t="s">
        <v>692</v>
      </c>
    </row>
    <row r="321" spans="1:11">
      <c r="A321">
        <v>2014</v>
      </c>
      <c r="B321">
        <v>9</v>
      </c>
      <c r="C321">
        <v>1</v>
      </c>
      <c r="D321" t="s">
        <v>82</v>
      </c>
      <c r="E321" t="str">
        <f t="shared" si="16"/>
        <v>2014-Q9-1</v>
      </c>
      <c r="F321">
        <f t="shared" si="17"/>
        <v>1</v>
      </c>
      <c r="G321" t="s">
        <v>44</v>
      </c>
      <c r="H321">
        <f t="shared" si="18"/>
        <v>1</v>
      </c>
      <c r="I321" s="5">
        <f t="shared" si="19"/>
        <v>1</v>
      </c>
      <c r="J321" s="2" t="s">
        <v>693</v>
      </c>
      <c r="K321" s="2" t="s">
        <v>694</v>
      </c>
    </row>
    <row r="322" spans="1:11" ht="28.5" customHeight="1">
      <c r="A322">
        <v>2014</v>
      </c>
      <c r="B322">
        <v>9</v>
      </c>
      <c r="C322">
        <v>2</v>
      </c>
      <c r="D322" t="s">
        <v>82</v>
      </c>
      <c r="E322" t="str">
        <f t="shared" si="16"/>
        <v>2014-Q9-2</v>
      </c>
      <c r="F322">
        <f t="shared" si="17"/>
        <v>1</v>
      </c>
      <c r="G322" t="s">
        <v>44</v>
      </c>
      <c r="H322">
        <f t="shared" si="18"/>
        <v>1</v>
      </c>
      <c r="I322" s="5">
        <f t="shared" si="19"/>
        <v>1</v>
      </c>
      <c r="J322" s="2" t="s">
        <v>695</v>
      </c>
      <c r="K322" s="2" t="s">
        <v>696</v>
      </c>
    </row>
    <row r="323" spans="1:11">
      <c r="A323">
        <v>2014</v>
      </c>
      <c r="B323">
        <v>9</v>
      </c>
      <c r="C323">
        <v>3</v>
      </c>
      <c r="D323" t="s">
        <v>82</v>
      </c>
      <c r="E323" t="str">
        <f t="shared" si="16"/>
        <v>2014-Q9-3</v>
      </c>
      <c r="F323">
        <f t="shared" si="17"/>
        <v>1</v>
      </c>
      <c r="G323" t="s">
        <v>47</v>
      </c>
      <c r="H323">
        <f t="shared" si="18"/>
        <v>1</v>
      </c>
      <c r="I323" s="5">
        <f t="shared" si="19"/>
        <v>1</v>
      </c>
      <c r="J323" s="2" t="s">
        <v>697</v>
      </c>
      <c r="K323" s="2" t="s">
        <v>698</v>
      </c>
    </row>
    <row r="324" spans="1:11" ht="28.5" customHeight="1">
      <c r="A324">
        <v>2014</v>
      </c>
      <c r="B324">
        <v>9</v>
      </c>
      <c r="C324">
        <v>4</v>
      </c>
      <c r="D324" t="s">
        <v>82</v>
      </c>
      <c r="E324" t="str">
        <f t="shared" si="16"/>
        <v>2014-Q9-4</v>
      </c>
      <c r="F324">
        <f t="shared" si="17"/>
        <v>1</v>
      </c>
      <c r="G324" t="s">
        <v>47</v>
      </c>
      <c r="H324">
        <f t="shared" si="18"/>
        <v>1</v>
      </c>
      <c r="I324" s="5">
        <f t="shared" si="19"/>
        <v>1</v>
      </c>
      <c r="J324" s="2" t="s">
        <v>699</v>
      </c>
      <c r="K324" s="2" t="s">
        <v>700</v>
      </c>
    </row>
    <row r="325" spans="1:11" ht="28.5" customHeight="1">
      <c r="A325">
        <v>2014</v>
      </c>
      <c r="B325">
        <v>10</v>
      </c>
      <c r="D325" t="s">
        <v>193</v>
      </c>
      <c r="E325" t="str">
        <f t="shared" ref="E325:E388" si="20">IF(A325="","",TEXT(A325,"0")&amp;"-Q"&amp;TEXT(B325,"0")&amp;"-"&amp;IF(C325="","ABERTA",C325))</f>
        <v>2014-Q10-ABERTA</v>
      </c>
      <c r="F325">
        <f t="shared" ref="F325:F388" si="21">IF(D325="V/F",1,IF(D325="Aberta/numérica",5,""))</f>
        <v>5</v>
      </c>
      <c r="G325" t="s">
        <v>50</v>
      </c>
      <c r="H325">
        <f t="shared" ref="H325:H388" si="22">IF(A325="","",IF(C325="",COUNTIFS($A$5:$A$1504,A325,$B$5:$B$1504,B325,$C$5:$C$1504,"",$D$5:$D$1504,D325),COUNTIFS($A$5:$A$1504,A325,$B$5:$B$1504,B325,$C$5:$C$1504,C325,$D$5:$D$1504,D325)))</f>
        <v>1</v>
      </c>
      <c r="I325" s="5">
        <f t="shared" ref="I325:I388" si="23">IF(OR(F325="",H325="",G325=""),"",F325/H325)</f>
        <v>5</v>
      </c>
      <c r="J325" s="2" t="s">
        <v>701</v>
      </c>
      <c r="K325" s="2" t="s">
        <v>702</v>
      </c>
    </row>
    <row r="326" spans="1:11" ht="28.5" customHeight="1">
      <c r="A326">
        <v>2014</v>
      </c>
      <c r="B326">
        <v>11</v>
      </c>
      <c r="D326" t="s">
        <v>193</v>
      </c>
      <c r="E326" t="str">
        <f t="shared" si="20"/>
        <v>2014-Q11-ABERTA</v>
      </c>
      <c r="F326">
        <f t="shared" si="21"/>
        <v>5</v>
      </c>
      <c r="G326" t="s">
        <v>32</v>
      </c>
      <c r="H326">
        <f t="shared" si="22"/>
        <v>1</v>
      </c>
      <c r="I326" s="5">
        <f t="shared" si="23"/>
        <v>5</v>
      </c>
      <c r="J326" s="2" t="s">
        <v>703</v>
      </c>
      <c r="K326" s="2" t="s">
        <v>704</v>
      </c>
    </row>
    <row r="327" spans="1:11" ht="28.5" customHeight="1">
      <c r="A327">
        <v>2014</v>
      </c>
      <c r="B327">
        <v>12</v>
      </c>
      <c r="C327">
        <v>0</v>
      </c>
      <c r="D327" t="s">
        <v>82</v>
      </c>
      <c r="E327" t="str">
        <f t="shared" si="20"/>
        <v>2014-Q12-0</v>
      </c>
      <c r="F327">
        <f t="shared" si="21"/>
        <v>1</v>
      </c>
      <c r="G327" t="s">
        <v>35</v>
      </c>
      <c r="H327">
        <f t="shared" si="22"/>
        <v>1</v>
      </c>
      <c r="I327" s="5">
        <f t="shared" si="23"/>
        <v>1</v>
      </c>
      <c r="J327" s="2" t="s">
        <v>705</v>
      </c>
      <c r="K327" s="2" t="s">
        <v>706</v>
      </c>
    </row>
    <row r="328" spans="1:11">
      <c r="A328">
        <v>2014</v>
      </c>
      <c r="B328">
        <v>12</v>
      </c>
      <c r="C328">
        <v>1</v>
      </c>
      <c r="D328" t="s">
        <v>82</v>
      </c>
      <c r="E328" t="str">
        <f t="shared" si="20"/>
        <v>2014-Q12-1</v>
      </c>
      <c r="F328">
        <f t="shared" si="21"/>
        <v>1</v>
      </c>
      <c r="G328" t="s">
        <v>35</v>
      </c>
      <c r="H328">
        <f t="shared" si="22"/>
        <v>1</v>
      </c>
      <c r="I328" s="5">
        <f t="shared" si="23"/>
        <v>1</v>
      </c>
      <c r="J328" s="2" t="s">
        <v>707</v>
      </c>
      <c r="K328" s="2" t="s">
        <v>708</v>
      </c>
    </row>
    <row r="329" spans="1:11" ht="28.5" customHeight="1">
      <c r="A329">
        <v>2014</v>
      </c>
      <c r="B329">
        <v>12</v>
      </c>
      <c r="C329">
        <v>2</v>
      </c>
      <c r="D329" t="s">
        <v>82</v>
      </c>
      <c r="E329" t="str">
        <f t="shared" si="20"/>
        <v>2014-Q12-2</v>
      </c>
      <c r="F329">
        <f t="shared" si="21"/>
        <v>1</v>
      </c>
      <c r="G329" t="s">
        <v>35</v>
      </c>
      <c r="H329">
        <f t="shared" si="22"/>
        <v>1</v>
      </c>
      <c r="I329" s="5">
        <f t="shared" si="23"/>
        <v>1</v>
      </c>
      <c r="J329" s="2" t="s">
        <v>709</v>
      </c>
      <c r="K329" s="2" t="s">
        <v>710</v>
      </c>
    </row>
    <row r="330" spans="1:11" ht="28.5" customHeight="1">
      <c r="A330">
        <v>2014</v>
      </c>
      <c r="B330">
        <v>12</v>
      </c>
      <c r="C330">
        <v>3</v>
      </c>
      <c r="D330" t="s">
        <v>82</v>
      </c>
      <c r="E330" t="str">
        <f t="shared" si="20"/>
        <v>2014-Q12-3</v>
      </c>
      <c r="F330">
        <f t="shared" si="21"/>
        <v>1</v>
      </c>
      <c r="G330" t="s">
        <v>35</v>
      </c>
      <c r="H330">
        <f t="shared" si="22"/>
        <v>1</v>
      </c>
      <c r="I330" s="5">
        <f t="shared" si="23"/>
        <v>1</v>
      </c>
      <c r="J330" s="2" t="s">
        <v>711</v>
      </c>
      <c r="K330" s="2" t="s">
        <v>712</v>
      </c>
    </row>
    <row r="331" spans="1:11" ht="28.5" customHeight="1">
      <c r="A331">
        <v>2014</v>
      </c>
      <c r="B331">
        <v>12</v>
      </c>
      <c r="C331">
        <v>4</v>
      </c>
      <c r="D331" t="s">
        <v>82</v>
      </c>
      <c r="E331" t="str">
        <f t="shared" si="20"/>
        <v>2014-Q12-4</v>
      </c>
      <c r="F331">
        <f t="shared" si="21"/>
        <v>1</v>
      </c>
      <c r="G331" t="s">
        <v>35</v>
      </c>
      <c r="H331">
        <f t="shared" si="22"/>
        <v>1</v>
      </c>
      <c r="I331" s="5">
        <f t="shared" si="23"/>
        <v>1</v>
      </c>
      <c r="J331" s="2" t="s">
        <v>713</v>
      </c>
      <c r="K331" s="2" t="s">
        <v>714</v>
      </c>
    </row>
    <row r="332" spans="1:11" ht="28.5" customHeight="1">
      <c r="A332">
        <v>2014</v>
      </c>
      <c r="B332">
        <v>13</v>
      </c>
      <c r="C332">
        <v>0</v>
      </c>
      <c r="D332" t="s">
        <v>82</v>
      </c>
      <c r="E332" t="str">
        <f t="shared" si="20"/>
        <v>2014-Q13-0</v>
      </c>
      <c r="F332">
        <f t="shared" si="21"/>
        <v>1</v>
      </c>
      <c r="G332" t="s">
        <v>26</v>
      </c>
      <c r="H332">
        <f t="shared" si="22"/>
        <v>1</v>
      </c>
      <c r="I332" s="5">
        <f t="shared" si="23"/>
        <v>1</v>
      </c>
      <c r="J332" s="2" t="s">
        <v>715</v>
      </c>
      <c r="K332" s="2" t="s">
        <v>716</v>
      </c>
    </row>
    <row r="333" spans="1:11" ht="28.5" customHeight="1">
      <c r="A333">
        <v>2014</v>
      </c>
      <c r="B333">
        <v>13</v>
      </c>
      <c r="C333">
        <v>1</v>
      </c>
      <c r="D333" t="s">
        <v>82</v>
      </c>
      <c r="E333" t="str">
        <f t="shared" si="20"/>
        <v>2014-Q13-1</v>
      </c>
      <c r="F333">
        <f t="shared" si="21"/>
        <v>1</v>
      </c>
      <c r="G333" t="s">
        <v>26</v>
      </c>
      <c r="H333">
        <f t="shared" si="22"/>
        <v>1</v>
      </c>
      <c r="I333" s="5">
        <f t="shared" si="23"/>
        <v>1</v>
      </c>
      <c r="J333" s="2" t="s">
        <v>717</v>
      </c>
      <c r="K333" s="2" t="s">
        <v>718</v>
      </c>
    </row>
    <row r="334" spans="1:11">
      <c r="A334">
        <v>2014</v>
      </c>
      <c r="B334">
        <v>13</v>
      </c>
      <c r="C334">
        <v>2</v>
      </c>
      <c r="D334" t="s">
        <v>82</v>
      </c>
      <c r="E334" t="str">
        <f t="shared" si="20"/>
        <v>2014-Q13-2</v>
      </c>
      <c r="F334">
        <f t="shared" si="21"/>
        <v>1</v>
      </c>
      <c r="G334" t="s">
        <v>26</v>
      </c>
      <c r="H334">
        <f t="shared" si="22"/>
        <v>1</v>
      </c>
      <c r="I334" s="5">
        <f t="shared" si="23"/>
        <v>1</v>
      </c>
      <c r="J334" s="2" t="s">
        <v>719</v>
      </c>
      <c r="K334" s="2" t="s">
        <v>720</v>
      </c>
    </row>
    <row r="335" spans="1:11" ht="28.5" customHeight="1">
      <c r="A335">
        <v>2014</v>
      </c>
      <c r="B335">
        <v>13</v>
      </c>
      <c r="C335">
        <v>3</v>
      </c>
      <c r="D335" t="s">
        <v>82</v>
      </c>
      <c r="E335" t="str">
        <f t="shared" si="20"/>
        <v>2014-Q13-3</v>
      </c>
      <c r="F335">
        <f t="shared" si="21"/>
        <v>1</v>
      </c>
      <c r="G335" t="s">
        <v>26</v>
      </c>
      <c r="H335">
        <f t="shared" si="22"/>
        <v>1</v>
      </c>
      <c r="I335" s="5">
        <f t="shared" si="23"/>
        <v>1</v>
      </c>
      <c r="J335" s="2" t="s">
        <v>721</v>
      </c>
      <c r="K335" s="2" t="s">
        <v>722</v>
      </c>
    </row>
    <row r="336" spans="1:11" ht="28.5" customHeight="1">
      <c r="A336">
        <v>2014</v>
      </c>
      <c r="B336">
        <v>13</v>
      </c>
      <c r="C336">
        <v>4</v>
      </c>
      <c r="D336" t="s">
        <v>82</v>
      </c>
      <c r="E336" t="str">
        <f t="shared" si="20"/>
        <v>2014-Q13-4</v>
      </c>
      <c r="F336">
        <f t="shared" si="21"/>
        <v>1</v>
      </c>
      <c r="G336" t="s">
        <v>26</v>
      </c>
      <c r="H336">
        <f t="shared" si="22"/>
        <v>1</v>
      </c>
      <c r="I336" s="5">
        <f t="shared" si="23"/>
        <v>1</v>
      </c>
      <c r="J336" s="2" t="s">
        <v>723</v>
      </c>
      <c r="K336" s="2" t="s">
        <v>724</v>
      </c>
    </row>
    <row r="337" spans="1:11" ht="28.5" customHeight="1">
      <c r="A337">
        <v>2014</v>
      </c>
      <c r="B337">
        <v>14</v>
      </c>
      <c r="C337">
        <v>0</v>
      </c>
      <c r="D337" t="s">
        <v>82</v>
      </c>
      <c r="E337" t="str">
        <f t="shared" si="20"/>
        <v>2014-Q14-0</v>
      </c>
      <c r="F337">
        <f t="shared" si="21"/>
        <v>1</v>
      </c>
      <c r="G337" t="s">
        <v>20</v>
      </c>
      <c r="H337">
        <f t="shared" si="22"/>
        <v>1</v>
      </c>
      <c r="I337" s="5">
        <f t="shared" si="23"/>
        <v>1</v>
      </c>
      <c r="J337" s="2" t="s">
        <v>725</v>
      </c>
      <c r="K337" s="2" t="s">
        <v>726</v>
      </c>
    </row>
    <row r="338" spans="1:11" ht="28.5" customHeight="1">
      <c r="A338">
        <v>2014</v>
      </c>
      <c r="B338">
        <v>14</v>
      </c>
      <c r="C338">
        <v>1</v>
      </c>
      <c r="D338" t="s">
        <v>82</v>
      </c>
      <c r="E338" t="str">
        <f t="shared" si="20"/>
        <v>2014-Q14-1</v>
      </c>
      <c r="F338">
        <f t="shared" si="21"/>
        <v>1</v>
      </c>
      <c r="G338" t="s">
        <v>20</v>
      </c>
      <c r="H338">
        <f t="shared" si="22"/>
        <v>1</v>
      </c>
      <c r="I338" s="5">
        <f t="shared" si="23"/>
        <v>1</v>
      </c>
      <c r="J338" s="2" t="s">
        <v>727</v>
      </c>
      <c r="K338" s="2" t="s">
        <v>728</v>
      </c>
    </row>
    <row r="339" spans="1:11" ht="28.5" customHeight="1">
      <c r="A339">
        <v>2014</v>
      </c>
      <c r="B339">
        <v>14</v>
      </c>
      <c r="C339">
        <v>2</v>
      </c>
      <c r="D339" t="s">
        <v>82</v>
      </c>
      <c r="E339" t="str">
        <f t="shared" si="20"/>
        <v>2014-Q14-2</v>
      </c>
      <c r="F339">
        <f t="shared" si="21"/>
        <v>1</v>
      </c>
      <c r="G339" t="s">
        <v>35</v>
      </c>
      <c r="H339">
        <f t="shared" si="22"/>
        <v>1</v>
      </c>
      <c r="I339" s="5">
        <f t="shared" si="23"/>
        <v>1</v>
      </c>
      <c r="J339" s="2" t="s">
        <v>729</v>
      </c>
      <c r="K339" s="2" t="s">
        <v>730</v>
      </c>
    </row>
    <row r="340" spans="1:11" ht="28.5" customHeight="1">
      <c r="A340">
        <v>2014</v>
      </c>
      <c r="B340">
        <v>14</v>
      </c>
      <c r="C340">
        <v>3</v>
      </c>
      <c r="D340" t="s">
        <v>82</v>
      </c>
      <c r="E340" t="str">
        <f t="shared" si="20"/>
        <v>2014-Q14-3</v>
      </c>
      <c r="F340">
        <f t="shared" si="21"/>
        <v>1</v>
      </c>
      <c r="G340" t="s">
        <v>35</v>
      </c>
      <c r="H340">
        <f t="shared" si="22"/>
        <v>1</v>
      </c>
      <c r="I340" s="5">
        <f t="shared" si="23"/>
        <v>1</v>
      </c>
      <c r="J340" s="2" t="s">
        <v>731</v>
      </c>
      <c r="K340" s="2" t="s">
        <v>732</v>
      </c>
    </row>
    <row r="341" spans="1:11">
      <c r="A341">
        <v>2014</v>
      </c>
      <c r="B341">
        <v>14</v>
      </c>
      <c r="C341">
        <v>4</v>
      </c>
      <c r="D341" t="s">
        <v>82</v>
      </c>
      <c r="E341" t="str">
        <f t="shared" si="20"/>
        <v>2014-Q14-4</v>
      </c>
      <c r="F341">
        <f t="shared" si="21"/>
        <v>1</v>
      </c>
      <c r="G341" t="s">
        <v>50</v>
      </c>
      <c r="H341">
        <f t="shared" si="22"/>
        <v>1</v>
      </c>
      <c r="I341" s="5">
        <f t="shared" si="23"/>
        <v>1</v>
      </c>
      <c r="J341" s="2" t="s">
        <v>733</v>
      </c>
      <c r="K341" s="2" t="s">
        <v>734</v>
      </c>
    </row>
    <row r="342" spans="1:11" ht="28.5" customHeight="1">
      <c r="A342">
        <v>2014</v>
      </c>
      <c r="B342">
        <v>15</v>
      </c>
      <c r="D342" t="s">
        <v>193</v>
      </c>
      <c r="E342" t="str">
        <f t="shared" si="20"/>
        <v>2014-Q15-ABERTA</v>
      </c>
      <c r="F342">
        <f t="shared" si="21"/>
        <v>5</v>
      </c>
      <c r="G342" t="s">
        <v>41</v>
      </c>
      <c r="H342">
        <f t="shared" si="22"/>
        <v>1</v>
      </c>
      <c r="I342" s="5">
        <f t="shared" si="23"/>
        <v>5</v>
      </c>
      <c r="J342" s="2" t="s">
        <v>735</v>
      </c>
      <c r="K342" s="2" t="s">
        <v>736</v>
      </c>
    </row>
    <row r="343" spans="1:11">
      <c r="A343">
        <v>2015</v>
      </c>
      <c r="B343">
        <v>1</v>
      </c>
      <c r="C343">
        <v>0</v>
      </c>
      <c r="D343" t="s">
        <v>82</v>
      </c>
      <c r="E343" t="str">
        <f t="shared" si="20"/>
        <v>2015-Q1-0</v>
      </c>
      <c r="F343">
        <f t="shared" si="21"/>
        <v>1</v>
      </c>
      <c r="G343" t="s">
        <v>11</v>
      </c>
      <c r="H343">
        <f t="shared" si="22"/>
        <v>1</v>
      </c>
      <c r="I343" s="5">
        <f t="shared" si="23"/>
        <v>1</v>
      </c>
      <c r="J343" s="2" t="s">
        <v>737</v>
      </c>
      <c r="K343" s="2" t="s">
        <v>738</v>
      </c>
    </row>
    <row r="344" spans="1:11">
      <c r="A344">
        <v>2015</v>
      </c>
      <c r="B344">
        <v>1</v>
      </c>
      <c r="C344">
        <v>1</v>
      </c>
      <c r="D344" t="s">
        <v>82</v>
      </c>
      <c r="E344" t="str">
        <f t="shared" si="20"/>
        <v>2015-Q1-1</v>
      </c>
      <c r="F344">
        <f t="shared" si="21"/>
        <v>1</v>
      </c>
      <c r="G344" t="s">
        <v>11</v>
      </c>
      <c r="H344">
        <f t="shared" si="22"/>
        <v>1</v>
      </c>
      <c r="I344" s="5">
        <f t="shared" si="23"/>
        <v>1</v>
      </c>
      <c r="J344" s="2" t="s">
        <v>739</v>
      </c>
      <c r="K344" s="2" t="s">
        <v>740</v>
      </c>
    </row>
    <row r="345" spans="1:11">
      <c r="A345">
        <v>2015</v>
      </c>
      <c r="B345">
        <v>1</v>
      </c>
      <c r="C345">
        <v>2</v>
      </c>
      <c r="D345" t="s">
        <v>82</v>
      </c>
      <c r="E345" t="str">
        <f t="shared" si="20"/>
        <v>2015-Q1-2</v>
      </c>
      <c r="F345">
        <f t="shared" si="21"/>
        <v>1</v>
      </c>
      <c r="G345" t="s">
        <v>11</v>
      </c>
      <c r="H345">
        <f t="shared" si="22"/>
        <v>1</v>
      </c>
      <c r="I345" s="5">
        <f t="shared" si="23"/>
        <v>1</v>
      </c>
      <c r="J345" s="2" t="s">
        <v>741</v>
      </c>
      <c r="K345" s="2" t="s">
        <v>742</v>
      </c>
    </row>
    <row r="346" spans="1:11">
      <c r="A346">
        <v>2015</v>
      </c>
      <c r="B346">
        <v>1</v>
      </c>
      <c r="C346">
        <v>3</v>
      </c>
      <c r="D346" t="s">
        <v>82</v>
      </c>
      <c r="E346" t="str">
        <f t="shared" si="20"/>
        <v>2015-Q1-3</v>
      </c>
      <c r="F346">
        <f t="shared" si="21"/>
        <v>1</v>
      </c>
      <c r="G346" t="s">
        <v>11</v>
      </c>
      <c r="H346">
        <f t="shared" si="22"/>
        <v>1</v>
      </c>
      <c r="I346" s="5">
        <f t="shared" si="23"/>
        <v>1</v>
      </c>
      <c r="J346" s="2" t="s">
        <v>743</v>
      </c>
      <c r="K346" s="2" t="s">
        <v>744</v>
      </c>
    </row>
    <row r="347" spans="1:11">
      <c r="A347">
        <v>2015</v>
      </c>
      <c r="B347">
        <v>1</v>
      </c>
      <c r="C347">
        <v>4</v>
      </c>
      <c r="D347" t="s">
        <v>82</v>
      </c>
      <c r="E347" t="str">
        <f t="shared" si="20"/>
        <v>2015-Q1-4</v>
      </c>
      <c r="F347">
        <f t="shared" si="21"/>
        <v>1</v>
      </c>
      <c r="G347" t="s">
        <v>11</v>
      </c>
      <c r="H347">
        <f t="shared" si="22"/>
        <v>1</v>
      </c>
      <c r="I347" s="5">
        <f t="shared" si="23"/>
        <v>1</v>
      </c>
      <c r="J347" s="2" t="s">
        <v>745</v>
      </c>
      <c r="K347" s="2" t="s">
        <v>746</v>
      </c>
    </row>
    <row r="348" spans="1:11">
      <c r="A348">
        <v>2015</v>
      </c>
      <c r="B348">
        <v>2</v>
      </c>
      <c r="C348">
        <v>0</v>
      </c>
      <c r="D348" t="s">
        <v>82</v>
      </c>
      <c r="E348" t="str">
        <f t="shared" si="20"/>
        <v>2015-Q2-0</v>
      </c>
      <c r="F348">
        <f t="shared" si="21"/>
        <v>1</v>
      </c>
      <c r="G348" t="s">
        <v>20</v>
      </c>
      <c r="H348">
        <f t="shared" si="22"/>
        <v>1</v>
      </c>
      <c r="I348" s="5">
        <f t="shared" si="23"/>
        <v>1</v>
      </c>
      <c r="J348" s="2" t="s">
        <v>747</v>
      </c>
      <c r="K348" s="2" t="s">
        <v>748</v>
      </c>
    </row>
    <row r="349" spans="1:11">
      <c r="A349">
        <v>2015</v>
      </c>
      <c r="B349">
        <v>2</v>
      </c>
      <c r="C349">
        <v>1</v>
      </c>
      <c r="D349" t="s">
        <v>82</v>
      </c>
      <c r="E349" t="str">
        <f t="shared" si="20"/>
        <v>2015-Q2-1</v>
      </c>
      <c r="F349">
        <f t="shared" si="21"/>
        <v>1</v>
      </c>
      <c r="G349" t="s">
        <v>20</v>
      </c>
      <c r="H349">
        <f t="shared" si="22"/>
        <v>1</v>
      </c>
      <c r="I349" s="5">
        <f t="shared" si="23"/>
        <v>1</v>
      </c>
      <c r="J349" s="2" t="s">
        <v>749</v>
      </c>
      <c r="K349" s="2" t="s">
        <v>750</v>
      </c>
    </row>
    <row r="350" spans="1:11" ht="28.5" customHeight="1">
      <c r="A350">
        <v>2015</v>
      </c>
      <c r="B350">
        <v>2</v>
      </c>
      <c r="C350">
        <v>2</v>
      </c>
      <c r="D350" t="s">
        <v>82</v>
      </c>
      <c r="E350" t="str">
        <f t="shared" si="20"/>
        <v>2015-Q2-2</v>
      </c>
      <c r="F350">
        <f t="shared" si="21"/>
        <v>1</v>
      </c>
      <c r="G350" t="s">
        <v>20</v>
      </c>
      <c r="H350">
        <f t="shared" si="22"/>
        <v>1</v>
      </c>
      <c r="I350" s="5">
        <f t="shared" si="23"/>
        <v>1</v>
      </c>
      <c r="J350" s="2" t="s">
        <v>751</v>
      </c>
      <c r="K350" s="2" t="s">
        <v>752</v>
      </c>
    </row>
    <row r="351" spans="1:11">
      <c r="A351">
        <v>2015</v>
      </c>
      <c r="B351">
        <v>2</v>
      </c>
      <c r="C351">
        <v>3</v>
      </c>
      <c r="D351" t="s">
        <v>82</v>
      </c>
      <c r="E351" t="str">
        <f t="shared" si="20"/>
        <v>2015-Q2-3</v>
      </c>
      <c r="F351">
        <f t="shared" si="21"/>
        <v>1</v>
      </c>
      <c r="G351" t="s">
        <v>20</v>
      </c>
      <c r="H351">
        <f t="shared" si="22"/>
        <v>1</v>
      </c>
      <c r="I351" s="5">
        <f t="shared" si="23"/>
        <v>1</v>
      </c>
      <c r="J351" s="2" t="s">
        <v>753</v>
      </c>
      <c r="K351" s="2" t="s">
        <v>754</v>
      </c>
    </row>
    <row r="352" spans="1:11" ht="28.5" customHeight="1">
      <c r="A352">
        <v>2015</v>
      </c>
      <c r="B352">
        <v>2</v>
      </c>
      <c r="C352">
        <v>4</v>
      </c>
      <c r="D352" t="s">
        <v>82</v>
      </c>
      <c r="E352" t="str">
        <f t="shared" si="20"/>
        <v>2015-Q2-4</v>
      </c>
      <c r="F352">
        <f t="shared" si="21"/>
        <v>1</v>
      </c>
      <c r="G352" t="s">
        <v>20</v>
      </c>
      <c r="H352">
        <f t="shared" si="22"/>
        <v>1</v>
      </c>
      <c r="I352" s="5">
        <f t="shared" si="23"/>
        <v>1</v>
      </c>
      <c r="J352" s="2" t="s">
        <v>755</v>
      </c>
      <c r="K352" s="2" t="s">
        <v>756</v>
      </c>
    </row>
    <row r="353" spans="1:11" ht="28.5" customHeight="1">
      <c r="A353">
        <v>2015</v>
      </c>
      <c r="B353">
        <v>3</v>
      </c>
      <c r="C353">
        <v>0</v>
      </c>
      <c r="D353" t="s">
        <v>82</v>
      </c>
      <c r="E353" t="str">
        <f t="shared" si="20"/>
        <v>2015-Q3-0</v>
      </c>
      <c r="F353">
        <f t="shared" si="21"/>
        <v>1</v>
      </c>
      <c r="G353" t="s">
        <v>44</v>
      </c>
      <c r="H353">
        <f t="shared" si="22"/>
        <v>1</v>
      </c>
      <c r="I353" s="5">
        <f t="shared" si="23"/>
        <v>1</v>
      </c>
      <c r="J353" s="2" t="s">
        <v>757</v>
      </c>
      <c r="K353" s="2" t="s">
        <v>758</v>
      </c>
    </row>
    <row r="354" spans="1:11" ht="28.5" customHeight="1">
      <c r="A354">
        <v>2015</v>
      </c>
      <c r="B354">
        <v>3</v>
      </c>
      <c r="C354">
        <v>1</v>
      </c>
      <c r="D354" t="s">
        <v>82</v>
      </c>
      <c r="E354" t="str">
        <f t="shared" si="20"/>
        <v>2015-Q3-1</v>
      </c>
      <c r="F354">
        <f t="shared" si="21"/>
        <v>1</v>
      </c>
      <c r="G354" t="s">
        <v>20</v>
      </c>
      <c r="H354">
        <f t="shared" si="22"/>
        <v>2</v>
      </c>
      <c r="I354" s="5">
        <f t="shared" si="23"/>
        <v>0.5</v>
      </c>
      <c r="J354" s="2" t="s">
        <v>759</v>
      </c>
      <c r="K354" s="2" t="s">
        <v>760</v>
      </c>
    </row>
    <row r="355" spans="1:11" ht="28.5" customHeight="1">
      <c r="A355">
        <v>2015</v>
      </c>
      <c r="B355">
        <v>3</v>
      </c>
      <c r="C355">
        <v>1</v>
      </c>
      <c r="D355" t="s">
        <v>82</v>
      </c>
      <c r="E355" t="str">
        <f t="shared" si="20"/>
        <v>2015-Q3-1</v>
      </c>
      <c r="F355">
        <f t="shared" si="21"/>
        <v>1</v>
      </c>
      <c r="G355" t="s">
        <v>35</v>
      </c>
      <c r="H355">
        <f t="shared" si="22"/>
        <v>2</v>
      </c>
      <c r="I355" s="5">
        <f t="shared" si="23"/>
        <v>0.5</v>
      </c>
      <c r="J355" s="2" t="s">
        <v>759</v>
      </c>
      <c r="K355" s="2" t="s">
        <v>760</v>
      </c>
    </row>
    <row r="356" spans="1:11" ht="28.5" customHeight="1">
      <c r="A356">
        <v>2015</v>
      </c>
      <c r="B356">
        <v>3</v>
      </c>
      <c r="C356">
        <v>2</v>
      </c>
      <c r="D356" t="s">
        <v>82</v>
      </c>
      <c r="E356" t="str">
        <f t="shared" si="20"/>
        <v>2015-Q3-2</v>
      </c>
      <c r="F356">
        <f t="shared" si="21"/>
        <v>1</v>
      </c>
      <c r="G356" t="s">
        <v>20</v>
      </c>
      <c r="H356">
        <f t="shared" si="22"/>
        <v>2</v>
      </c>
      <c r="I356" s="5">
        <f t="shared" si="23"/>
        <v>0.5</v>
      </c>
      <c r="J356" s="2" t="s">
        <v>761</v>
      </c>
      <c r="K356" s="2" t="s">
        <v>762</v>
      </c>
    </row>
    <row r="357" spans="1:11" ht="28.5" customHeight="1">
      <c r="A357">
        <v>2015</v>
      </c>
      <c r="B357">
        <v>3</v>
      </c>
      <c r="C357">
        <v>2</v>
      </c>
      <c r="D357" t="s">
        <v>82</v>
      </c>
      <c r="E357" t="str">
        <f t="shared" si="20"/>
        <v>2015-Q3-2</v>
      </c>
      <c r="F357">
        <f t="shared" si="21"/>
        <v>1</v>
      </c>
      <c r="G357" t="s">
        <v>35</v>
      </c>
      <c r="H357">
        <f t="shared" si="22"/>
        <v>2</v>
      </c>
      <c r="I357" s="5">
        <f t="shared" si="23"/>
        <v>0.5</v>
      </c>
      <c r="J357" s="2" t="s">
        <v>761</v>
      </c>
      <c r="K357" s="2" t="s">
        <v>762</v>
      </c>
    </row>
    <row r="358" spans="1:11" ht="28.5" customHeight="1">
      <c r="A358">
        <v>2015</v>
      </c>
      <c r="B358">
        <v>3</v>
      </c>
      <c r="C358">
        <v>3</v>
      </c>
      <c r="D358" t="s">
        <v>82</v>
      </c>
      <c r="E358" t="str">
        <f t="shared" si="20"/>
        <v>2015-Q3-3</v>
      </c>
      <c r="F358">
        <f t="shared" si="21"/>
        <v>1</v>
      </c>
      <c r="G358" t="s">
        <v>20</v>
      </c>
      <c r="H358">
        <f t="shared" si="22"/>
        <v>2</v>
      </c>
      <c r="I358" s="5">
        <f t="shared" si="23"/>
        <v>0.5</v>
      </c>
      <c r="J358" s="2" t="s">
        <v>763</v>
      </c>
      <c r="K358" s="2" t="s">
        <v>764</v>
      </c>
    </row>
    <row r="359" spans="1:11" ht="28.5" customHeight="1">
      <c r="A359">
        <v>2015</v>
      </c>
      <c r="B359">
        <v>3</v>
      </c>
      <c r="C359">
        <v>3</v>
      </c>
      <c r="D359" t="s">
        <v>82</v>
      </c>
      <c r="E359" t="str">
        <f t="shared" si="20"/>
        <v>2015-Q3-3</v>
      </c>
      <c r="F359">
        <f t="shared" si="21"/>
        <v>1</v>
      </c>
      <c r="G359" t="s">
        <v>35</v>
      </c>
      <c r="H359">
        <f t="shared" si="22"/>
        <v>2</v>
      </c>
      <c r="I359" s="5">
        <f t="shared" si="23"/>
        <v>0.5</v>
      </c>
      <c r="J359" s="2" t="s">
        <v>763</v>
      </c>
      <c r="K359" s="2" t="s">
        <v>764</v>
      </c>
    </row>
    <row r="360" spans="1:11" ht="28.5" customHeight="1">
      <c r="A360">
        <v>2015</v>
      </c>
      <c r="B360">
        <v>3</v>
      </c>
      <c r="C360">
        <v>4</v>
      </c>
      <c r="D360" t="s">
        <v>82</v>
      </c>
      <c r="E360" t="str">
        <f t="shared" si="20"/>
        <v>2015-Q3-4</v>
      </c>
      <c r="F360">
        <f t="shared" si="21"/>
        <v>1</v>
      </c>
      <c r="G360" t="s">
        <v>47</v>
      </c>
      <c r="H360">
        <f t="shared" si="22"/>
        <v>1</v>
      </c>
      <c r="I360" s="5">
        <f t="shared" si="23"/>
        <v>1</v>
      </c>
      <c r="J360" s="2" t="s">
        <v>765</v>
      </c>
      <c r="K360" s="2" t="s">
        <v>766</v>
      </c>
    </row>
    <row r="361" spans="1:11" ht="28.5" customHeight="1">
      <c r="A361">
        <v>2015</v>
      </c>
      <c r="B361">
        <v>4</v>
      </c>
      <c r="C361">
        <v>0</v>
      </c>
      <c r="D361" t="s">
        <v>82</v>
      </c>
      <c r="E361" t="str">
        <f t="shared" si="20"/>
        <v>2015-Q4-0</v>
      </c>
      <c r="F361">
        <f t="shared" si="21"/>
        <v>1</v>
      </c>
      <c r="G361" t="s">
        <v>14</v>
      </c>
      <c r="H361">
        <f t="shared" si="22"/>
        <v>1</v>
      </c>
      <c r="I361" s="5">
        <f t="shared" si="23"/>
        <v>1</v>
      </c>
      <c r="J361" s="2" t="s">
        <v>767</v>
      </c>
      <c r="K361" s="2" t="s">
        <v>768</v>
      </c>
    </row>
    <row r="362" spans="1:11" ht="28.5" customHeight="1">
      <c r="A362">
        <v>2015</v>
      </c>
      <c r="B362">
        <v>4</v>
      </c>
      <c r="C362">
        <v>1</v>
      </c>
      <c r="D362" t="s">
        <v>82</v>
      </c>
      <c r="E362" t="str">
        <f t="shared" si="20"/>
        <v>2015-Q4-1</v>
      </c>
      <c r="F362">
        <f t="shared" si="21"/>
        <v>1</v>
      </c>
      <c r="G362" t="s">
        <v>44</v>
      </c>
      <c r="H362">
        <f t="shared" si="22"/>
        <v>1</v>
      </c>
      <c r="I362" s="5">
        <f t="shared" si="23"/>
        <v>1</v>
      </c>
      <c r="J362" s="2" t="s">
        <v>769</v>
      </c>
      <c r="K362" s="2" t="s">
        <v>770</v>
      </c>
    </row>
    <row r="363" spans="1:11" ht="28.5" customHeight="1">
      <c r="A363">
        <v>2015</v>
      </c>
      <c r="B363">
        <v>4</v>
      </c>
      <c r="C363">
        <v>2</v>
      </c>
      <c r="D363" t="s">
        <v>82</v>
      </c>
      <c r="E363" t="str">
        <f t="shared" si="20"/>
        <v>2015-Q4-2</v>
      </c>
      <c r="F363">
        <f t="shared" si="21"/>
        <v>1</v>
      </c>
      <c r="G363" t="s">
        <v>44</v>
      </c>
      <c r="H363">
        <f t="shared" si="22"/>
        <v>1</v>
      </c>
      <c r="I363" s="5">
        <f t="shared" si="23"/>
        <v>1</v>
      </c>
      <c r="J363" s="2" t="s">
        <v>771</v>
      </c>
      <c r="K363" s="2" t="s">
        <v>772</v>
      </c>
    </row>
    <row r="364" spans="1:11">
      <c r="A364">
        <v>2015</v>
      </c>
      <c r="B364">
        <v>4</v>
      </c>
      <c r="C364">
        <v>3</v>
      </c>
      <c r="D364" t="s">
        <v>82</v>
      </c>
      <c r="E364" t="str">
        <f t="shared" si="20"/>
        <v>2015-Q4-3</v>
      </c>
      <c r="F364">
        <f t="shared" si="21"/>
        <v>1</v>
      </c>
      <c r="G364" t="s">
        <v>44</v>
      </c>
      <c r="H364">
        <f t="shared" si="22"/>
        <v>1</v>
      </c>
      <c r="I364" s="5">
        <f t="shared" si="23"/>
        <v>1</v>
      </c>
      <c r="J364" s="2" t="s">
        <v>773</v>
      </c>
      <c r="K364" s="2" t="s">
        <v>774</v>
      </c>
    </row>
    <row r="365" spans="1:11" ht="28.5" customHeight="1">
      <c r="A365">
        <v>2015</v>
      </c>
      <c r="B365">
        <v>4</v>
      </c>
      <c r="C365">
        <v>4</v>
      </c>
      <c r="D365" t="s">
        <v>82</v>
      </c>
      <c r="E365" t="str">
        <f t="shared" si="20"/>
        <v>2015-Q4-4</v>
      </c>
      <c r="F365">
        <f t="shared" si="21"/>
        <v>1</v>
      </c>
      <c r="G365" t="s">
        <v>44</v>
      </c>
      <c r="H365">
        <f t="shared" si="22"/>
        <v>1</v>
      </c>
      <c r="I365" s="5">
        <f t="shared" si="23"/>
        <v>1</v>
      </c>
      <c r="J365" s="2" t="s">
        <v>775</v>
      </c>
      <c r="K365" s="2" t="s">
        <v>776</v>
      </c>
    </row>
    <row r="366" spans="1:11" ht="28.5" customHeight="1">
      <c r="A366">
        <v>2015</v>
      </c>
      <c r="B366">
        <v>5</v>
      </c>
      <c r="C366">
        <v>0</v>
      </c>
      <c r="D366" t="s">
        <v>82</v>
      </c>
      <c r="E366" t="str">
        <f t="shared" si="20"/>
        <v>2015-Q5-0</v>
      </c>
      <c r="F366">
        <f t="shared" si="21"/>
        <v>1</v>
      </c>
      <c r="G366" t="s">
        <v>35</v>
      </c>
      <c r="H366">
        <f t="shared" si="22"/>
        <v>1</v>
      </c>
      <c r="I366" s="5">
        <f t="shared" si="23"/>
        <v>1</v>
      </c>
      <c r="J366" s="2" t="s">
        <v>777</v>
      </c>
      <c r="K366" s="2" t="s">
        <v>778</v>
      </c>
    </row>
    <row r="367" spans="1:11">
      <c r="A367">
        <v>2015</v>
      </c>
      <c r="B367">
        <v>5</v>
      </c>
      <c r="C367">
        <v>1</v>
      </c>
      <c r="D367" t="s">
        <v>82</v>
      </c>
      <c r="E367" t="str">
        <f t="shared" si="20"/>
        <v>2015-Q5-1</v>
      </c>
      <c r="F367">
        <f t="shared" si="21"/>
        <v>1</v>
      </c>
      <c r="G367" t="s">
        <v>17</v>
      </c>
      <c r="H367">
        <f t="shared" si="22"/>
        <v>1</v>
      </c>
      <c r="I367" s="5">
        <f t="shared" si="23"/>
        <v>1</v>
      </c>
      <c r="J367" s="2" t="s">
        <v>779</v>
      </c>
      <c r="K367" s="2" t="s">
        <v>780</v>
      </c>
    </row>
    <row r="368" spans="1:11" ht="28.5" customHeight="1">
      <c r="A368">
        <v>2015</v>
      </c>
      <c r="B368">
        <v>5</v>
      </c>
      <c r="C368">
        <v>2</v>
      </c>
      <c r="D368" t="s">
        <v>82</v>
      </c>
      <c r="E368" t="str">
        <f t="shared" si="20"/>
        <v>2015-Q5-2</v>
      </c>
      <c r="F368">
        <f t="shared" si="21"/>
        <v>1</v>
      </c>
      <c r="G368" t="s">
        <v>38</v>
      </c>
      <c r="H368">
        <f t="shared" si="22"/>
        <v>1</v>
      </c>
      <c r="I368" s="5">
        <f t="shared" si="23"/>
        <v>1</v>
      </c>
      <c r="J368" s="2" t="s">
        <v>781</v>
      </c>
      <c r="K368" s="2" t="s">
        <v>782</v>
      </c>
    </row>
    <row r="369" spans="1:11" ht="28.5" customHeight="1">
      <c r="A369">
        <v>2015</v>
      </c>
      <c r="B369">
        <v>5</v>
      </c>
      <c r="C369">
        <v>3</v>
      </c>
      <c r="D369" t="s">
        <v>82</v>
      </c>
      <c r="E369" t="str">
        <f t="shared" si="20"/>
        <v>2015-Q5-3</v>
      </c>
      <c r="F369">
        <f t="shared" si="21"/>
        <v>1</v>
      </c>
      <c r="G369" t="s">
        <v>35</v>
      </c>
      <c r="H369">
        <f t="shared" si="22"/>
        <v>1</v>
      </c>
      <c r="I369" s="5">
        <f t="shared" si="23"/>
        <v>1</v>
      </c>
      <c r="J369" s="2" t="s">
        <v>783</v>
      </c>
      <c r="K369" s="2" t="s">
        <v>784</v>
      </c>
    </row>
    <row r="370" spans="1:11" ht="28.5" customHeight="1">
      <c r="A370">
        <v>2015</v>
      </c>
      <c r="B370">
        <v>5</v>
      </c>
      <c r="C370">
        <v>4</v>
      </c>
      <c r="D370" t="s">
        <v>82</v>
      </c>
      <c r="E370" t="str">
        <f t="shared" si="20"/>
        <v>2015-Q5-4</v>
      </c>
      <c r="F370">
        <f t="shared" si="21"/>
        <v>1</v>
      </c>
      <c r="G370" t="s">
        <v>38</v>
      </c>
      <c r="H370">
        <f t="shared" si="22"/>
        <v>1</v>
      </c>
      <c r="I370" s="5">
        <f t="shared" si="23"/>
        <v>1</v>
      </c>
      <c r="J370" s="2" t="s">
        <v>785</v>
      </c>
      <c r="K370" s="2" t="s">
        <v>786</v>
      </c>
    </row>
    <row r="371" spans="1:11" ht="28.5" customHeight="1">
      <c r="A371">
        <v>2015</v>
      </c>
      <c r="B371">
        <v>6</v>
      </c>
      <c r="C371">
        <v>0</v>
      </c>
      <c r="D371" t="s">
        <v>82</v>
      </c>
      <c r="E371" t="str">
        <f t="shared" si="20"/>
        <v>2015-Q6-0</v>
      </c>
      <c r="F371">
        <f t="shared" si="21"/>
        <v>1</v>
      </c>
      <c r="G371" t="s">
        <v>41</v>
      </c>
      <c r="H371">
        <f t="shared" si="22"/>
        <v>1</v>
      </c>
      <c r="I371" s="5">
        <f t="shared" si="23"/>
        <v>1</v>
      </c>
      <c r="J371" s="2" t="s">
        <v>787</v>
      </c>
      <c r="K371" s="2" t="s">
        <v>788</v>
      </c>
    </row>
    <row r="372" spans="1:11">
      <c r="A372">
        <v>2015</v>
      </c>
      <c r="B372">
        <v>6</v>
      </c>
      <c r="C372">
        <v>1</v>
      </c>
      <c r="D372" t="s">
        <v>82</v>
      </c>
      <c r="E372" t="str">
        <f t="shared" si="20"/>
        <v>2015-Q6-1</v>
      </c>
      <c r="F372">
        <f t="shared" si="21"/>
        <v>1</v>
      </c>
      <c r="G372" t="s">
        <v>41</v>
      </c>
      <c r="H372">
        <f t="shared" si="22"/>
        <v>1</v>
      </c>
      <c r="I372" s="5">
        <f t="shared" si="23"/>
        <v>1</v>
      </c>
      <c r="J372" s="2" t="s">
        <v>789</v>
      </c>
      <c r="K372" s="2" t="s">
        <v>790</v>
      </c>
    </row>
    <row r="373" spans="1:11" ht="28.5" customHeight="1">
      <c r="A373">
        <v>2015</v>
      </c>
      <c r="B373">
        <v>6</v>
      </c>
      <c r="C373">
        <v>2</v>
      </c>
      <c r="D373" t="s">
        <v>82</v>
      </c>
      <c r="E373" t="str">
        <f t="shared" si="20"/>
        <v>2015-Q6-2</v>
      </c>
      <c r="F373">
        <f t="shared" si="21"/>
        <v>1</v>
      </c>
      <c r="G373" t="s">
        <v>41</v>
      </c>
      <c r="H373">
        <f t="shared" si="22"/>
        <v>1</v>
      </c>
      <c r="I373" s="5">
        <f t="shared" si="23"/>
        <v>1</v>
      </c>
      <c r="J373" s="2" t="s">
        <v>791</v>
      </c>
      <c r="K373" s="2" t="s">
        <v>792</v>
      </c>
    </row>
    <row r="374" spans="1:11">
      <c r="A374">
        <v>2015</v>
      </c>
      <c r="B374">
        <v>6</v>
      </c>
      <c r="C374">
        <v>3</v>
      </c>
      <c r="D374" t="s">
        <v>82</v>
      </c>
      <c r="E374" t="str">
        <f t="shared" si="20"/>
        <v>2015-Q6-3</v>
      </c>
      <c r="F374">
        <f t="shared" si="21"/>
        <v>1</v>
      </c>
      <c r="G374" t="s">
        <v>41</v>
      </c>
      <c r="H374">
        <f t="shared" si="22"/>
        <v>1</v>
      </c>
      <c r="I374" s="5">
        <f t="shared" si="23"/>
        <v>1</v>
      </c>
      <c r="J374" s="2" t="s">
        <v>793</v>
      </c>
      <c r="K374" s="2" t="s">
        <v>794</v>
      </c>
    </row>
    <row r="375" spans="1:11" ht="28.5" customHeight="1">
      <c r="A375">
        <v>2015</v>
      </c>
      <c r="B375">
        <v>6</v>
      </c>
      <c r="C375">
        <v>4</v>
      </c>
      <c r="D375" t="s">
        <v>82</v>
      </c>
      <c r="E375" t="str">
        <f t="shared" si="20"/>
        <v>2015-Q6-4</v>
      </c>
      <c r="F375">
        <f t="shared" si="21"/>
        <v>1</v>
      </c>
      <c r="G375" t="s">
        <v>41</v>
      </c>
      <c r="H375">
        <f t="shared" si="22"/>
        <v>1</v>
      </c>
      <c r="I375" s="5">
        <f t="shared" si="23"/>
        <v>1</v>
      </c>
      <c r="J375" s="2" t="s">
        <v>795</v>
      </c>
      <c r="K375" s="2" t="s">
        <v>796</v>
      </c>
    </row>
    <row r="376" spans="1:11" ht="28.5" customHeight="1">
      <c r="A376">
        <v>2015</v>
      </c>
      <c r="B376">
        <v>7</v>
      </c>
      <c r="C376">
        <v>0</v>
      </c>
      <c r="D376" t="s">
        <v>82</v>
      </c>
      <c r="E376" t="str">
        <f t="shared" si="20"/>
        <v>2015-Q7-0</v>
      </c>
      <c r="F376">
        <f t="shared" si="21"/>
        <v>1</v>
      </c>
      <c r="G376" t="s">
        <v>35</v>
      </c>
      <c r="H376">
        <f t="shared" si="22"/>
        <v>1</v>
      </c>
      <c r="I376" s="5">
        <f t="shared" si="23"/>
        <v>1</v>
      </c>
      <c r="J376" s="2" t="s">
        <v>797</v>
      </c>
      <c r="K376" s="2" t="s">
        <v>798</v>
      </c>
    </row>
    <row r="377" spans="1:11" ht="28.5" customHeight="1">
      <c r="A377">
        <v>2015</v>
      </c>
      <c r="B377">
        <v>7</v>
      </c>
      <c r="C377">
        <v>1</v>
      </c>
      <c r="D377" t="s">
        <v>82</v>
      </c>
      <c r="E377" t="str">
        <f t="shared" si="20"/>
        <v>2015-Q7-1</v>
      </c>
      <c r="F377">
        <f t="shared" si="21"/>
        <v>1</v>
      </c>
      <c r="G377" t="s">
        <v>35</v>
      </c>
      <c r="H377">
        <f t="shared" si="22"/>
        <v>1</v>
      </c>
      <c r="I377" s="5">
        <f t="shared" si="23"/>
        <v>1</v>
      </c>
      <c r="J377" s="2" t="s">
        <v>799</v>
      </c>
      <c r="K377" s="2" t="s">
        <v>800</v>
      </c>
    </row>
    <row r="378" spans="1:11">
      <c r="A378">
        <v>2015</v>
      </c>
      <c r="B378">
        <v>7</v>
      </c>
      <c r="C378">
        <v>2</v>
      </c>
      <c r="D378" t="s">
        <v>82</v>
      </c>
      <c r="E378" t="str">
        <f t="shared" si="20"/>
        <v>2015-Q7-2</v>
      </c>
      <c r="F378">
        <f t="shared" si="21"/>
        <v>1</v>
      </c>
      <c r="G378" t="s">
        <v>35</v>
      </c>
      <c r="H378">
        <f t="shared" si="22"/>
        <v>1</v>
      </c>
      <c r="I378" s="5">
        <f t="shared" si="23"/>
        <v>1</v>
      </c>
      <c r="J378" s="2" t="s">
        <v>801</v>
      </c>
      <c r="K378" s="2" t="s">
        <v>802</v>
      </c>
    </row>
    <row r="379" spans="1:11">
      <c r="A379">
        <v>2015</v>
      </c>
      <c r="B379">
        <v>7</v>
      </c>
      <c r="C379">
        <v>3</v>
      </c>
      <c r="D379" t="s">
        <v>82</v>
      </c>
      <c r="E379" t="str">
        <f t="shared" si="20"/>
        <v>2015-Q7-3</v>
      </c>
      <c r="F379">
        <f t="shared" si="21"/>
        <v>1</v>
      </c>
      <c r="G379" t="s">
        <v>35</v>
      </c>
      <c r="H379">
        <f t="shared" si="22"/>
        <v>1</v>
      </c>
      <c r="I379" s="5">
        <f t="shared" si="23"/>
        <v>1</v>
      </c>
      <c r="J379" s="2" t="s">
        <v>803</v>
      </c>
      <c r="K379" s="2" t="s">
        <v>804</v>
      </c>
    </row>
    <row r="380" spans="1:11" ht="28.5" customHeight="1">
      <c r="A380">
        <v>2015</v>
      </c>
      <c r="B380">
        <v>7</v>
      </c>
      <c r="C380">
        <v>4</v>
      </c>
      <c r="D380" t="s">
        <v>82</v>
      </c>
      <c r="E380" t="str">
        <f t="shared" si="20"/>
        <v>2015-Q7-4</v>
      </c>
      <c r="F380">
        <f t="shared" si="21"/>
        <v>1</v>
      </c>
      <c r="G380" t="s">
        <v>35</v>
      </c>
      <c r="H380">
        <f t="shared" si="22"/>
        <v>1</v>
      </c>
      <c r="I380" s="5">
        <f t="shared" si="23"/>
        <v>1</v>
      </c>
      <c r="J380" s="2" t="s">
        <v>805</v>
      </c>
      <c r="K380" s="2" t="s">
        <v>806</v>
      </c>
    </row>
    <row r="381" spans="1:11" ht="28.5" customHeight="1">
      <c r="A381">
        <v>2015</v>
      </c>
      <c r="B381">
        <v>8</v>
      </c>
      <c r="C381">
        <v>0</v>
      </c>
      <c r="D381" t="s">
        <v>82</v>
      </c>
      <c r="E381" t="str">
        <f t="shared" si="20"/>
        <v>2015-Q8-0</v>
      </c>
      <c r="F381">
        <f t="shared" si="21"/>
        <v>1</v>
      </c>
      <c r="G381" t="s">
        <v>23</v>
      </c>
      <c r="H381">
        <f t="shared" si="22"/>
        <v>1</v>
      </c>
      <c r="I381" s="5">
        <f t="shared" si="23"/>
        <v>1</v>
      </c>
      <c r="J381" s="2" t="s">
        <v>807</v>
      </c>
      <c r="K381" s="2" t="s">
        <v>808</v>
      </c>
    </row>
    <row r="382" spans="1:11" ht="28.5" customHeight="1">
      <c r="A382">
        <v>2015</v>
      </c>
      <c r="B382">
        <v>8</v>
      </c>
      <c r="C382">
        <v>1</v>
      </c>
      <c r="D382" t="s">
        <v>82</v>
      </c>
      <c r="E382" t="str">
        <f t="shared" si="20"/>
        <v>2015-Q8-1</v>
      </c>
      <c r="F382">
        <f t="shared" si="21"/>
        <v>1</v>
      </c>
      <c r="G382" t="s">
        <v>23</v>
      </c>
      <c r="H382">
        <f t="shared" si="22"/>
        <v>1</v>
      </c>
      <c r="I382" s="5">
        <f t="shared" si="23"/>
        <v>1</v>
      </c>
      <c r="J382" s="2" t="s">
        <v>809</v>
      </c>
      <c r="K382" s="2" t="s">
        <v>810</v>
      </c>
    </row>
    <row r="383" spans="1:11" ht="28.5" customHeight="1">
      <c r="A383">
        <v>2015</v>
      </c>
      <c r="B383">
        <v>8</v>
      </c>
      <c r="C383">
        <v>2</v>
      </c>
      <c r="D383" t="s">
        <v>82</v>
      </c>
      <c r="E383" t="str">
        <f t="shared" si="20"/>
        <v>2015-Q8-2</v>
      </c>
      <c r="F383">
        <f t="shared" si="21"/>
        <v>1</v>
      </c>
      <c r="G383" t="s">
        <v>23</v>
      </c>
      <c r="H383">
        <f t="shared" si="22"/>
        <v>1</v>
      </c>
      <c r="I383" s="5">
        <f t="shared" si="23"/>
        <v>1</v>
      </c>
      <c r="J383" s="2" t="s">
        <v>811</v>
      </c>
      <c r="K383" s="2" t="s">
        <v>812</v>
      </c>
    </row>
    <row r="384" spans="1:11" ht="28.5" customHeight="1">
      <c r="A384">
        <v>2015</v>
      </c>
      <c r="B384">
        <v>8</v>
      </c>
      <c r="C384">
        <v>3</v>
      </c>
      <c r="D384" t="s">
        <v>82</v>
      </c>
      <c r="E384" t="str">
        <f t="shared" si="20"/>
        <v>2015-Q8-3</v>
      </c>
      <c r="F384">
        <f t="shared" si="21"/>
        <v>1</v>
      </c>
      <c r="G384" t="s">
        <v>23</v>
      </c>
      <c r="H384">
        <f t="shared" si="22"/>
        <v>1</v>
      </c>
      <c r="I384" s="5">
        <f t="shared" si="23"/>
        <v>1</v>
      </c>
      <c r="J384" s="2" t="s">
        <v>813</v>
      </c>
      <c r="K384" s="2" t="s">
        <v>814</v>
      </c>
    </row>
    <row r="385" spans="1:11" ht="28.5" customHeight="1">
      <c r="A385">
        <v>2015</v>
      </c>
      <c r="B385">
        <v>8</v>
      </c>
      <c r="C385">
        <v>4</v>
      </c>
      <c r="D385" t="s">
        <v>82</v>
      </c>
      <c r="E385" t="str">
        <f t="shared" si="20"/>
        <v>2015-Q8-4</v>
      </c>
      <c r="F385">
        <f t="shared" si="21"/>
        <v>1</v>
      </c>
      <c r="G385" t="s">
        <v>23</v>
      </c>
      <c r="H385">
        <f t="shared" si="22"/>
        <v>1</v>
      </c>
      <c r="I385" s="5">
        <f t="shared" si="23"/>
        <v>1</v>
      </c>
      <c r="J385" s="2" t="s">
        <v>815</v>
      </c>
      <c r="K385" s="2" t="s">
        <v>816</v>
      </c>
    </row>
    <row r="386" spans="1:11" ht="28.5" customHeight="1">
      <c r="A386">
        <v>2015</v>
      </c>
      <c r="B386">
        <v>9</v>
      </c>
      <c r="C386">
        <v>0</v>
      </c>
      <c r="D386" t="s">
        <v>82</v>
      </c>
      <c r="E386" t="str">
        <f t="shared" si="20"/>
        <v>2015-Q9-0</v>
      </c>
      <c r="F386">
        <f t="shared" si="21"/>
        <v>1</v>
      </c>
      <c r="G386" t="s">
        <v>8</v>
      </c>
      <c r="H386">
        <f t="shared" si="22"/>
        <v>1</v>
      </c>
      <c r="I386" s="5">
        <f t="shared" si="23"/>
        <v>1</v>
      </c>
      <c r="J386" s="2" t="s">
        <v>817</v>
      </c>
      <c r="K386" s="2" t="s">
        <v>818</v>
      </c>
    </row>
    <row r="387" spans="1:11" ht="28.5" customHeight="1">
      <c r="A387">
        <v>2015</v>
      </c>
      <c r="B387">
        <v>9</v>
      </c>
      <c r="C387">
        <v>1</v>
      </c>
      <c r="D387" t="s">
        <v>82</v>
      </c>
      <c r="E387" t="str">
        <f t="shared" si="20"/>
        <v>2015-Q9-1</v>
      </c>
      <c r="F387">
        <f t="shared" si="21"/>
        <v>1</v>
      </c>
      <c r="G387" t="s">
        <v>8</v>
      </c>
      <c r="H387">
        <f t="shared" si="22"/>
        <v>1</v>
      </c>
      <c r="I387" s="5">
        <f t="shared" si="23"/>
        <v>1</v>
      </c>
      <c r="J387" s="2" t="s">
        <v>819</v>
      </c>
      <c r="K387" s="2" t="s">
        <v>820</v>
      </c>
    </row>
    <row r="388" spans="1:11" ht="28.5" customHeight="1">
      <c r="A388">
        <v>2015</v>
      </c>
      <c r="B388">
        <v>9</v>
      </c>
      <c r="C388">
        <v>2</v>
      </c>
      <c r="D388" t="s">
        <v>82</v>
      </c>
      <c r="E388" t="str">
        <f t="shared" si="20"/>
        <v>2015-Q9-2</v>
      </c>
      <c r="F388">
        <f t="shared" si="21"/>
        <v>1</v>
      </c>
      <c r="G388" t="s">
        <v>26</v>
      </c>
      <c r="H388">
        <f t="shared" si="22"/>
        <v>1</v>
      </c>
      <c r="I388" s="5">
        <f t="shared" si="23"/>
        <v>1</v>
      </c>
      <c r="J388" s="2" t="s">
        <v>821</v>
      </c>
      <c r="K388" s="2" t="s">
        <v>822</v>
      </c>
    </row>
    <row r="389" spans="1:11" ht="28.5" customHeight="1">
      <c r="A389">
        <v>2015</v>
      </c>
      <c r="B389">
        <v>9</v>
      </c>
      <c r="C389">
        <v>3</v>
      </c>
      <c r="D389" t="s">
        <v>82</v>
      </c>
      <c r="E389" t="str">
        <f t="shared" ref="E389:E452" si="24">IF(A389="","",TEXT(A389,"0")&amp;"-Q"&amp;TEXT(B389,"0")&amp;"-"&amp;IF(C389="","ABERTA",C389))</f>
        <v>2015-Q9-3</v>
      </c>
      <c r="F389">
        <f t="shared" ref="F389:F452" si="25">IF(D389="V/F",1,IF(D389="Aberta/numérica",5,""))</f>
        <v>1</v>
      </c>
      <c r="G389" t="s">
        <v>8</v>
      </c>
      <c r="H389">
        <f t="shared" ref="H389:H452" si="26">IF(A389="","",IF(C389="",COUNTIFS($A$5:$A$1504,A389,$B$5:$B$1504,B389,$C$5:$C$1504,"",$D$5:$D$1504,D389),COUNTIFS($A$5:$A$1504,A389,$B$5:$B$1504,B389,$C$5:$C$1504,C389,$D$5:$D$1504,D389)))</f>
        <v>1</v>
      </c>
      <c r="I389" s="5">
        <f t="shared" ref="I389:I452" si="27">IF(OR(F389="",H389="",G389=""),"",F389/H389)</f>
        <v>1</v>
      </c>
      <c r="J389" s="2" t="s">
        <v>823</v>
      </c>
      <c r="K389" s="2" t="s">
        <v>824</v>
      </c>
    </row>
    <row r="390" spans="1:11" ht="28.5" customHeight="1">
      <c r="A390">
        <v>2015</v>
      </c>
      <c r="B390">
        <v>9</v>
      </c>
      <c r="C390">
        <v>4</v>
      </c>
      <c r="D390" t="s">
        <v>82</v>
      </c>
      <c r="E390" t="str">
        <f t="shared" si="24"/>
        <v>2015-Q9-4</v>
      </c>
      <c r="F390">
        <f t="shared" si="25"/>
        <v>1</v>
      </c>
      <c r="G390" t="s">
        <v>8</v>
      </c>
      <c r="H390">
        <f t="shared" si="26"/>
        <v>1</v>
      </c>
      <c r="I390" s="5">
        <f t="shared" si="27"/>
        <v>1</v>
      </c>
      <c r="J390" s="2" t="s">
        <v>825</v>
      </c>
      <c r="K390" s="2" t="s">
        <v>826</v>
      </c>
    </row>
    <row r="391" spans="1:11" ht="28.5" customHeight="1">
      <c r="A391">
        <v>2015</v>
      </c>
      <c r="B391">
        <v>10</v>
      </c>
      <c r="C391">
        <v>0</v>
      </c>
      <c r="D391" t="s">
        <v>82</v>
      </c>
      <c r="E391" t="str">
        <f t="shared" si="24"/>
        <v>2015-Q10-0</v>
      </c>
      <c r="F391">
        <f t="shared" si="25"/>
        <v>1</v>
      </c>
      <c r="G391" t="s">
        <v>17</v>
      </c>
      <c r="H391">
        <f t="shared" si="26"/>
        <v>1</v>
      </c>
      <c r="I391" s="5">
        <f t="shared" si="27"/>
        <v>1</v>
      </c>
      <c r="J391" s="2" t="s">
        <v>827</v>
      </c>
      <c r="K391" s="2" t="s">
        <v>828</v>
      </c>
    </row>
    <row r="392" spans="1:11" ht="28.5" customHeight="1">
      <c r="A392">
        <v>2015</v>
      </c>
      <c r="B392">
        <v>10</v>
      </c>
      <c r="C392">
        <v>1</v>
      </c>
      <c r="D392" t="s">
        <v>82</v>
      </c>
      <c r="E392" t="str">
        <f t="shared" si="24"/>
        <v>2015-Q10-1</v>
      </c>
      <c r="F392">
        <f t="shared" si="25"/>
        <v>1</v>
      </c>
      <c r="G392" t="s">
        <v>14</v>
      </c>
      <c r="H392">
        <f t="shared" si="26"/>
        <v>1</v>
      </c>
      <c r="I392" s="5">
        <f t="shared" si="27"/>
        <v>1</v>
      </c>
      <c r="J392" s="2" t="s">
        <v>829</v>
      </c>
      <c r="K392" s="2" t="s">
        <v>830</v>
      </c>
    </row>
    <row r="393" spans="1:11" ht="28.5" customHeight="1">
      <c r="A393">
        <v>2015</v>
      </c>
      <c r="B393">
        <v>10</v>
      </c>
      <c r="C393">
        <v>2</v>
      </c>
      <c r="D393" t="s">
        <v>82</v>
      </c>
      <c r="E393" t="str">
        <f t="shared" si="24"/>
        <v>2015-Q10-2</v>
      </c>
      <c r="F393">
        <f t="shared" si="25"/>
        <v>1</v>
      </c>
      <c r="G393" t="s">
        <v>17</v>
      </c>
      <c r="H393">
        <f t="shared" si="26"/>
        <v>1</v>
      </c>
      <c r="I393" s="5">
        <f t="shared" si="27"/>
        <v>1</v>
      </c>
      <c r="J393" s="2" t="s">
        <v>831</v>
      </c>
      <c r="K393" s="2" t="s">
        <v>832</v>
      </c>
    </row>
    <row r="394" spans="1:11" ht="28.5" customHeight="1">
      <c r="A394">
        <v>2015</v>
      </c>
      <c r="B394">
        <v>10</v>
      </c>
      <c r="C394">
        <v>3</v>
      </c>
      <c r="D394" t="s">
        <v>82</v>
      </c>
      <c r="E394" t="str">
        <f t="shared" si="24"/>
        <v>2015-Q10-3</v>
      </c>
      <c r="F394">
        <f t="shared" si="25"/>
        <v>1</v>
      </c>
      <c r="G394" t="s">
        <v>11</v>
      </c>
      <c r="H394">
        <f t="shared" si="26"/>
        <v>1</v>
      </c>
      <c r="I394" s="5">
        <f t="shared" si="27"/>
        <v>1</v>
      </c>
      <c r="J394" s="2" t="s">
        <v>833</v>
      </c>
      <c r="K394" s="2" t="s">
        <v>834</v>
      </c>
    </row>
    <row r="395" spans="1:11" ht="28.5" customHeight="1">
      <c r="A395">
        <v>2015</v>
      </c>
      <c r="B395">
        <v>10</v>
      </c>
      <c r="C395">
        <v>4</v>
      </c>
      <c r="D395" t="s">
        <v>82</v>
      </c>
      <c r="E395" t="str">
        <f t="shared" si="24"/>
        <v>2015-Q10-4</v>
      </c>
      <c r="F395">
        <f t="shared" si="25"/>
        <v>1</v>
      </c>
      <c r="G395" t="s">
        <v>8</v>
      </c>
      <c r="H395">
        <f t="shared" si="26"/>
        <v>1</v>
      </c>
      <c r="I395" s="5">
        <f t="shared" si="27"/>
        <v>1</v>
      </c>
      <c r="J395" s="2" t="s">
        <v>545</v>
      </c>
      <c r="K395" s="2" t="s">
        <v>835</v>
      </c>
    </row>
    <row r="396" spans="1:11" ht="28.5" customHeight="1">
      <c r="A396">
        <v>2015</v>
      </c>
      <c r="B396">
        <v>11</v>
      </c>
      <c r="D396" t="s">
        <v>193</v>
      </c>
      <c r="E396" t="str">
        <f t="shared" si="24"/>
        <v>2015-Q11-ABERTA</v>
      </c>
      <c r="F396">
        <f t="shared" si="25"/>
        <v>5</v>
      </c>
      <c r="G396" t="s">
        <v>50</v>
      </c>
      <c r="H396">
        <f t="shared" si="26"/>
        <v>1</v>
      </c>
      <c r="I396" s="5">
        <f t="shared" si="27"/>
        <v>5</v>
      </c>
      <c r="J396" s="2" t="s">
        <v>836</v>
      </c>
      <c r="K396" s="2" t="s">
        <v>837</v>
      </c>
    </row>
    <row r="397" spans="1:11" ht="28.5" customHeight="1">
      <c r="A397">
        <v>2015</v>
      </c>
      <c r="B397">
        <v>12</v>
      </c>
      <c r="D397" t="s">
        <v>193</v>
      </c>
      <c r="E397" t="str">
        <f t="shared" si="24"/>
        <v>2015-Q12-ABERTA</v>
      </c>
      <c r="F397">
        <f t="shared" si="25"/>
        <v>5</v>
      </c>
      <c r="G397" t="s">
        <v>35</v>
      </c>
      <c r="H397">
        <f t="shared" si="26"/>
        <v>1</v>
      </c>
      <c r="I397" s="5">
        <f t="shared" si="27"/>
        <v>5</v>
      </c>
      <c r="J397" s="2" t="s">
        <v>838</v>
      </c>
      <c r="K397" s="2" t="s">
        <v>839</v>
      </c>
    </row>
    <row r="398" spans="1:11" ht="28.5" customHeight="1">
      <c r="A398">
        <v>2015</v>
      </c>
      <c r="B398">
        <v>13</v>
      </c>
      <c r="D398" t="s">
        <v>193</v>
      </c>
      <c r="E398" t="str">
        <f t="shared" si="24"/>
        <v>2015-Q13-ABERTA</v>
      </c>
      <c r="F398">
        <f t="shared" si="25"/>
        <v>5</v>
      </c>
      <c r="G398" t="s">
        <v>32</v>
      </c>
      <c r="H398">
        <f t="shared" si="26"/>
        <v>1</v>
      </c>
      <c r="I398" s="5">
        <f t="shared" si="27"/>
        <v>5</v>
      </c>
      <c r="J398" s="2" t="s">
        <v>840</v>
      </c>
      <c r="K398" s="2" t="s">
        <v>841</v>
      </c>
    </row>
    <row r="399" spans="1:11" ht="28.5" customHeight="1">
      <c r="A399">
        <v>2015</v>
      </c>
      <c r="B399">
        <v>14</v>
      </c>
      <c r="D399" t="s">
        <v>193</v>
      </c>
      <c r="E399" t="str">
        <f t="shared" si="24"/>
        <v>2015-Q14-ABERTA</v>
      </c>
      <c r="F399">
        <f t="shared" si="25"/>
        <v>5</v>
      </c>
      <c r="G399" t="s">
        <v>26</v>
      </c>
      <c r="H399">
        <f t="shared" si="26"/>
        <v>1</v>
      </c>
      <c r="I399" s="5">
        <f t="shared" si="27"/>
        <v>5</v>
      </c>
      <c r="J399" s="2" t="s">
        <v>842</v>
      </c>
      <c r="K399" s="2" t="s">
        <v>843</v>
      </c>
    </row>
    <row r="400" spans="1:11" ht="28.5" customHeight="1">
      <c r="A400">
        <v>2015</v>
      </c>
      <c r="B400">
        <v>15</v>
      </c>
      <c r="D400" t="s">
        <v>193</v>
      </c>
      <c r="E400" t="str">
        <f t="shared" si="24"/>
        <v>2015-Q15-ABERTA</v>
      </c>
      <c r="F400">
        <f t="shared" si="25"/>
        <v>5</v>
      </c>
      <c r="G400" t="s">
        <v>41</v>
      </c>
      <c r="H400">
        <f t="shared" si="26"/>
        <v>1</v>
      </c>
      <c r="I400" s="5">
        <f t="shared" si="27"/>
        <v>5</v>
      </c>
      <c r="J400" s="2" t="s">
        <v>844</v>
      </c>
      <c r="K400" s="2" t="s">
        <v>845</v>
      </c>
    </row>
    <row r="401" spans="1:11" ht="28.5" customHeight="1">
      <c r="A401">
        <v>2016</v>
      </c>
      <c r="B401">
        <v>1</v>
      </c>
      <c r="C401">
        <v>0</v>
      </c>
      <c r="D401" t="s">
        <v>82</v>
      </c>
      <c r="E401" t="str">
        <f t="shared" si="24"/>
        <v>2016-Q1-0</v>
      </c>
      <c r="F401">
        <f t="shared" si="25"/>
        <v>1</v>
      </c>
      <c r="G401" t="s">
        <v>11</v>
      </c>
      <c r="H401">
        <f t="shared" si="26"/>
        <v>1</v>
      </c>
      <c r="I401" s="5">
        <f t="shared" si="27"/>
        <v>1</v>
      </c>
      <c r="J401" s="2" t="s">
        <v>846</v>
      </c>
      <c r="K401" s="2" t="s">
        <v>847</v>
      </c>
    </row>
    <row r="402" spans="1:11" ht="28.5" customHeight="1">
      <c r="A402">
        <v>2016</v>
      </c>
      <c r="B402">
        <v>1</v>
      </c>
      <c r="C402">
        <v>1</v>
      </c>
      <c r="D402" t="s">
        <v>82</v>
      </c>
      <c r="E402" t="str">
        <f t="shared" si="24"/>
        <v>2016-Q1-1</v>
      </c>
      <c r="F402">
        <f t="shared" si="25"/>
        <v>1</v>
      </c>
      <c r="G402" t="s">
        <v>11</v>
      </c>
      <c r="H402">
        <f t="shared" si="26"/>
        <v>1</v>
      </c>
      <c r="I402" s="5">
        <f t="shared" si="27"/>
        <v>1</v>
      </c>
      <c r="J402" s="2" t="s">
        <v>848</v>
      </c>
      <c r="K402" s="2" t="s">
        <v>849</v>
      </c>
    </row>
    <row r="403" spans="1:11" ht="28.5" customHeight="1">
      <c r="A403">
        <v>2016</v>
      </c>
      <c r="B403">
        <v>1</v>
      </c>
      <c r="C403">
        <v>2</v>
      </c>
      <c r="D403" t="s">
        <v>82</v>
      </c>
      <c r="E403" t="str">
        <f t="shared" si="24"/>
        <v>2016-Q1-2</v>
      </c>
      <c r="F403">
        <f t="shared" si="25"/>
        <v>1</v>
      </c>
      <c r="G403" t="s">
        <v>11</v>
      </c>
      <c r="H403">
        <f t="shared" si="26"/>
        <v>1</v>
      </c>
      <c r="I403" s="5">
        <f t="shared" si="27"/>
        <v>1</v>
      </c>
      <c r="J403" s="2" t="s">
        <v>850</v>
      </c>
      <c r="K403" s="2" t="s">
        <v>851</v>
      </c>
    </row>
    <row r="404" spans="1:11" ht="28.5" customHeight="1">
      <c r="A404">
        <v>2016</v>
      </c>
      <c r="B404">
        <v>1</v>
      </c>
      <c r="C404">
        <v>3</v>
      </c>
      <c r="D404" t="s">
        <v>82</v>
      </c>
      <c r="E404" t="str">
        <f t="shared" si="24"/>
        <v>2016-Q1-3</v>
      </c>
      <c r="F404">
        <f t="shared" si="25"/>
        <v>1</v>
      </c>
      <c r="G404" t="s">
        <v>11</v>
      </c>
      <c r="H404">
        <f t="shared" si="26"/>
        <v>1</v>
      </c>
      <c r="I404" s="5">
        <f t="shared" si="27"/>
        <v>1</v>
      </c>
      <c r="J404" s="2" t="s">
        <v>852</v>
      </c>
      <c r="K404" s="2" t="s">
        <v>853</v>
      </c>
    </row>
    <row r="405" spans="1:11">
      <c r="A405">
        <v>2016</v>
      </c>
      <c r="B405">
        <v>1</v>
      </c>
      <c r="C405">
        <v>4</v>
      </c>
      <c r="D405" t="s">
        <v>82</v>
      </c>
      <c r="E405" t="str">
        <f t="shared" si="24"/>
        <v>2016-Q1-4</v>
      </c>
      <c r="F405">
        <f t="shared" si="25"/>
        <v>1</v>
      </c>
      <c r="G405" t="s">
        <v>11</v>
      </c>
      <c r="H405">
        <f t="shared" si="26"/>
        <v>1</v>
      </c>
      <c r="I405" s="5">
        <f t="shared" si="27"/>
        <v>1</v>
      </c>
      <c r="J405" s="2" t="s">
        <v>745</v>
      </c>
      <c r="K405" s="2" t="s">
        <v>854</v>
      </c>
    </row>
    <row r="406" spans="1:11" ht="28.5" customHeight="1">
      <c r="A406">
        <v>2016</v>
      </c>
      <c r="B406">
        <v>2</v>
      </c>
      <c r="C406">
        <v>0</v>
      </c>
      <c r="D406" t="s">
        <v>82</v>
      </c>
      <c r="E406" t="str">
        <f t="shared" si="24"/>
        <v>2016-Q2-0</v>
      </c>
      <c r="F406">
        <f t="shared" si="25"/>
        <v>1</v>
      </c>
      <c r="G406" t="s">
        <v>14</v>
      </c>
      <c r="H406">
        <f t="shared" si="26"/>
        <v>1</v>
      </c>
      <c r="I406" s="5">
        <f t="shared" si="27"/>
        <v>1</v>
      </c>
      <c r="J406" s="2" t="s">
        <v>855</v>
      </c>
      <c r="K406" s="2" t="s">
        <v>856</v>
      </c>
    </row>
    <row r="407" spans="1:11" ht="28.5" customHeight="1">
      <c r="A407">
        <v>2016</v>
      </c>
      <c r="B407">
        <v>2</v>
      </c>
      <c r="C407">
        <v>1</v>
      </c>
      <c r="D407" t="s">
        <v>82</v>
      </c>
      <c r="E407" t="str">
        <f t="shared" si="24"/>
        <v>2016-Q2-1</v>
      </c>
      <c r="F407">
        <f t="shared" si="25"/>
        <v>1</v>
      </c>
      <c r="G407" t="s">
        <v>14</v>
      </c>
      <c r="H407">
        <f t="shared" si="26"/>
        <v>1</v>
      </c>
      <c r="I407" s="5">
        <f t="shared" si="27"/>
        <v>1</v>
      </c>
      <c r="J407" s="2" t="s">
        <v>857</v>
      </c>
      <c r="K407" s="2" t="s">
        <v>858</v>
      </c>
    </row>
    <row r="408" spans="1:11" ht="28.5" customHeight="1">
      <c r="A408">
        <v>2016</v>
      </c>
      <c r="B408">
        <v>2</v>
      </c>
      <c r="C408">
        <v>2</v>
      </c>
      <c r="D408" t="s">
        <v>82</v>
      </c>
      <c r="E408" t="str">
        <f t="shared" si="24"/>
        <v>2016-Q2-2</v>
      </c>
      <c r="F408">
        <f t="shared" si="25"/>
        <v>1</v>
      </c>
      <c r="G408" t="s">
        <v>14</v>
      </c>
      <c r="H408">
        <f t="shared" si="26"/>
        <v>1</v>
      </c>
      <c r="I408" s="5">
        <f t="shared" si="27"/>
        <v>1</v>
      </c>
      <c r="J408" s="2" t="s">
        <v>859</v>
      </c>
      <c r="K408" s="2" t="s">
        <v>860</v>
      </c>
    </row>
    <row r="409" spans="1:11">
      <c r="A409">
        <v>2016</v>
      </c>
      <c r="B409">
        <v>2</v>
      </c>
      <c r="C409">
        <v>3</v>
      </c>
      <c r="D409" t="s">
        <v>82</v>
      </c>
      <c r="E409" t="str">
        <f t="shared" si="24"/>
        <v>2016-Q2-3</v>
      </c>
      <c r="F409">
        <f t="shared" si="25"/>
        <v>1</v>
      </c>
      <c r="G409" t="s">
        <v>14</v>
      </c>
      <c r="H409">
        <f t="shared" si="26"/>
        <v>1</v>
      </c>
      <c r="I409" s="5">
        <f t="shared" si="27"/>
        <v>1</v>
      </c>
      <c r="J409" s="2" t="s">
        <v>861</v>
      </c>
      <c r="K409" s="2" t="s">
        <v>862</v>
      </c>
    </row>
    <row r="410" spans="1:11">
      <c r="A410">
        <v>2016</v>
      </c>
      <c r="B410">
        <v>2</v>
      </c>
      <c r="C410">
        <v>4</v>
      </c>
      <c r="D410" t="s">
        <v>82</v>
      </c>
      <c r="E410" t="str">
        <f t="shared" si="24"/>
        <v>2016-Q2-4</v>
      </c>
      <c r="F410">
        <f t="shared" si="25"/>
        <v>1</v>
      </c>
      <c r="G410" t="s">
        <v>14</v>
      </c>
      <c r="H410">
        <f t="shared" si="26"/>
        <v>1</v>
      </c>
      <c r="I410" s="5">
        <f t="shared" si="27"/>
        <v>1</v>
      </c>
      <c r="J410" s="2" t="s">
        <v>863</v>
      </c>
      <c r="K410" s="2" t="s">
        <v>864</v>
      </c>
    </row>
    <row r="411" spans="1:11">
      <c r="A411">
        <v>2016</v>
      </c>
      <c r="B411">
        <v>3</v>
      </c>
      <c r="C411">
        <v>0</v>
      </c>
      <c r="D411" t="s">
        <v>82</v>
      </c>
      <c r="E411" t="str">
        <f t="shared" si="24"/>
        <v>2016-Q3-0</v>
      </c>
      <c r="F411">
        <f t="shared" si="25"/>
        <v>1</v>
      </c>
      <c r="G411" t="s">
        <v>26</v>
      </c>
      <c r="H411">
        <f t="shared" si="26"/>
        <v>1</v>
      </c>
      <c r="I411" s="5">
        <f t="shared" si="27"/>
        <v>1</v>
      </c>
      <c r="J411" s="2" t="s">
        <v>865</v>
      </c>
      <c r="K411" s="2" t="s">
        <v>866</v>
      </c>
    </row>
    <row r="412" spans="1:11">
      <c r="A412">
        <v>2016</v>
      </c>
      <c r="B412">
        <v>3</v>
      </c>
      <c r="C412">
        <v>1</v>
      </c>
      <c r="D412" t="s">
        <v>82</v>
      </c>
      <c r="E412" t="str">
        <f t="shared" si="24"/>
        <v>2016-Q3-1</v>
      </c>
      <c r="F412">
        <f t="shared" si="25"/>
        <v>1</v>
      </c>
      <c r="G412" t="s">
        <v>8</v>
      </c>
      <c r="H412">
        <f t="shared" si="26"/>
        <v>1</v>
      </c>
      <c r="I412" s="5">
        <f t="shared" si="27"/>
        <v>1</v>
      </c>
      <c r="J412" s="2" t="s">
        <v>867</v>
      </c>
      <c r="K412" s="2" t="s">
        <v>868</v>
      </c>
    </row>
    <row r="413" spans="1:11" ht="28.5" customHeight="1">
      <c r="A413">
        <v>2016</v>
      </c>
      <c r="B413">
        <v>3</v>
      </c>
      <c r="C413">
        <v>2</v>
      </c>
      <c r="D413" t="s">
        <v>82</v>
      </c>
      <c r="E413" t="str">
        <f t="shared" si="24"/>
        <v>2016-Q3-2</v>
      </c>
      <c r="F413">
        <f t="shared" si="25"/>
        <v>1</v>
      </c>
      <c r="G413" t="s">
        <v>23</v>
      </c>
      <c r="H413">
        <f t="shared" si="26"/>
        <v>1</v>
      </c>
      <c r="I413" s="5">
        <f t="shared" si="27"/>
        <v>1</v>
      </c>
      <c r="J413" s="2" t="s">
        <v>869</v>
      </c>
      <c r="K413" s="2" t="s">
        <v>870</v>
      </c>
    </row>
    <row r="414" spans="1:11" ht="28.5" customHeight="1">
      <c r="A414">
        <v>2016</v>
      </c>
      <c r="B414">
        <v>3</v>
      </c>
      <c r="C414">
        <v>3</v>
      </c>
      <c r="D414" t="s">
        <v>82</v>
      </c>
      <c r="E414" t="str">
        <f t="shared" si="24"/>
        <v>2016-Q3-3</v>
      </c>
      <c r="F414">
        <f t="shared" si="25"/>
        <v>1</v>
      </c>
      <c r="G414" t="s">
        <v>8</v>
      </c>
      <c r="H414">
        <f t="shared" si="26"/>
        <v>1</v>
      </c>
      <c r="I414" s="5">
        <f t="shared" si="27"/>
        <v>1</v>
      </c>
      <c r="J414" s="2" t="s">
        <v>871</v>
      </c>
      <c r="K414" s="2" t="s">
        <v>872</v>
      </c>
    </row>
    <row r="415" spans="1:11" ht="28.5" customHeight="1">
      <c r="A415">
        <v>2016</v>
      </c>
      <c r="B415">
        <v>3</v>
      </c>
      <c r="C415">
        <v>4</v>
      </c>
      <c r="D415" t="s">
        <v>82</v>
      </c>
      <c r="E415" t="str">
        <f t="shared" si="24"/>
        <v>2016-Q3-4</v>
      </c>
      <c r="F415">
        <f t="shared" si="25"/>
        <v>1</v>
      </c>
      <c r="G415" t="s">
        <v>20</v>
      </c>
      <c r="H415">
        <f t="shared" si="26"/>
        <v>1</v>
      </c>
      <c r="I415" s="5">
        <f t="shared" si="27"/>
        <v>1</v>
      </c>
      <c r="J415" s="2" t="s">
        <v>873</v>
      </c>
      <c r="K415" s="2" t="s">
        <v>874</v>
      </c>
    </row>
    <row r="416" spans="1:11" ht="28.5" customHeight="1">
      <c r="A416">
        <v>2016</v>
      </c>
      <c r="B416">
        <v>4</v>
      </c>
      <c r="C416">
        <v>0</v>
      </c>
      <c r="D416" t="s">
        <v>82</v>
      </c>
      <c r="E416" t="str">
        <f t="shared" si="24"/>
        <v>2016-Q4-0</v>
      </c>
      <c r="F416">
        <f t="shared" si="25"/>
        <v>1</v>
      </c>
      <c r="G416" t="s">
        <v>35</v>
      </c>
      <c r="H416">
        <f t="shared" si="26"/>
        <v>1</v>
      </c>
      <c r="I416" s="5">
        <f t="shared" si="27"/>
        <v>1</v>
      </c>
      <c r="J416" s="2" t="s">
        <v>171</v>
      </c>
      <c r="K416" s="2" t="s">
        <v>875</v>
      </c>
    </row>
    <row r="417" spans="1:11" ht="28.5" customHeight="1">
      <c r="A417">
        <v>2016</v>
      </c>
      <c r="B417">
        <v>4</v>
      </c>
      <c r="C417">
        <v>1</v>
      </c>
      <c r="D417" t="s">
        <v>82</v>
      </c>
      <c r="E417" t="str">
        <f t="shared" si="24"/>
        <v>2016-Q4-1</v>
      </c>
      <c r="F417">
        <f t="shared" si="25"/>
        <v>1</v>
      </c>
      <c r="G417" t="s">
        <v>35</v>
      </c>
      <c r="H417">
        <f t="shared" si="26"/>
        <v>1</v>
      </c>
      <c r="I417" s="5">
        <f t="shared" si="27"/>
        <v>1</v>
      </c>
      <c r="J417" s="2" t="s">
        <v>876</v>
      </c>
      <c r="K417" s="2" t="s">
        <v>877</v>
      </c>
    </row>
    <row r="418" spans="1:11" ht="28.5" customHeight="1">
      <c r="A418">
        <v>2016</v>
      </c>
      <c r="B418">
        <v>4</v>
      </c>
      <c r="C418">
        <v>2</v>
      </c>
      <c r="D418" t="s">
        <v>82</v>
      </c>
      <c r="E418" t="str">
        <f t="shared" si="24"/>
        <v>2016-Q4-2</v>
      </c>
      <c r="F418">
        <f t="shared" si="25"/>
        <v>1</v>
      </c>
      <c r="G418" t="s">
        <v>32</v>
      </c>
      <c r="H418">
        <f t="shared" si="26"/>
        <v>1</v>
      </c>
      <c r="I418" s="5">
        <f t="shared" si="27"/>
        <v>1</v>
      </c>
      <c r="J418" s="2" t="s">
        <v>878</v>
      </c>
      <c r="K418" s="2" t="s">
        <v>879</v>
      </c>
    </row>
    <row r="419" spans="1:11">
      <c r="A419">
        <v>2016</v>
      </c>
      <c r="B419">
        <v>4</v>
      </c>
      <c r="C419">
        <v>3</v>
      </c>
      <c r="D419" t="s">
        <v>82</v>
      </c>
      <c r="E419" t="str">
        <f t="shared" si="24"/>
        <v>2016-Q4-3</v>
      </c>
      <c r="F419">
        <f t="shared" si="25"/>
        <v>1</v>
      </c>
      <c r="G419" t="s">
        <v>35</v>
      </c>
      <c r="H419">
        <f t="shared" si="26"/>
        <v>1</v>
      </c>
      <c r="I419" s="5">
        <f t="shared" si="27"/>
        <v>1</v>
      </c>
      <c r="J419" s="2" t="s">
        <v>880</v>
      </c>
      <c r="K419" s="2" t="s">
        <v>881</v>
      </c>
    </row>
    <row r="420" spans="1:11" ht="28.5" customHeight="1">
      <c r="A420">
        <v>2016</v>
      </c>
      <c r="B420">
        <v>4</v>
      </c>
      <c r="C420">
        <v>4</v>
      </c>
      <c r="D420" t="s">
        <v>82</v>
      </c>
      <c r="E420" t="str">
        <f t="shared" si="24"/>
        <v>2016-Q4-4</v>
      </c>
      <c r="F420">
        <f t="shared" si="25"/>
        <v>1</v>
      </c>
      <c r="G420" t="s">
        <v>38</v>
      </c>
      <c r="H420">
        <f t="shared" si="26"/>
        <v>1</v>
      </c>
      <c r="I420" s="5">
        <f t="shared" si="27"/>
        <v>1</v>
      </c>
      <c r="J420" s="2" t="s">
        <v>882</v>
      </c>
      <c r="K420" s="2" t="s">
        <v>883</v>
      </c>
    </row>
    <row r="421" spans="1:11">
      <c r="A421">
        <v>2016</v>
      </c>
      <c r="B421">
        <v>5</v>
      </c>
      <c r="C421">
        <v>0</v>
      </c>
      <c r="D421" t="s">
        <v>82</v>
      </c>
      <c r="E421" t="str">
        <f t="shared" si="24"/>
        <v>2016-Q5-0</v>
      </c>
      <c r="F421">
        <f t="shared" si="25"/>
        <v>1</v>
      </c>
      <c r="G421" t="s">
        <v>41</v>
      </c>
      <c r="H421">
        <f t="shared" si="26"/>
        <v>1</v>
      </c>
      <c r="I421" s="5">
        <f t="shared" si="27"/>
        <v>1</v>
      </c>
      <c r="J421" s="2" t="s">
        <v>884</v>
      </c>
      <c r="K421" s="2" t="s">
        <v>885</v>
      </c>
    </row>
    <row r="422" spans="1:11" ht="28.5" customHeight="1">
      <c r="A422">
        <v>2016</v>
      </c>
      <c r="B422">
        <v>5</v>
      </c>
      <c r="C422">
        <v>1</v>
      </c>
      <c r="D422" t="s">
        <v>82</v>
      </c>
      <c r="E422" t="str">
        <f t="shared" si="24"/>
        <v>2016-Q5-1</v>
      </c>
      <c r="F422">
        <f t="shared" si="25"/>
        <v>1</v>
      </c>
      <c r="G422" t="s">
        <v>41</v>
      </c>
      <c r="H422">
        <f t="shared" si="26"/>
        <v>1</v>
      </c>
      <c r="I422" s="5">
        <f t="shared" si="27"/>
        <v>1</v>
      </c>
      <c r="J422" s="2" t="s">
        <v>886</v>
      </c>
      <c r="K422" s="2" t="s">
        <v>887</v>
      </c>
    </row>
    <row r="423" spans="1:11" ht="28.5" customHeight="1">
      <c r="A423">
        <v>2016</v>
      </c>
      <c r="B423">
        <v>5</v>
      </c>
      <c r="C423">
        <v>2</v>
      </c>
      <c r="D423" t="s">
        <v>82</v>
      </c>
      <c r="E423" t="str">
        <f t="shared" si="24"/>
        <v>2016-Q5-2</v>
      </c>
      <c r="F423">
        <f t="shared" si="25"/>
        <v>1</v>
      </c>
      <c r="G423" t="s">
        <v>41</v>
      </c>
      <c r="H423">
        <f t="shared" si="26"/>
        <v>1</v>
      </c>
      <c r="I423" s="5">
        <f t="shared" si="27"/>
        <v>1</v>
      </c>
      <c r="J423" s="2" t="s">
        <v>888</v>
      </c>
      <c r="K423" s="2" t="s">
        <v>889</v>
      </c>
    </row>
    <row r="424" spans="1:11">
      <c r="A424">
        <v>2016</v>
      </c>
      <c r="B424">
        <v>5</v>
      </c>
      <c r="C424">
        <v>3</v>
      </c>
      <c r="D424" t="s">
        <v>82</v>
      </c>
      <c r="E424" t="str">
        <f t="shared" si="24"/>
        <v>2016-Q5-3</v>
      </c>
      <c r="F424">
        <f t="shared" si="25"/>
        <v>1</v>
      </c>
      <c r="G424" t="s">
        <v>41</v>
      </c>
      <c r="H424">
        <f t="shared" si="26"/>
        <v>1</v>
      </c>
      <c r="I424" s="5">
        <f t="shared" si="27"/>
        <v>1</v>
      </c>
      <c r="J424" s="2" t="s">
        <v>890</v>
      </c>
      <c r="K424" s="2" t="s">
        <v>891</v>
      </c>
    </row>
    <row r="425" spans="1:11">
      <c r="A425">
        <v>2016</v>
      </c>
      <c r="B425">
        <v>5</v>
      </c>
      <c r="C425">
        <v>4</v>
      </c>
      <c r="D425" t="s">
        <v>82</v>
      </c>
      <c r="E425" t="str">
        <f t="shared" si="24"/>
        <v>2016-Q5-4</v>
      </c>
      <c r="F425">
        <f t="shared" si="25"/>
        <v>1</v>
      </c>
      <c r="G425" t="s">
        <v>41</v>
      </c>
      <c r="H425">
        <f t="shared" si="26"/>
        <v>1</v>
      </c>
      <c r="I425" s="5">
        <f t="shared" si="27"/>
        <v>1</v>
      </c>
      <c r="J425" s="2" t="s">
        <v>892</v>
      </c>
      <c r="K425" s="2" t="s">
        <v>893</v>
      </c>
    </row>
    <row r="426" spans="1:11" ht="28.5" customHeight="1">
      <c r="A426">
        <v>2016</v>
      </c>
      <c r="B426">
        <v>6</v>
      </c>
      <c r="C426">
        <v>0</v>
      </c>
      <c r="D426" t="s">
        <v>82</v>
      </c>
      <c r="E426" t="str">
        <f t="shared" si="24"/>
        <v>2016-Q6-0</v>
      </c>
      <c r="F426">
        <f t="shared" si="25"/>
        <v>1</v>
      </c>
      <c r="G426" t="s">
        <v>44</v>
      </c>
      <c r="H426">
        <f t="shared" si="26"/>
        <v>1</v>
      </c>
      <c r="I426" s="5">
        <f t="shared" si="27"/>
        <v>1</v>
      </c>
      <c r="J426" s="2" t="s">
        <v>894</v>
      </c>
      <c r="K426" s="2" t="s">
        <v>895</v>
      </c>
    </row>
    <row r="427" spans="1:11" ht="28.5" customHeight="1">
      <c r="A427">
        <v>2016</v>
      </c>
      <c r="B427">
        <v>6</v>
      </c>
      <c r="C427">
        <v>1</v>
      </c>
      <c r="D427" t="s">
        <v>82</v>
      </c>
      <c r="E427" t="str">
        <f t="shared" si="24"/>
        <v>2016-Q6-1</v>
      </c>
      <c r="F427">
        <f t="shared" si="25"/>
        <v>1</v>
      </c>
      <c r="G427" t="s">
        <v>44</v>
      </c>
      <c r="H427">
        <f t="shared" si="26"/>
        <v>1</v>
      </c>
      <c r="I427" s="5">
        <f t="shared" si="27"/>
        <v>1</v>
      </c>
      <c r="J427" s="2" t="s">
        <v>896</v>
      </c>
      <c r="K427" s="2" t="s">
        <v>897</v>
      </c>
    </row>
    <row r="428" spans="1:11">
      <c r="A428">
        <v>2016</v>
      </c>
      <c r="B428">
        <v>6</v>
      </c>
      <c r="C428">
        <v>2</v>
      </c>
      <c r="D428" t="s">
        <v>82</v>
      </c>
      <c r="E428" t="str">
        <f t="shared" si="24"/>
        <v>2016-Q6-2</v>
      </c>
      <c r="F428">
        <f t="shared" si="25"/>
        <v>1</v>
      </c>
      <c r="G428" t="s">
        <v>44</v>
      </c>
      <c r="H428">
        <f t="shared" si="26"/>
        <v>1</v>
      </c>
      <c r="I428" s="5">
        <f t="shared" si="27"/>
        <v>1</v>
      </c>
      <c r="J428" s="2" t="s">
        <v>898</v>
      </c>
      <c r="K428" s="2" t="s">
        <v>899</v>
      </c>
    </row>
    <row r="429" spans="1:11" ht="28.5" customHeight="1">
      <c r="A429">
        <v>2016</v>
      </c>
      <c r="B429">
        <v>6</v>
      </c>
      <c r="C429">
        <v>3</v>
      </c>
      <c r="D429" t="s">
        <v>82</v>
      </c>
      <c r="E429" t="str">
        <f t="shared" si="24"/>
        <v>2016-Q6-3</v>
      </c>
      <c r="F429">
        <f t="shared" si="25"/>
        <v>1</v>
      </c>
      <c r="G429" t="s">
        <v>20</v>
      </c>
      <c r="H429">
        <f t="shared" si="26"/>
        <v>1</v>
      </c>
      <c r="I429" s="5">
        <f t="shared" si="27"/>
        <v>1</v>
      </c>
      <c r="J429" s="2" t="s">
        <v>900</v>
      </c>
      <c r="K429" s="2" t="s">
        <v>901</v>
      </c>
    </row>
    <row r="430" spans="1:11">
      <c r="A430">
        <v>2016</v>
      </c>
      <c r="B430">
        <v>6</v>
      </c>
      <c r="C430">
        <v>4</v>
      </c>
      <c r="D430" t="s">
        <v>82</v>
      </c>
      <c r="E430" t="str">
        <f t="shared" si="24"/>
        <v>2016-Q6-4</v>
      </c>
      <c r="F430">
        <f t="shared" si="25"/>
        <v>1</v>
      </c>
      <c r="G430" t="s">
        <v>44</v>
      </c>
      <c r="H430">
        <f t="shared" si="26"/>
        <v>1</v>
      </c>
      <c r="I430" s="5">
        <f t="shared" si="27"/>
        <v>1</v>
      </c>
      <c r="J430" s="2" t="s">
        <v>902</v>
      </c>
      <c r="K430" s="2" t="s">
        <v>903</v>
      </c>
    </row>
    <row r="431" spans="1:11" ht="28.5" customHeight="1">
      <c r="A431">
        <v>2016</v>
      </c>
      <c r="B431">
        <v>7</v>
      </c>
      <c r="C431">
        <v>0</v>
      </c>
      <c r="D431" t="s">
        <v>82</v>
      </c>
      <c r="E431" t="str">
        <f t="shared" si="24"/>
        <v>2016-Q7-0</v>
      </c>
      <c r="F431">
        <f t="shared" si="25"/>
        <v>1</v>
      </c>
      <c r="G431" t="s">
        <v>23</v>
      </c>
      <c r="H431">
        <f t="shared" si="26"/>
        <v>1</v>
      </c>
      <c r="I431" s="5">
        <f t="shared" si="27"/>
        <v>1</v>
      </c>
      <c r="J431" s="2" t="s">
        <v>904</v>
      </c>
      <c r="K431" s="2" t="s">
        <v>905</v>
      </c>
    </row>
    <row r="432" spans="1:11">
      <c r="A432">
        <v>2016</v>
      </c>
      <c r="B432">
        <v>7</v>
      </c>
      <c r="C432">
        <v>1</v>
      </c>
      <c r="D432" t="s">
        <v>82</v>
      </c>
      <c r="E432" t="str">
        <f t="shared" si="24"/>
        <v>2016-Q7-1</v>
      </c>
      <c r="F432">
        <f t="shared" si="25"/>
        <v>1</v>
      </c>
      <c r="G432" t="s">
        <v>26</v>
      </c>
      <c r="H432">
        <f t="shared" si="26"/>
        <v>1</v>
      </c>
      <c r="I432" s="5">
        <f t="shared" si="27"/>
        <v>1</v>
      </c>
      <c r="J432" s="2" t="s">
        <v>906</v>
      </c>
      <c r="K432" s="2" t="s">
        <v>907</v>
      </c>
    </row>
    <row r="433" spans="1:11" ht="28.5" customHeight="1">
      <c r="A433">
        <v>2016</v>
      </c>
      <c r="B433">
        <v>7</v>
      </c>
      <c r="C433">
        <v>2</v>
      </c>
      <c r="D433" t="s">
        <v>82</v>
      </c>
      <c r="E433" t="str">
        <f t="shared" si="24"/>
        <v>2016-Q7-2</v>
      </c>
      <c r="F433">
        <f t="shared" si="25"/>
        <v>1</v>
      </c>
      <c r="G433" t="s">
        <v>26</v>
      </c>
      <c r="H433">
        <f t="shared" si="26"/>
        <v>1</v>
      </c>
      <c r="I433" s="5">
        <f t="shared" si="27"/>
        <v>1</v>
      </c>
      <c r="J433" s="2" t="s">
        <v>908</v>
      </c>
      <c r="K433" s="2" t="s">
        <v>909</v>
      </c>
    </row>
    <row r="434" spans="1:11" ht="28.5" customHeight="1">
      <c r="A434">
        <v>2016</v>
      </c>
      <c r="B434">
        <v>7</v>
      </c>
      <c r="C434">
        <v>3</v>
      </c>
      <c r="D434" t="s">
        <v>82</v>
      </c>
      <c r="E434" t="str">
        <f t="shared" si="24"/>
        <v>2016-Q7-3</v>
      </c>
      <c r="F434">
        <f t="shared" si="25"/>
        <v>1</v>
      </c>
      <c r="G434" t="s">
        <v>26</v>
      </c>
      <c r="H434">
        <f t="shared" si="26"/>
        <v>1</v>
      </c>
      <c r="I434" s="5">
        <f t="shared" si="27"/>
        <v>1</v>
      </c>
      <c r="J434" s="2" t="s">
        <v>910</v>
      </c>
      <c r="K434" s="2" t="s">
        <v>911</v>
      </c>
    </row>
    <row r="435" spans="1:11">
      <c r="A435">
        <v>2016</v>
      </c>
      <c r="B435">
        <v>7</v>
      </c>
      <c r="C435">
        <v>4</v>
      </c>
      <c r="D435" t="s">
        <v>82</v>
      </c>
      <c r="E435" t="str">
        <f t="shared" si="24"/>
        <v>2016-Q7-4</v>
      </c>
      <c r="F435">
        <f t="shared" si="25"/>
        <v>1</v>
      </c>
      <c r="G435" t="s">
        <v>26</v>
      </c>
      <c r="H435">
        <f t="shared" si="26"/>
        <v>1</v>
      </c>
      <c r="I435" s="5">
        <f t="shared" si="27"/>
        <v>1</v>
      </c>
      <c r="J435" s="2" t="s">
        <v>912</v>
      </c>
      <c r="K435" s="2" t="s">
        <v>913</v>
      </c>
    </row>
    <row r="436" spans="1:11" ht="28.5" customHeight="1">
      <c r="A436">
        <v>2016</v>
      </c>
      <c r="B436">
        <v>8</v>
      </c>
      <c r="C436">
        <v>0</v>
      </c>
      <c r="D436" t="s">
        <v>82</v>
      </c>
      <c r="E436" t="str">
        <f t="shared" si="24"/>
        <v>2016-Q8-0</v>
      </c>
      <c r="F436">
        <f t="shared" si="25"/>
        <v>1</v>
      </c>
      <c r="G436" t="s">
        <v>47</v>
      </c>
      <c r="H436">
        <f t="shared" si="26"/>
        <v>1</v>
      </c>
      <c r="I436" s="5">
        <f t="shared" si="27"/>
        <v>1</v>
      </c>
      <c r="J436" s="2" t="s">
        <v>914</v>
      </c>
      <c r="K436" s="2" t="s">
        <v>915</v>
      </c>
    </row>
    <row r="437" spans="1:11" ht="28.5" customHeight="1">
      <c r="A437">
        <v>2016</v>
      </c>
      <c r="B437">
        <v>8</v>
      </c>
      <c r="C437">
        <v>1</v>
      </c>
      <c r="D437" t="s">
        <v>82</v>
      </c>
      <c r="E437" t="str">
        <f t="shared" si="24"/>
        <v>2016-Q8-1</v>
      </c>
      <c r="F437">
        <f t="shared" si="25"/>
        <v>1</v>
      </c>
      <c r="G437" t="s">
        <v>47</v>
      </c>
      <c r="H437">
        <f t="shared" si="26"/>
        <v>1</v>
      </c>
      <c r="I437" s="5">
        <f t="shared" si="27"/>
        <v>1</v>
      </c>
      <c r="J437" s="2" t="s">
        <v>916</v>
      </c>
      <c r="K437" s="2" t="s">
        <v>917</v>
      </c>
    </row>
    <row r="438" spans="1:11" ht="28.5" customHeight="1">
      <c r="A438">
        <v>2016</v>
      </c>
      <c r="B438">
        <v>8</v>
      </c>
      <c r="C438">
        <v>2</v>
      </c>
      <c r="D438" t="s">
        <v>82</v>
      </c>
      <c r="E438" t="str">
        <f t="shared" si="24"/>
        <v>2016-Q8-2</v>
      </c>
      <c r="F438">
        <f t="shared" si="25"/>
        <v>1</v>
      </c>
      <c r="G438" t="s">
        <v>47</v>
      </c>
      <c r="H438">
        <f t="shared" si="26"/>
        <v>1</v>
      </c>
      <c r="I438" s="5">
        <f t="shared" si="27"/>
        <v>1</v>
      </c>
      <c r="J438" s="2" t="s">
        <v>918</v>
      </c>
      <c r="K438" s="2" t="s">
        <v>919</v>
      </c>
    </row>
    <row r="439" spans="1:11" ht="28.5" customHeight="1">
      <c r="A439">
        <v>2016</v>
      </c>
      <c r="B439">
        <v>8</v>
      </c>
      <c r="C439">
        <v>3</v>
      </c>
      <c r="D439" t="s">
        <v>82</v>
      </c>
      <c r="E439" t="str">
        <f t="shared" si="24"/>
        <v>2016-Q8-3</v>
      </c>
      <c r="F439">
        <f t="shared" si="25"/>
        <v>1</v>
      </c>
      <c r="G439" t="s">
        <v>44</v>
      </c>
      <c r="H439">
        <f t="shared" si="26"/>
        <v>1</v>
      </c>
      <c r="I439" s="5">
        <f t="shared" si="27"/>
        <v>1</v>
      </c>
      <c r="J439" s="2" t="s">
        <v>920</v>
      </c>
      <c r="K439" s="2" t="s">
        <v>921</v>
      </c>
    </row>
    <row r="440" spans="1:11" ht="28.5" customHeight="1">
      <c r="A440">
        <v>2016</v>
      </c>
      <c r="B440">
        <v>8</v>
      </c>
      <c r="C440">
        <v>4</v>
      </c>
      <c r="D440" t="s">
        <v>82</v>
      </c>
      <c r="E440" t="str">
        <f t="shared" si="24"/>
        <v>2016-Q8-4</v>
      </c>
      <c r="F440">
        <f t="shared" si="25"/>
        <v>1</v>
      </c>
      <c r="G440" t="s">
        <v>44</v>
      </c>
      <c r="H440">
        <f t="shared" si="26"/>
        <v>1</v>
      </c>
      <c r="I440" s="5">
        <f t="shared" si="27"/>
        <v>1</v>
      </c>
      <c r="J440" s="2" t="s">
        <v>922</v>
      </c>
      <c r="K440" s="2" t="s">
        <v>923</v>
      </c>
    </row>
    <row r="441" spans="1:11" ht="28.5" customHeight="1">
      <c r="A441">
        <v>2016</v>
      </c>
      <c r="B441">
        <v>9</v>
      </c>
      <c r="C441">
        <v>0</v>
      </c>
      <c r="D441" t="s">
        <v>82</v>
      </c>
      <c r="E441" t="str">
        <f t="shared" si="24"/>
        <v>2016-Q9-0</v>
      </c>
      <c r="F441">
        <f t="shared" si="25"/>
        <v>1</v>
      </c>
      <c r="G441" t="s">
        <v>20</v>
      </c>
      <c r="H441">
        <f t="shared" si="26"/>
        <v>1</v>
      </c>
      <c r="I441" s="5">
        <f t="shared" si="27"/>
        <v>1</v>
      </c>
      <c r="J441" s="2" t="s">
        <v>924</v>
      </c>
      <c r="K441" s="2" t="s">
        <v>925</v>
      </c>
    </row>
    <row r="442" spans="1:11" ht="28.5" customHeight="1">
      <c r="A442">
        <v>2016</v>
      </c>
      <c r="B442">
        <v>9</v>
      </c>
      <c r="C442">
        <v>1</v>
      </c>
      <c r="D442" t="s">
        <v>82</v>
      </c>
      <c r="E442" t="str">
        <f t="shared" si="24"/>
        <v>2016-Q9-1</v>
      </c>
      <c r="F442">
        <f t="shared" si="25"/>
        <v>1</v>
      </c>
      <c r="G442" t="s">
        <v>20</v>
      </c>
      <c r="H442">
        <f t="shared" si="26"/>
        <v>1</v>
      </c>
      <c r="I442" s="5">
        <f t="shared" si="27"/>
        <v>1</v>
      </c>
      <c r="J442" s="2" t="s">
        <v>926</v>
      </c>
      <c r="K442" s="2" t="s">
        <v>927</v>
      </c>
    </row>
    <row r="443" spans="1:11" ht="28.5" customHeight="1">
      <c r="A443">
        <v>2016</v>
      </c>
      <c r="B443">
        <v>9</v>
      </c>
      <c r="C443">
        <v>2</v>
      </c>
      <c r="D443" t="s">
        <v>82</v>
      </c>
      <c r="E443" t="str">
        <f t="shared" si="24"/>
        <v>2016-Q9-2</v>
      </c>
      <c r="F443">
        <f t="shared" si="25"/>
        <v>1</v>
      </c>
      <c r="G443" t="s">
        <v>20</v>
      </c>
      <c r="H443">
        <f t="shared" si="26"/>
        <v>1</v>
      </c>
      <c r="I443" s="5">
        <f t="shared" si="27"/>
        <v>1</v>
      </c>
      <c r="J443" s="2" t="s">
        <v>928</v>
      </c>
      <c r="K443" s="2" t="s">
        <v>929</v>
      </c>
    </row>
    <row r="444" spans="1:11" ht="28.5" customHeight="1">
      <c r="A444">
        <v>2016</v>
      </c>
      <c r="B444">
        <v>9</v>
      </c>
      <c r="C444">
        <v>3</v>
      </c>
      <c r="D444" t="s">
        <v>82</v>
      </c>
      <c r="E444" t="str">
        <f t="shared" si="24"/>
        <v>2016-Q9-3</v>
      </c>
      <c r="F444">
        <f t="shared" si="25"/>
        <v>1</v>
      </c>
      <c r="G444" t="s">
        <v>20</v>
      </c>
      <c r="H444">
        <f t="shared" si="26"/>
        <v>1</v>
      </c>
      <c r="I444" s="5">
        <f t="shared" si="27"/>
        <v>1</v>
      </c>
      <c r="J444" s="2" t="s">
        <v>930</v>
      </c>
      <c r="K444" s="2" t="s">
        <v>931</v>
      </c>
    </row>
    <row r="445" spans="1:11" ht="28.5" customHeight="1">
      <c r="A445">
        <v>2016</v>
      </c>
      <c r="B445">
        <v>9</v>
      </c>
      <c r="C445">
        <v>4</v>
      </c>
      <c r="D445" t="s">
        <v>82</v>
      </c>
      <c r="E445" t="str">
        <f t="shared" si="24"/>
        <v>2016-Q9-4</v>
      </c>
      <c r="F445">
        <f t="shared" si="25"/>
        <v>1</v>
      </c>
      <c r="G445" t="s">
        <v>20</v>
      </c>
      <c r="H445">
        <f t="shared" si="26"/>
        <v>1</v>
      </c>
      <c r="I445" s="5">
        <f t="shared" si="27"/>
        <v>1</v>
      </c>
      <c r="J445" s="2" t="s">
        <v>932</v>
      </c>
      <c r="K445" s="2" t="s">
        <v>933</v>
      </c>
    </row>
    <row r="446" spans="1:11" ht="28.5" customHeight="1">
      <c r="A446">
        <v>2016</v>
      </c>
      <c r="B446">
        <v>10</v>
      </c>
      <c r="C446">
        <v>0</v>
      </c>
      <c r="D446" t="s">
        <v>82</v>
      </c>
      <c r="E446" t="str">
        <f t="shared" si="24"/>
        <v>2016-Q10-0</v>
      </c>
      <c r="F446">
        <f t="shared" si="25"/>
        <v>1</v>
      </c>
      <c r="G446" t="s">
        <v>50</v>
      </c>
      <c r="H446">
        <f t="shared" si="26"/>
        <v>1</v>
      </c>
      <c r="I446" s="5">
        <f t="shared" si="27"/>
        <v>1</v>
      </c>
      <c r="J446" s="2" t="s">
        <v>934</v>
      </c>
      <c r="K446" s="2" t="s">
        <v>935</v>
      </c>
    </row>
    <row r="447" spans="1:11" ht="28.5" customHeight="1">
      <c r="A447">
        <v>2016</v>
      </c>
      <c r="B447">
        <v>10</v>
      </c>
      <c r="C447">
        <v>1</v>
      </c>
      <c r="D447" t="s">
        <v>82</v>
      </c>
      <c r="E447" t="str">
        <f t="shared" si="24"/>
        <v>2016-Q10-1</v>
      </c>
      <c r="F447">
        <f t="shared" si="25"/>
        <v>1</v>
      </c>
      <c r="G447" t="s">
        <v>50</v>
      </c>
      <c r="H447">
        <f t="shared" si="26"/>
        <v>1</v>
      </c>
      <c r="I447" s="5">
        <f t="shared" si="27"/>
        <v>1</v>
      </c>
      <c r="J447" s="2" t="s">
        <v>936</v>
      </c>
      <c r="K447" s="2" t="s">
        <v>937</v>
      </c>
    </row>
    <row r="448" spans="1:11" ht="28.5" customHeight="1">
      <c r="A448">
        <v>2016</v>
      </c>
      <c r="B448">
        <v>10</v>
      </c>
      <c r="C448">
        <v>2</v>
      </c>
      <c r="D448" t="s">
        <v>82</v>
      </c>
      <c r="E448" t="str">
        <f t="shared" si="24"/>
        <v>2016-Q10-2</v>
      </c>
      <c r="F448">
        <f t="shared" si="25"/>
        <v>1</v>
      </c>
      <c r="G448" t="s">
        <v>50</v>
      </c>
      <c r="H448">
        <f t="shared" si="26"/>
        <v>1</v>
      </c>
      <c r="I448" s="5">
        <f t="shared" si="27"/>
        <v>1</v>
      </c>
      <c r="J448" s="2" t="s">
        <v>938</v>
      </c>
      <c r="K448" s="2" t="s">
        <v>939</v>
      </c>
    </row>
    <row r="449" spans="1:11" ht="28.5" customHeight="1">
      <c r="A449">
        <v>2016</v>
      </c>
      <c r="B449">
        <v>10</v>
      </c>
      <c r="C449">
        <v>3</v>
      </c>
      <c r="D449" t="s">
        <v>82</v>
      </c>
      <c r="E449" t="str">
        <f t="shared" si="24"/>
        <v>2016-Q10-3</v>
      </c>
      <c r="F449">
        <f t="shared" si="25"/>
        <v>1</v>
      </c>
      <c r="G449" t="s">
        <v>38</v>
      </c>
      <c r="H449">
        <f t="shared" si="26"/>
        <v>1</v>
      </c>
      <c r="I449" s="5">
        <f t="shared" si="27"/>
        <v>1</v>
      </c>
      <c r="J449" s="2" t="s">
        <v>940</v>
      </c>
      <c r="K449" s="2" t="s">
        <v>941</v>
      </c>
    </row>
    <row r="450" spans="1:11" ht="28.5" customHeight="1">
      <c r="A450">
        <v>2016</v>
      </c>
      <c r="B450">
        <v>10</v>
      </c>
      <c r="C450">
        <v>4</v>
      </c>
      <c r="D450" t="s">
        <v>82</v>
      </c>
      <c r="E450" t="str">
        <f t="shared" si="24"/>
        <v>2016-Q10-4</v>
      </c>
      <c r="F450">
        <f t="shared" si="25"/>
        <v>1</v>
      </c>
      <c r="G450" t="s">
        <v>35</v>
      </c>
      <c r="H450">
        <f t="shared" si="26"/>
        <v>1</v>
      </c>
      <c r="I450" s="5">
        <f t="shared" si="27"/>
        <v>1</v>
      </c>
      <c r="J450" s="2" t="s">
        <v>942</v>
      </c>
      <c r="K450" s="2" t="s">
        <v>943</v>
      </c>
    </row>
    <row r="451" spans="1:11" ht="28.5" customHeight="1">
      <c r="A451">
        <v>2016</v>
      </c>
      <c r="B451">
        <v>11</v>
      </c>
      <c r="C451">
        <v>0</v>
      </c>
      <c r="D451" t="s">
        <v>82</v>
      </c>
      <c r="E451" t="str">
        <f t="shared" si="24"/>
        <v>2016-Q11-0</v>
      </c>
      <c r="F451">
        <f t="shared" si="25"/>
        <v>1</v>
      </c>
      <c r="G451" t="s">
        <v>8</v>
      </c>
      <c r="H451">
        <f t="shared" si="26"/>
        <v>1</v>
      </c>
      <c r="I451" s="5">
        <f t="shared" si="27"/>
        <v>1</v>
      </c>
      <c r="J451" s="2" t="s">
        <v>944</v>
      </c>
      <c r="K451" s="2" t="s">
        <v>945</v>
      </c>
    </row>
    <row r="452" spans="1:11" ht="28.5" customHeight="1">
      <c r="A452">
        <v>2016</v>
      </c>
      <c r="B452">
        <v>11</v>
      </c>
      <c r="C452">
        <v>1</v>
      </c>
      <c r="D452" t="s">
        <v>82</v>
      </c>
      <c r="E452" t="str">
        <f t="shared" si="24"/>
        <v>2016-Q11-1</v>
      </c>
      <c r="F452">
        <f t="shared" si="25"/>
        <v>1</v>
      </c>
      <c r="G452" t="s">
        <v>8</v>
      </c>
      <c r="H452">
        <f t="shared" si="26"/>
        <v>1</v>
      </c>
      <c r="I452" s="5">
        <f t="shared" si="27"/>
        <v>1</v>
      </c>
      <c r="J452" s="2" t="s">
        <v>946</v>
      </c>
      <c r="K452" s="2" t="s">
        <v>947</v>
      </c>
    </row>
    <row r="453" spans="1:11" ht="28.5" customHeight="1">
      <c r="A453">
        <v>2016</v>
      </c>
      <c r="B453">
        <v>11</v>
      </c>
      <c r="C453">
        <v>2</v>
      </c>
      <c r="D453" t="s">
        <v>82</v>
      </c>
      <c r="E453" t="str">
        <f t="shared" ref="E453:E516" si="28">IF(A453="","",TEXT(A453,"0")&amp;"-Q"&amp;TEXT(B453,"0")&amp;"-"&amp;IF(C453="","ABERTA",C453))</f>
        <v>2016-Q11-2</v>
      </c>
      <c r="F453">
        <f t="shared" ref="F453:F516" si="29">IF(D453="V/F",1,IF(D453="Aberta/numérica",5,""))</f>
        <v>1</v>
      </c>
      <c r="G453" t="s">
        <v>20</v>
      </c>
      <c r="H453">
        <f t="shared" ref="H453:H516" si="30">IF(A453="","",IF(C453="",COUNTIFS($A$5:$A$1504,A453,$B$5:$B$1504,B453,$C$5:$C$1504,"",$D$5:$D$1504,D453),COUNTIFS($A$5:$A$1504,A453,$B$5:$B$1504,B453,$C$5:$C$1504,C453,$D$5:$D$1504,D453)))</f>
        <v>1</v>
      </c>
      <c r="I453" s="5">
        <f t="shared" ref="I453:I516" si="31">IF(OR(F453="",H453="",G453=""),"",F453/H453)</f>
        <v>1</v>
      </c>
      <c r="J453" s="2" t="s">
        <v>948</v>
      </c>
      <c r="K453" s="2" t="s">
        <v>949</v>
      </c>
    </row>
    <row r="454" spans="1:11" ht="28.5" customHeight="1">
      <c r="A454">
        <v>2016</v>
      </c>
      <c r="B454">
        <v>11</v>
      </c>
      <c r="C454">
        <v>3</v>
      </c>
      <c r="D454" t="s">
        <v>82</v>
      </c>
      <c r="E454" t="str">
        <f t="shared" si="28"/>
        <v>2016-Q11-3</v>
      </c>
      <c r="F454">
        <f t="shared" si="29"/>
        <v>1</v>
      </c>
      <c r="G454" t="s">
        <v>17</v>
      </c>
      <c r="H454">
        <f t="shared" si="30"/>
        <v>1</v>
      </c>
      <c r="I454" s="5">
        <f t="shared" si="31"/>
        <v>1</v>
      </c>
      <c r="J454" s="2" t="s">
        <v>950</v>
      </c>
      <c r="K454" s="2" t="s">
        <v>951</v>
      </c>
    </row>
    <row r="455" spans="1:11" ht="28.5" customHeight="1">
      <c r="A455">
        <v>2016</v>
      </c>
      <c r="B455">
        <v>11</v>
      </c>
      <c r="C455">
        <v>4</v>
      </c>
      <c r="D455" t="s">
        <v>82</v>
      </c>
      <c r="E455" t="str">
        <f t="shared" si="28"/>
        <v>2016-Q11-4</v>
      </c>
      <c r="F455">
        <f t="shared" si="29"/>
        <v>1</v>
      </c>
      <c r="G455" t="s">
        <v>35</v>
      </c>
      <c r="H455">
        <f t="shared" si="30"/>
        <v>1</v>
      </c>
      <c r="I455" s="5">
        <f t="shared" si="31"/>
        <v>1</v>
      </c>
      <c r="J455" s="2" t="s">
        <v>952</v>
      </c>
      <c r="K455" s="2" t="s">
        <v>953</v>
      </c>
    </row>
    <row r="456" spans="1:11" ht="28.5" customHeight="1">
      <c r="A456">
        <v>2016</v>
      </c>
      <c r="B456">
        <v>12</v>
      </c>
      <c r="C456">
        <v>0</v>
      </c>
      <c r="D456" t="s">
        <v>82</v>
      </c>
      <c r="E456" t="str">
        <f t="shared" si="28"/>
        <v>2016-Q12-0</v>
      </c>
      <c r="F456">
        <f t="shared" si="29"/>
        <v>1</v>
      </c>
      <c r="G456" t="s">
        <v>23</v>
      </c>
      <c r="H456">
        <f t="shared" si="30"/>
        <v>2</v>
      </c>
      <c r="I456" s="5">
        <f t="shared" si="31"/>
        <v>0.5</v>
      </c>
      <c r="J456" s="2" t="s">
        <v>954</v>
      </c>
      <c r="K456" s="2" t="s">
        <v>955</v>
      </c>
    </row>
    <row r="457" spans="1:11" ht="28.5" customHeight="1">
      <c r="A457">
        <v>2016</v>
      </c>
      <c r="B457">
        <v>12</v>
      </c>
      <c r="C457">
        <v>0</v>
      </c>
      <c r="D457" t="s">
        <v>82</v>
      </c>
      <c r="E457" t="str">
        <f t="shared" si="28"/>
        <v>2016-Q12-0</v>
      </c>
      <c r="F457">
        <f t="shared" si="29"/>
        <v>1</v>
      </c>
      <c r="G457" t="s">
        <v>29</v>
      </c>
      <c r="H457">
        <f t="shared" si="30"/>
        <v>2</v>
      </c>
      <c r="I457" s="5">
        <f t="shared" si="31"/>
        <v>0.5</v>
      </c>
      <c r="J457" s="2" t="s">
        <v>954</v>
      </c>
      <c r="K457" s="2" t="s">
        <v>955</v>
      </c>
    </row>
    <row r="458" spans="1:11" ht="28.5" customHeight="1">
      <c r="A458">
        <v>2016</v>
      </c>
      <c r="B458">
        <v>12</v>
      </c>
      <c r="C458">
        <v>1</v>
      </c>
      <c r="D458" t="s">
        <v>82</v>
      </c>
      <c r="E458" t="str">
        <f t="shared" si="28"/>
        <v>2016-Q12-1</v>
      </c>
      <c r="F458">
        <f t="shared" si="29"/>
        <v>1</v>
      </c>
      <c r="G458" t="s">
        <v>23</v>
      </c>
      <c r="H458">
        <f t="shared" si="30"/>
        <v>2</v>
      </c>
      <c r="I458" s="5">
        <f t="shared" si="31"/>
        <v>0.5</v>
      </c>
      <c r="J458" s="2" t="s">
        <v>956</v>
      </c>
      <c r="K458" s="2" t="s">
        <v>957</v>
      </c>
    </row>
    <row r="459" spans="1:11" ht="28.5" customHeight="1">
      <c r="A459">
        <v>2016</v>
      </c>
      <c r="B459">
        <v>12</v>
      </c>
      <c r="C459">
        <v>1</v>
      </c>
      <c r="D459" t="s">
        <v>82</v>
      </c>
      <c r="E459" t="str">
        <f t="shared" si="28"/>
        <v>2016-Q12-1</v>
      </c>
      <c r="F459">
        <f t="shared" si="29"/>
        <v>1</v>
      </c>
      <c r="G459" t="s">
        <v>29</v>
      </c>
      <c r="H459">
        <f t="shared" si="30"/>
        <v>2</v>
      </c>
      <c r="I459" s="5">
        <f t="shared" si="31"/>
        <v>0.5</v>
      </c>
      <c r="J459" s="2" t="s">
        <v>956</v>
      </c>
      <c r="K459" s="2" t="s">
        <v>957</v>
      </c>
    </row>
    <row r="460" spans="1:11" ht="28.5" customHeight="1">
      <c r="A460">
        <v>2016</v>
      </c>
      <c r="B460">
        <v>12</v>
      </c>
      <c r="C460">
        <v>2</v>
      </c>
      <c r="D460" t="s">
        <v>82</v>
      </c>
      <c r="E460" t="str">
        <f t="shared" si="28"/>
        <v>2016-Q12-2</v>
      </c>
      <c r="F460">
        <f t="shared" si="29"/>
        <v>1</v>
      </c>
      <c r="G460" t="s">
        <v>23</v>
      </c>
      <c r="H460">
        <f t="shared" si="30"/>
        <v>2</v>
      </c>
      <c r="I460" s="5">
        <f t="shared" si="31"/>
        <v>0.5</v>
      </c>
      <c r="J460" s="2" t="s">
        <v>958</v>
      </c>
      <c r="K460" s="2" t="s">
        <v>959</v>
      </c>
    </row>
    <row r="461" spans="1:11" ht="28.5" customHeight="1">
      <c r="A461">
        <v>2016</v>
      </c>
      <c r="B461">
        <v>12</v>
      </c>
      <c r="C461">
        <v>2</v>
      </c>
      <c r="D461" t="s">
        <v>82</v>
      </c>
      <c r="E461" t="str">
        <f t="shared" si="28"/>
        <v>2016-Q12-2</v>
      </c>
      <c r="F461">
        <f t="shared" si="29"/>
        <v>1</v>
      </c>
      <c r="G461" t="s">
        <v>26</v>
      </c>
      <c r="H461">
        <f t="shared" si="30"/>
        <v>2</v>
      </c>
      <c r="I461" s="5">
        <f t="shared" si="31"/>
        <v>0.5</v>
      </c>
      <c r="J461" s="2" t="s">
        <v>958</v>
      </c>
      <c r="K461" s="2" t="s">
        <v>959</v>
      </c>
    </row>
    <row r="462" spans="1:11" ht="28.5" customHeight="1">
      <c r="A462">
        <v>2016</v>
      </c>
      <c r="B462">
        <v>12</v>
      </c>
      <c r="C462">
        <v>3</v>
      </c>
      <c r="D462" t="s">
        <v>82</v>
      </c>
      <c r="E462" t="str">
        <f t="shared" si="28"/>
        <v>2016-Q12-3</v>
      </c>
      <c r="F462">
        <f t="shared" si="29"/>
        <v>1</v>
      </c>
      <c r="G462" t="s">
        <v>23</v>
      </c>
      <c r="H462">
        <f t="shared" si="30"/>
        <v>1</v>
      </c>
      <c r="I462" s="5">
        <f t="shared" si="31"/>
        <v>1</v>
      </c>
      <c r="J462" s="2" t="s">
        <v>960</v>
      </c>
      <c r="K462" s="2" t="s">
        <v>961</v>
      </c>
    </row>
    <row r="463" spans="1:11" ht="28.5" customHeight="1">
      <c r="A463">
        <v>2016</v>
      </c>
      <c r="B463">
        <v>12</v>
      </c>
      <c r="C463">
        <v>4</v>
      </c>
      <c r="D463" t="s">
        <v>82</v>
      </c>
      <c r="E463" t="str">
        <f t="shared" si="28"/>
        <v>2016-Q12-4</v>
      </c>
      <c r="F463">
        <f t="shared" si="29"/>
        <v>1</v>
      </c>
      <c r="G463" t="s">
        <v>29</v>
      </c>
      <c r="H463">
        <f t="shared" si="30"/>
        <v>1</v>
      </c>
      <c r="I463" s="5">
        <f t="shared" si="31"/>
        <v>1</v>
      </c>
      <c r="J463" s="2" t="s">
        <v>962</v>
      </c>
      <c r="K463" s="2" t="s">
        <v>963</v>
      </c>
    </row>
    <row r="464" spans="1:11" ht="28.5" customHeight="1">
      <c r="A464">
        <v>2016</v>
      </c>
      <c r="B464">
        <v>13</v>
      </c>
      <c r="D464" t="s">
        <v>193</v>
      </c>
      <c r="E464" t="str">
        <f t="shared" si="28"/>
        <v>2016-Q13-ABERTA</v>
      </c>
      <c r="F464">
        <f t="shared" si="29"/>
        <v>5</v>
      </c>
      <c r="G464" t="s">
        <v>29</v>
      </c>
      <c r="H464">
        <f t="shared" si="30"/>
        <v>2</v>
      </c>
      <c r="I464" s="5">
        <f t="shared" si="31"/>
        <v>2.5</v>
      </c>
      <c r="J464" s="2" t="s">
        <v>964</v>
      </c>
      <c r="K464" s="2" t="s">
        <v>965</v>
      </c>
    </row>
    <row r="465" spans="1:11" ht="28.5" customHeight="1">
      <c r="A465">
        <v>2016</v>
      </c>
      <c r="B465">
        <v>13</v>
      </c>
      <c r="D465" t="s">
        <v>193</v>
      </c>
      <c r="E465" t="str">
        <f t="shared" si="28"/>
        <v>2016-Q13-ABERTA</v>
      </c>
      <c r="F465">
        <f t="shared" si="29"/>
        <v>5</v>
      </c>
      <c r="G465" t="s">
        <v>32</v>
      </c>
      <c r="H465">
        <f t="shared" si="30"/>
        <v>2</v>
      </c>
      <c r="I465" s="5">
        <f t="shared" si="31"/>
        <v>2.5</v>
      </c>
      <c r="J465" s="2" t="s">
        <v>964</v>
      </c>
      <c r="K465" s="2" t="s">
        <v>965</v>
      </c>
    </row>
    <row r="466" spans="1:11" ht="28.5" customHeight="1">
      <c r="A466">
        <v>2016</v>
      </c>
      <c r="B466">
        <v>14</v>
      </c>
      <c r="D466" t="s">
        <v>193</v>
      </c>
      <c r="E466" t="str">
        <f t="shared" si="28"/>
        <v>2016-Q14-ABERTA</v>
      </c>
      <c r="F466">
        <f t="shared" si="29"/>
        <v>5</v>
      </c>
      <c r="G466" t="s">
        <v>41</v>
      </c>
      <c r="H466">
        <f t="shared" si="30"/>
        <v>1</v>
      </c>
      <c r="I466" s="5">
        <f t="shared" si="31"/>
        <v>5</v>
      </c>
      <c r="J466" s="2" t="s">
        <v>966</v>
      </c>
      <c r="K466" s="2" t="s">
        <v>967</v>
      </c>
    </row>
    <row r="467" spans="1:11" ht="28.5" customHeight="1">
      <c r="A467">
        <v>2016</v>
      </c>
      <c r="B467">
        <v>15</v>
      </c>
      <c r="D467" t="s">
        <v>193</v>
      </c>
      <c r="E467" t="str">
        <f t="shared" si="28"/>
        <v>2016-Q15-ABERTA</v>
      </c>
      <c r="F467">
        <f t="shared" si="29"/>
        <v>5</v>
      </c>
      <c r="G467" t="s">
        <v>41</v>
      </c>
      <c r="H467">
        <f t="shared" si="30"/>
        <v>1</v>
      </c>
      <c r="I467" s="5">
        <f t="shared" si="31"/>
        <v>5</v>
      </c>
      <c r="J467" s="2" t="s">
        <v>968</v>
      </c>
      <c r="K467" s="2" t="s">
        <v>969</v>
      </c>
    </row>
    <row r="468" spans="1:11">
      <c r="A468">
        <v>2017</v>
      </c>
      <c r="B468">
        <v>1</v>
      </c>
      <c r="C468">
        <v>0</v>
      </c>
      <c r="D468" t="s">
        <v>82</v>
      </c>
      <c r="E468" t="str">
        <f t="shared" si="28"/>
        <v>2017-Q1-0</v>
      </c>
      <c r="F468">
        <f t="shared" si="29"/>
        <v>1</v>
      </c>
      <c r="G468" t="s">
        <v>8</v>
      </c>
      <c r="H468">
        <f t="shared" si="30"/>
        <v>1</v>
      </c>
      <c r="I468" s="5">
        <f t="shared" si="31"/>
        <v>1</v>
      </c>
      <c r="J468" s="2" t="s">
        <v>970</v>
      </c>
      <c r="K468" s="2" t="s">
        <v>971</v>
      </c>
    </row>
    <row r="469" spans="1:11">
      <c r="A469">
        <v>2017</v>
      </c>
      <c r="B469">
        <v>1</v>
      </c>
      <c r="C469">
        <v>1</v>
      </c>
      <c r="D469" t="s">
        <v>82</v>
      </c>
      <c r="E469" t="str">
        <f t="shared" si="28"/>
        <v>2017-Q1-1</v>
      </c>
      <c r="F469">
        <f t="shared" si="29"/>
        <v>1</v>
      </c>
      <c r="G469" t="s">
        <v>8</v>
      </c>
      <c r="H469">
        <f t="shared" si="30"/>
        <v>1</v>
      </c>
      <c r="I469" s="5">
        <f t="shared" si="31"/>
        <v>1</v>
      </c>
      <c r="J469" s="2" t="s">
        <v>972</v>
      </c>
      <c r="K469" s="2" t="s">
        <v>973</v>
      </c>
    </row>
    <row r="470" spans="1:11" ht="28.5" customHeight="1">
      <c r="A470">
        <v>2017</v>
      </c>
      <c r="B470">
        <v>1</v>
      </c>
      <c r="C470">
        <v>2</v>
      </c>
      <c r="D470" t="s">
        <v>82</v>
      </c>
      <c r="E470" t="str">
        <f t="shared" si="28"/>
        <v>2017-Q1-2</v>
      </c>
      <c r="F470">
        <f t="shared" si="29"/>
        <v>1</v>
      </c>
      <c r="G470" t="s">
        <v>8</v>
      </c>
      <c r="H470">
        <f t="shared" si="30"/>
        <v>1</v>
      </c>
      <c r="I470" s="5">
        <f t="shared" si="31"/>
        <v>1</v>
      </c>
      <c r="J470" s="2" t="s">
        <v>974</v>
      </c>
      <c r="K470" s="2" t="s">
        <v>975</v>
      </c>
    </row>
    <row r="471" spans="1:11" ht="28.5" customHeight="1">
      <c r="A471">
        <v>2017</v>
      </c>
      <c r="B471">
        <v>1</v>
      </c>
      <c r="C471">
        <v>3</v>
      </c>
      <c r="D471" t="s">
        <v>82</v>
      </c>
      <c r="E471" t="str">
        <f t="shared" si="28"/>
        <v>2017-Q1-3</v>
      </c>
      <c r="F471">
        <f t="shared" si="29"/>
        <v>1</v>
      </c>
      <c r="G471" t="s">
        <v>8</v>
      </c>
      <c r="H471">
        <f t="shared" si="30"/>
        <v>1</v>
      </c>
      <c r="I471" s="5">
        <f t="shared" si="31"/>
        <v>1</v>
      </c>
      <c r="J471" s="2" t="s">
        <v>976</v>
      </c>
      <c r="K471" s="2" t="s">
        <v>977</v>
      </c>
    </row>
    <row r="472" spans="1:11" ht="28.5" customHeight="1">
      <c r="A472">
        <v>2017</v>
      </c>
      <c r="B472">
        <v>1</v>
      </c>
      <c r="C472">
        <v>4</v>
      </c>
      <c r="D472" t="s">
        <v>82</v>
      </c>
      <c r="E472" t="str">
        <f t="shared" si="28"/>
        <v>2017-Q1-4</v>
      </c>
      <c r="F472">
        <f t="shared" si="29"/>
        <v>1</v>
      </c>
      <c r="G472" t="s">
        <v>8</v>
      </c>
      <c r="H472">
        <f t="shared" si="30"/>
        <v>1</v>
      </c>
      <c r="I472" s="5">
        <f t="shared" si="31"/>
        <v>1</v>
      </c>
      <c r="J472" s="2" t="s">
        <v>817</v>
      </c>
      <c r="K472" s="2" t="s">
        <v>978</v>
      </c>
    </row>
    <row r="473" spans="1:11">
      <c r="A473">
        <v>2017</v>
      </c>
      <c r="B473">
        <v>2</v>
      </c>
      <c r="C473">
        <v>0</v>
      </c>
      <c r="D473" t="s">
        <v>82</v>
      </c>
      <c r="E473" t="str">
        <f t="shared" si="28"/>
        <v>2017-Q2-0</v>
      </c>
      <c r="F473">
        <f t="shared" si="29"/>
        <v>1</v>
      </c>
      <c r="G473" t="s">
        <v>8</v>
      </c>
      <c r="H473">
        <f t="shared" si="30"/>
        <v>1</v>
      </c>
      <c r="I473" s="5">
        <f t="shared" si="31"/>
        <v>1</v>
      </c>
      <c r="J473" s="2" t="s">
        <v>979</v>
      </c>
      <c r="K473" s="2" t="s">
        <v>980</v>
      </c>
    </row>
    <row r="474" spans="1:11">
      <c r="A474">
        <v>2017</v>
      </c>
      <c r="B474">
        <v>2</v>
      </c>
      <c r="C474">
        <v>1</v>
      </c>
      <c r="D474" t="s">
        <v>82</v>
      </c>
      <c r="E474" t="str">
        <f t="shared" si="28"/>
        <v>2017-Q2-1</v>
      </c>
      <c r="F474">
        <f t="shared" si="29"/>
        <v>1</v>
      </c>
      <c r="G474" t="s">
        <v>8</v>
      </c>
      <c r="H474">
        <f t="shared" si="30"/>
        <v>1</v>
      </c>
      <c r="I474" s="5">
        <f t="shared" si="31"/>
        <v>1</v>
      </c>
      <c r="J474" s="2" t="s">
        <v>981</v>
      </c>
      <c r="K474" s="2" t="s">
        <v>982</v>
      </c>
    </row>
    <row r="475" spans="1:11" ht="28.5" customHeight="1">
      <c r="A475">
        <v>2017</v>
      </c>
      <c r="B475">
        <v>2</v>
      </c>
      <c r="C475">
        <v>2</v>
      </c>
      <c r="D475" t="s">
        <v>82</v>
      </c>
      <c r="E475" t="str">
        <f t="shared" si="28"/>
        <v>2017-Q2-2</v>
      </c>
      <c r="F475">
        <f t="shared" si="29"/>
        <v>1</v>
      </c>
      <c r="G475" t="s">
        <v>8</v>
      </c>
      <c r="H475">
        <f t="shared" si="30"/>
        <v>1</v>
      </c>
      <c r="I475" s="5">
        <f t="shared" si="31"/>
        <v>1</v>
      </c>
      <c r="J475" s="2" t="s">
        <v>946</v>
      </c>
      <c r="K475" s="2" t="s">
        <v>983</v>
      </c>
    </row>
    <row r="476" spans="1:11" ht="28.5" customHeight="1">
      <c r="A476">
        <v>2017</v>
      </c>
      <c r="B476">
        <v>2</v>
      </c>
      <c r="C476">
        <v>3</v>
      </c>
      <c r="D476" t="s">
        <v>82</v>
      </c>
      <c r="E476" t="str">
        <f t="shared" si="28"/>
        <v>2017-Q2-3</v>
      </c>
      <c r="F476">
        <f t="shared" si="29"/>
        <v>1</v>
      </c>
      <c r="G476" t="s">
        <v>11</v>
      </c>
      <c r="H476">
        <f t="shared" si="30"/>
        <v>1</v>
      </c>
      <c r="I476" s="5">
        <f t="shared" si="31"/>
        <v>1</v>
      </c>
      <c r="J476" s="2" t="s">
        <v>984</v>
      </c>
      <c r="K476" s="2" t="s">
        <v>985</v>
      </c>
    </row>
    <row r="477" spans="1:11">
      <c r="A477">
        <v>2017</v>
      </c>
      <c r="B477">
        <v>2</v>
      </c>
      <c r="C477">
        <v>4</v>
      </c>
      <c r="D477" t="s">
        <v>82</v>
      </c>
      <c r="E477" t="str">
        <f t="shared" si="28"/>
        <v>2017-Q2-4</v>
      </c>
      <c r="F477">
        <f t="shared" si="29"/>
        <v>1</v>
      </c>
      <c r="G477" t="s">
        <v>11</v>
      </c>
      <c r="H477">
        <f t="shared" si="30"/>
        <v>1</v>
      </c>
      <c r="I477" s="5">
        <f t="shared" si="31"/>
        <v>1</v>
      </c>
      <c r="J477" s="2" t="s">
        <v>986</v>
      </c>
      <c r="K477" s="2" t="s">
        <v>987</v>
      </c>
    </row>
    <row r="478" spans="1:11">
      <c r="A478">
        <v>2017</v>
      </c>
      <c r="B478">
        <v>3</v>
      </c>
      <c r="C478">
        <v>0</v>
      </c>
      <c r="D478" t="s">
        <v>82</v>
      </c>
      <c r="E478" t="str">
        <f t="shared" si="28"/>
        <v>2017-Q3-0</v>
      </c>
      <c r="F478">
        <f t="shared" si="29"/>
        <v>1</v>
      </c>
      <c r="G478" t="s">
        <v>20</v>
      </c>
      <c r="H478">
        <f t="shared" si="30"/>
        <v>1</v>
      </c>
      <c r="I478" s="5">
        <f t="shared" si="31"/>
        <v>1</v>
      </c>
      <c r="J478" s="2" t="s">
        <v>988</v>
      </c>
      <c r="K478" s="2" t="s">
        <v>989</v>
      </c>
    </row>
    <row r="479" spans="1:11">
      <c r="A479">
        <v>2017</v>
      </c>
      <c r="B479">
        <v>3</v>
      </c>
      <c r="C479">
        <v>1</v>
      </c>
      <c r="D479" t="s">
        <v>82</v>
      </c>
      <c r="E479" t="str">
        <f t="shared" si="28"/>
        <v>2017-Q3-1</v>
      </c>
      <c r="F479">
        <f t="shared" si="29"/>
        <v>1</v>
      </c>
      <c r="G479" t="s">
        <v>20</v>
      </c>
      <c r="H479">
        <f t="shared" si="30"/>
        <v>1</v>
      </c>
      <c r="I479" s="5">
        <f t="shared" si="31"/>
        <v>1</v>
      </c>
      <c r="J479" s="2" t="s">
        <v>990</v>
      </c>
      <c r="K479" s="2" t="s">
        <v>991</v>
      </c>
    </row>
    <row r="480" spans="1:11" ht="28.5" customHeight="1">
      <c r="A480">
        <v>2017</v>
      </c>
      <c r="B480">
        <v>3</v>
      </c>
      <c r="C480">
        <v>2</v>
      </c>
      <c r="D480" t="s">
        <v>82</v>
      </c>
      <c r="E480" t="str">
        <f t="shared" si="28"/>
        <v>2017-Q3-2</v>
      </c>
      <c r="F480">
        <f t="shared" si="29"/>
        <v>1</v>
      </c>
      <c r="G480" t="s">
        <v>20</v>
      </c>
      <c r="H480">
        <f t="shared" si="30"/>
        <v>1</v>
      </c>
      <c r="I480" s="5">
        <f t="shared" si="31"/>
        <v>1</v>
      </c>
      <c r="J480" s="2" t="s">
        <v>992</v>
      </c>
      <c r="K480" s="2" t="s">
        <v>993</v>
      </c>
    </row>
    <row r="481" spans="1:11">
      <c r="A481">
        <v>2017</v>
      </c>
      <c r="B481">
        <v>3</v>
      </c>
      <c r="C481">
        <v>3</v>
      </c>
      <c r="D481" t="s">
        <v>82</v>
      </c>
      <c r="E481" t="str">
        <f t="shared" si="28"/>
        <v>2017-Q3-3</v>
      </c>
      <c r="F481">
        <f t="shared" si="29"/>
        <v>1</v>
      </c>
      <c r="G481" t="s">
        <v>20</v>
      </c>
      <c r="H481">
        <f t="shared" si="30"/>
        <v>1</v>
      </c>
      <c r="I481" s="5">
        <f t="shared" si="31"/>
        <v>1</v>
      </c>
      <c r="J481" s="2" t="s">
        <v>994</v>
      </c>
      <c r="K481" s="2" t="s">
        <v>995</v>
      </c>
    </row>
    <row r="482" spans="1:11" ht="28.5" customHeight="1">
      <c r="A482">
        <v>2017</v>
      </c>
      <c r="B482">
        <v>3</v>
      </c>
      <c r="C482">
        <v>4</v>
      </c>
      <c r="D482" t="s">
        <v>82</v>
      </c>
      <c r="E482" t="str">
        <f t="shared" si="28"/>
        <v>2017-Q3-4</v>
      </c>
      <c r="F482">
        <f t="shared" si="29"/>
        <v>1</v>
      </c>
      <c r="G482" t="s">
        <v>20</v>
      </c>
      <c r="H482">
        <f t="shared" si="30"/>
        <v>1</v>
      </c>
      <c r="I482" s="5">
        <f t="shared" si="31"/>
        <v>1</v>
      </c>
      <c r="J482" s="2" t="s">
        <v>996</v>
      </c>
      <c r="K482" s="2" t="s">
        <v>997</v>
      </c>
    </row>
    <row r="483" spans="1:11" ht="28.5" customHeight="1">
      <c r="A483">
        <v>2017</v>
      </c>
      <c r="B483">
        <v>4</v>
      </c>
      <c r="C483">
        <v>0</v>
      </c>
      <c r="D483" t="s">
        <v>82</v>
      </c>
      <c r="E483" t="str">
        <f t="shared" si="28"/>
        <v>2017-Q4-0</v>
      </c>
      <c r="F483">
        <f t="shared" si="29"/>
        <v>1</v>
      </c>
      <c r="G483" t="s">
        <v>23</v>
      </c>
      <c r="H483">
        <f t="shared" si="30"/>
        <v>1</v>
      </c>
      <c r="I483" s="5">
        <f t="shared" si="31"/>
        <v>1</v>
      </c>
      <c r="J483" s="2" t="s">
        <v>998</v>
      </c>
      <c r="K483" s="2" t="s">
        <v>999</v>
      </c>
    </row>
    <row r="484" spans="1:11">
      <c r="A484">
        <v>2017</v>
      </c>
      <c r="B484">
        <v>4</v>
      </c>
      <c r="C484">
        <v>1</v>
      </c>
      <c r="D484" t="s">
        <v>82</v>
      </c>
      <c r="E484" t="str">
        <f t="shared" si="28"/>
        <v>2017-Q4-1</v>
      </c>
      <c r="F484">
        <f t="shared" si="29"/>
        <v>1</v>
      </c>
      <c r="G484" t="s">
        <v>23</v>
      </c>
      <c r="H484">
        <f t="shared" si="30"/>
        <v>1</v>
      </c>
      <c r="I484" s="5">
        <f t="shared" si="31"/>
        <v>1</v>
      </c>
      <c r="J484" s="2" t="s">
        <v>1000</v>
      </c>
      <c r="K484" s="2" t="s">
        <v>1001</v>
      </c>
    </row>
    <row r="485" spans="1:11">
      <c r="A485">
        <v>2017</v>
      </c>
      <c r="B485">
        <v>4</v>
      </c>
      <c r="C485">
        <v>2</v>
      </c>
      <c r="D485" t="s">
        <v>82</v>
      </c>
      <c r="E485" t="str">
        <f t="shared" si="28"/>
        <v>2017-Q4-2</v>
      </c>
      <c r="F485">
        <f t="shared" si="29"/>
        <v>1</v>
      </c>
      <c r="G485" t="s">
        <v>23</v>
      </c>
      <c r="H485">
        <f t="shared" si="30"/>
        <v>1</v>
      </c>
      <c r="I485" s="5">
        <f t="shared" si="31"/>
        <v>1</v>
      </c>
      <c r="J485" s="2" t="s">
        <v>1002</v>
      </c>
      <c r="K485" s="2" t="s">
        <v>1003</v>
      </c>
    </row>
    <row r="486" spans="1:11">
      <c r="A486">
        <v>2017</v>
      </c>
      <c r="B486">
        <v>4</v>
      </c>
      <c r="C486">
        <v>3</v>
      </c>
      <c r="D486" t="s">
        <v>82</v>
      </c>
      <c r="E486" t="str">
        <f t="shared" si="28"/>
        <v>2017-Q4-3</v>
      </c>
      <c r="F486">
        <f t="shared" si="29"/>
        <v>1</v>
      </c>
      <c r="G486" t="s">
        <v>23</v>
      </c>
      <c r="H486">
        <f t="shared" si="30"/>
        <v>1</v>
      </c>
      <c r="I486" s="5">
        <f t="shared" si="31"/>
        <v>1</v>
      </c>
      <c r="J486" s="2" t="s">
        <v>1004</v>
      </c>
      <c r="K486" s="2" t="s">
        <v>1005</v>
      </c>
    </row>
    <row r="487" spans="1:11">
      <c r="A487">
        <v>2017</v>
      </c>
      <c r="B487">
        <v>4</v>
      </c>
      <c r="C487">
        <v>4</v>
      </c>
      <c r="D487" t="s">
        <v>82</v>
      </c>
      <c r="E487" t="str">
        <f t="shared" si="28"/>
        <v>2017-Q4-4</v>
      </c>
      <c r="F487">
        <f t="shared" si="29"/>
        <v>1</v>
      </c>
      <c r="G487" t="s">
        <v>23</v>
      </c>
      <c r="H487">
        <f t="shared" si="30"/>
        <v>1</v>
      </c>
      <c r="I487" s="5">
        <f t="shared" si="31"/>
        <v>1</v>
      </c>
      <c r="J487" s="2" t="s">
        <v>1006</v>
      </c>
      <c r="K487" s="2" t="s">
        <v>1007</v>
      </c>
    </row>
    <row r="488" spans="1:11" ht="28.5" customHeight="1">
      <c r="A488">
        <v>2017</v>
      </c>
      <c r="B488">
        <v>5</v>
      </c>
      <c r="C488">
        <v>0</v>
      </c>
      <c r="D488" t="s">
        <v>82</v>
      </c>
      <c r="E488" t="str">
        <f t="shared" si="28"/>
        <v>2017-Q5-0</v>
      </c>
      <c r="F488">
        <f t="shared" si="29"/>
        <v>1</v>
      </c>
      <c r="G488" t="s">
        <v>23</v>
      </c>
      <c r="H488">
        <f t="shared" si="30"/>
        <v>1</v>
      </c>
      <c r="I488" s="5">
        <f t="shared" si="31"/>
        <v>1</v>
      </c>
      <c r="J488" s="2" t="s">
        <v>1008</v>
      </c>
      <c r="K488" s="2" t="s">
        <v>1009</v>
      </c>
    </row>
    <row r="489" spans="1:11" ht="28.5" customHeight="1">
      <c r="A489">
        <v>2017</v>
      </c>
      <c r="B489">
        <v>5</v>
      </c>
      <c r="C489">
        <v>1</v>
      </c>
      <c r="D489" t="s">
        <v>82</v>
      </c>
      <c r="E489" t="str">
        <f t="shared" si="28"/>
        <v>2017-Q5-1</v>
      </c>
      <c r="F489">
        <f t="shared" si="29"/>
        <v>1</v>
      </c>
      <c r="G489" t="s">
        <v>23</v>
      </c>
      <c r="H489">
        <f t="shared" si="30"/>
        <v>1</v>
      </c>
      <c r="I489" s="5">
        <f t="shared" si="31"/>
        <v>1</v>
      </c>
      <c r="J489" s="2" t="s">
        <v>1010</v>
      </c>
      <c r="K489" s="2" t="s">
        <v>1011</v>
      </c>
    </row>
    <row r="490" spans="1:11" ht="28.5" customHeight="1">
      <c r="A490">
        <v>2017</v>
      </c>
      <c r="B490">
        <v>5</v>
      </c>
      <c r="C490">
        <v>2</v>
      </c>
      <c r="D490" t="s">
        <v>82</v>
      </c>
      <c r="E490" t="str">
        <f t="shared" si="28"/>
        <v>2017-Q5-2</v>
      </c>
      <c r="F490">
        <f t="shared" si="29"/>
        <v>1</v>
      </c>
      <c r="G490" t="s">
        <v>23</v>
      </c>
      <c r="H490">
        <f t="shared" si="30"/>
        <v>1</v>
      </c>
      <c r="I490" s="5">
        <f t="shared" si="31"/>
        <v>1</v>
      </c>
      <c r="J490" s="2" t="s">
        <v>1012</v>
      </c>
      <c r="K490" s="2" t="s">
        <v>1013</v>
      </c>
    </row>
    <row r="491" spans="1:11">
      <c r="A491">
        <v>2017</v>
      </c>
      <c r="B491">
        <v>5</v>
      </c>
      <c r="C491">
        <v>3</v>
      </c>
      <c r="D491" t="s">
        <v>82</v>
      </c>
      <c r="E491" t="str">
        <f t="shared" si="28"/>
        <v>2017-Q5-3</v>
      </c>
      <c r="F491">
        <f t="shared" si="29"/>
        <v>1</v>
      </c>
      <c r="G491" t="s">
        <v>23</v>
      </c>
      <c r="H491">
        <f t="shared" si="30"/>
        <v>1</v>
      </c>
      <c r="I491" s="5">
        <f t="shared" si="31"/>
        <v>1</v>
      </c>
      <c r="J491" s="2" t="s">
        <v>1014</v>
      </c>
      <c r="K491" s="2" t="s">
        <v>1015</v>
      </c>
    </row>
    <row r="492" spans="1:11" ht="28.5" customHeight="1">
      <c r="A492">
        <v>2017</v>
      </c>
      <c r="B492">
        <v>5</v>
      </c>
      <c r="C492">
        <v>4</v>
      </c>
      <c r="D492" t="s">
        <v>82</v>
      </c>
      <c r="E492" t="str">
        <f t="shared" si="28"/>
        <v>2017-Q5-4</v>
      </c>
      <c r="F492">
        <f t="shared" si="29"/>
        <v>1</v>
      </c>
      <c r="G492" t="s">
        <v>23</v>
      </c>
      <c r="H492">
        <f t="shared" si="30"/>
        <v>1</v>
      </c>
      <c r="I492" s="5">
        <f t="shared" si="31"/>
        <v>1</v>
      </c>
      <c r="J492" s="2" t="s">
        <v>1016</v>
      </c>
      <c r="K492" s="2" t="s">
        <v>1017</v>
      </c>
    </row>
    <row r="493" spans="1:11">
      <c r="A493">
        <v>2017</v>
      </c>
      <c r="B493">
        <v>6</v>
      </c>
      <c r="C493">
        <v>0</v>
      </c>
      <c r="D493" t="s">
        <v>82</v>
      </c>
      <c r="E493" t="str">
        <f t="shared" si="28"/>
        <v>2017-Q6-0</v>
      </c>
      <c r="F493">
        <f t="shared" si="29"/>
        <v>1</v>
      </c>
      <c r="G493" t="s">
        <v>44</v>
      </c>
      <c r="H493">
        <f t="shared" si="30"/>
        <v>1</v>
      </c>
      <c r="I493" s="5">
        <f t="shared" si="31"/>
        <v>1</v>
      </c>
      <c r="J493" s="2" t="s">
        <v>1018</v>
      </c>
      <c r="K493" s="2" t="s">
        <v>1019</v>
      </c>
    </row>
    <row r="494" spans="1:11">
      <c r="A494">
        <v>2017</v>
      </c>
      <c r="B494">
        <v>6</v>
      </c>
      <c r="C494">
        <v>1</v>
      </c>
      <c r="D494" t="s">
        <v>82</v>
      </c>
      <c r="E494" t="str">
        <f t="shared" si="28"/>
        <v>2017-Q6-1</v>
      </c>
      <c r="F494">
        <f t="shared" si="29"/>
        <v>1</v>
      </c>
      <c r="G494" t="s">
        <v>44</v>
      </c>
      <c r="H494">
        <f t="shared" si="30"/>
        <v>1</v>
      </c>
      <c r="I494" s="5">
        <f t="shared" si="31"/>
        <v>1</v>
      </c>
      <c r="J494" s="2" t="s">
        <v>1020</v>
      </c>
      <c r="K494" s="2" t="s">
        <v>1021</v>
      </c>
    </row>
    <row r="495" spans="1:11">
      <c r="A495">
        <v>2017</v>
      </c>
      <c r="B495">
        <v>6</v>
      </c>
      <c r="C495">
        <v>2</v>
      </c>
      <c r="D495" t="s">
        <v>82</v>
      </c>
      <c r="E495" t="str">
        <f t="shared" si="28"/>
        <v>2017-Q6-2</v>
      </c>
      <c r="F495">
        <f t="shared" si="29"/>
        <v>1</v>
      </c>
      <c r="G495" t="s">
        <v>44</v>
      </c>
      <c r="H495">
        <f t="shared" si="30"/>
        <v>1</v>
      </c>
      <c r="I495" s="5">
        <f t="shared" si="31"/>
        <v>1</v>
      </c>
      <c r="J495" s="2" t="s">
        <v>1022</v>
      </c>
      <c r="K495" s="2" t="s">
        <v>1023</v>
      </c>
    </row>
    <row r="496" spans="1:11" ht="28.5" customHeight="1">
      <c r="A496">
        <v>2017</v>
      </c>
      <c r="B496">
        <v>6</v>
      </c>
      <c r="C496">
        <v>3</v>
      </c>
      <c r="D496" t="s">
        <v>82</v>
      </c>
      <c r="E496" t="str">
        <f t="shared" si="28"/>
        <v>2017-Q6-3</v>
      </c>
      <c r="F496">
        <f t="shared" si="29"/>
        <v>1</v>
      </c>
      <c r="G496" t="s">
        <v>44</v>
      </c>
      <c r="H496">
        <f t="shared" si="30"/>
        <v>1</v>
      </c>
      <c r="I496" s="5">
        <f t="shared" si="31"/>
        <v>1</v>
      </c>
      <c r="J496" s="2" t="s">
        <v>1024</v>
      </c>
      <c r="K496" s="2" t="s">
        <v>1025</v>
      </c>
    </row>
    <row r="497" spans="1:11">
      <c r="A497">
        <v>2017</v>
      </c>
      <c r="B497">
        <v>6</v>
      </c>
      <c r="C497">
        <v>4</v>
      </c>
      <c r="D497" t="s">
        <v>82</v>
      </c>
      <c r="E497" t="str">
        <f t="shared" si="28"/>
        <v>2017-Q6-4</v>
      </c>
      <c r="F497">
        <f t="shared" si="29"/>
        <v>1</v>
      </c>
      <c r="G497" t="s">
        <v>47</v>
      </c>
      <c r="H497">
        <f t="shared" si="30"/>
        <v>1</v>
      </c>
      <c r="I497" s="5">
        <f t="shared" si="31"/>
        <v>1</v>
      </c>
      <c r="J497" s="2" t="s">
        <v>1026</v>
      </c>
      <c r="K497" s="2" t="s">
        <v>1027</v>
      </c>
    </row>
    <row r="498" spans="1:11">
      <c r="A498">
        <v>2017</v>
      </c>
      <c r="B498">
        <v>7</v>
      </c>
      <c r="C498">
        <v>0</v>
      </c>
      <c r="D498" t="s">
        <v>82</v>
      </c>
      <c r="E498" t="str">
        <f t="shared" si="28"/>
        <v>2017-Q7-0</v>
      </c>
      <c r="F498">
        <f t="shared" si="29"/>
        <v>1</v>
      </c>
      <c r="G498" t="s">
        <v>32</v>
      </c>
      <c r="H498">
        <f t="shared" si="30"/>
        <v>1</v>
      </c>
      <c r="I498" s="5">
        <f t="shared" si="31"/>
        <v>1</v>
      </c>
      <c r="J498" s="2" t="s">
        <v>1028</v>
      </c>
      <c r="K498" s="2" t="s">
        <v>1029</v>
      </c>
    </row>
    <row r="499" spans="1:11" ht="28.5" customHeight="1">
      <c r="A499">
        <v>2017</v>
      </c>
      <c r="B499">
        <v>7</v>
      </c>
      <c r="C499">
        <v>1</v>
      </c>
      <c r="D499" t="s">
        <v>82</v>
      </c>
      <c r="E499" t="str">
        <f t="shared" si="28"/>
        <v>2017-Q7-1</v>
      </c>
      <c r="F499">
        <f t="shared" si="29"/>
        <v>1</v>
      </c>
      <c r="G499" t="s">
        <v>29</v>
      </c>
      <c r="H499">
        <f t="shared" si="30"/>
        <v>2</v>
      </c>
      <c r="I499" s="5">
        <f t="shared" si="31"/>
        <v>0.5</v>
      </c>
      <c r="J499" s="2" t="s">
        <v>1030</v>
      </c>
      <c r="K499" s="2" t="s">
        <v>1031</v>
      </c>
    </row>
    <row r="500" spans="1:11" ht="28.5" customHeight="1">
      <c r="A500">
        <v>2017</v>
      </c>
      <c r="B500">
        <v>7</v>
      </c>
      <c r="C500">
        <v>1</v>
      </c>
      <c r="D500" t="s">
        <v>82</v>
      </c>
      <c r="E500" t="str">
        <f t="shared" si="28"/>
        <v>2017-Q7-1</v>
      </c>
      <c r="F500">
        <f t="shared" si="29"/>
        <v>1</v>
      </c>
      <c r="G500" t="s">
        <v>32</v>
      </c>
      <c r="H500">
        <f t="shared" si="30"/>
        <v>2</v>
      </c>
      <c r="I500" s="5">
        <f t="shared" si="31"/>
        <v>0.5</v>
      </c>
      <c r="J500" s="2" t="s">
        <v>1030</v>
      </c>
      <c r="K500" s="2" t="s">
        <v>1031</v>
      </c>
    </row>
    <row r="501" spans="1:11">
      <c r="A501">
        <v>2017</v>
      </c>
      <c r="B501">
        <v>7</v>
      </c>
      <c r="C501">
        <v>2</v>
      </c>
      <c r="D501" t="s">
        <v>82</v>
      </c>
      <c r="E501" t="str">
        <f t="shared" si="28"/>
        <v>2017-Q7-2</v>
      </c>
      <c r="F501">
        <f t="shared" si="29"/>
        <v>1</v>
      </c>
      <c r="G501" t="s">
        <v>32</v>
      </c>
      <c r="H501">
        <f t="shared" si="30"/>
        <v>1</v>
      </c>
      <c r="I501" s="5">
        <f t="shared" si="31"/>
        <v>1</v>
      </c>
      <c r="J501" s="2" t="s">
        <v>1032</v>
      </c>
      <c r="K501" s="2" t="s">
        <v>1033</v>
      </c>
    </row>
    <row r="502" spans="1:11">
      <c r="A502">
        <v>2017</v>
      </c>
      <c r="B502">
        <v>7</v>
      </c>
      <c r="C502">
        <v>3</v>
      </c>
      <c r="D502" t="s">
        <v>82</v>
      </c>
      <c r="E502" t="str">
        <f t="shared" si="28"/>
        <v>2017-Q7-3</v>
      </c>
      <c r="F502">
        <f t="shared" si="29"/>
        <v>1</v>
      </c>
      <c r="G502" t="s">
        <v>32</v>
      </c>
      <c r="H502">
        <f t="shared" si="30"/>
        <v>1</v>
      </c>
      <c r="I502" s="5">
        <f t="shared" si="31"/>
        <v>1</v>
      </c>
      <c r="J502" s="2" t="s">
        <v>1034</v>
      </c>
      <c r="K502" s="2" t="s">
        <v>1035</v>
      </c>
    </row>
    <row r="503" spans="1:11" ht="28.5" customHeight="1">
      <c r="A503">
        <v>2017</v>
      </c>
      <c r="B503">
        <v>7</v>
      </c>
      <c r="C503">
        <v>4</v>
      </c>
      <c r="D503" t="s">
        <v>82</v>
      </c>
      <c r="E503" t="str">
        <f t="shared" si="28"/>
        <v>2017-Q7-4</v>
      </c>
      <c r="F503">
        <f t="shared" si="29"/>
        <v>1</v>
      </c>
      <c r="G503" t="s">
        <v>32</v>
      </c>
      <c r="H503">
        <f t="shared" si="30"/>
        <v>1</v>
      </c>
      <c r="I503" s="5">
        <f t="shared" si="31"/>
        <v>1</v>
      </c>
      <c r="J503" s="2" t="s">
        <v>1036</v>
      </c>
      <c r="K503" s="2" t="s">
        <v>1037</v>
      </c>
    </row>
    <row r="504" spans="1:11" ht="28.5" customHeight="1">
      <c r="A504">
        <v>2017</v>
      </c>
      <c r="B504">
        <v>8</v>
      </c>
      <c r="C504">
        <v>0</v>
      </c>
      <c r="D504" t="s">
        <v>82</v>
      </c>
      <c r="E504" t="str">
        <f t="shared" si="28"/>
        <v>2017-Q8-0</v>
      </c>
      <c r="F504">
        <f t="shared" si="29"/>
        <v>1</v>
      </c>
      <c r="G504" t="s">
        <v>32</v>
      </c>
      <c r="H504">
        <f t="shared" si="30"/>
        <v>1</v>
      </c>
      <c r="I504" s="5">
        <f t="shared" si="31"/>
        <v>1</v>
      </c>
      <c r="J504" s="2" t="s">
        <v>1038</v>
      </c>
      <c r="K504" s="2" t="s">
        <v>1039</v>
      </c>
    </row>
    <row r="505" spans="1:11">
      <c r="A505">
        <v>2017</v>
      </c>
      <c r="B505">
        <v>8</v>
      </c>
      <c r="C505">
        <v>1</v>
      </c>
      <c r="D505" t="s">
        <v>82</v>
      </c>
      <c r="E505" t="str">
        <f t="shared" si="28"/>
        <v>2017-Q8-1</v>
      </c>
      <c r="F505">
        <f t="shared" si="29"/>
        <v>1</v>
      </c>
      <c r="G505" t="s">
        <v>32</v>
      </c>
      <c r="H505">
        <f t="shared" si="30"/>
        <v>1</v>
      </c>
      <c r="I505" s="5">
        <f t="shared" si="31"/>
        <v>1</v>
      </c>
      <c r="J505" s="2" t="s">
        <v>1040</v>
      </c>
      <c r="K505" s="2" t="s">
        <v>1041</v>
      </c>
    </row>
    <row r="506" spans="1:11">
      <c r="A506">
        <v>2017</v>
      </c>
      <c r="B506">
        <v>8</v>
      </c>
      <c r="C506">
        <v>2</v>
      </c>
      <c r="D506" t="s">
        <v>82</v>
      </c>
      <c r="E506" t="str">
        <f t="shared" si="28"/>
        <v>2017-Q8-2</v>
      </c>
      <c r="F506">
        <f t="shared" si="29"/>
        <v>1</v>
      </c>
      <c r="G506" t="s">
        <v>35</v>
      </c>
      <c r="H506">
        <f t="shared" si="30"/>
        <v>1</v>
      </c>
      <c r="I506" s="5">
        <f t="shared" si="31"/>
        <v>1</v>
      </c>
      <c r="J506" s="2" t="s">
        <v>1042</v>
      </c>
      <c r="K506" s="2" t="s">
        <v>1043</v>
      </c>
    </row>
    <row r="507" spans="1:11" ht="28.5" customHeight="1">
      <c r="A507">
        <v>2017</v>
      </c>
      <c r="B507">
        <v>8</v>
      </c>
      <c r="C507">
        <v>3</v>
      </c>
      <c r="D507" t="s">
        <v>82</v>
      </c>
      <c r="E507" t="str">
        <f t="shared" si="28"/>
        <v>2017-Q8-3</v>
      </c>
      <c r="F507">
        <f t="shared" si="29"/>
        <v>1</v>
      </c>
      <c r="G507" t="s">
        <v>35</v>
      </c>
      <c r="H507">
        <f t="shared" si="30"/>
        <v>1</v>
      </c>
      <c r="I507" s="5">
        <f t="shared" si="31"/>
        <v>1</v>
      </c>
      <c r="J507" s="2" t="s">
        <v>1044</v>
      </c>
      <c r="K507" s="2" t="s">
        <v>1045</v>
      </c>
    </row>
    <row r="508" spans="1:11" ht="28.5" customHeight="1">
      <c r="A508">
        <v>2017</v>
      </c>
      <c r="B508">
        <v>8</v>
      </c>
      <c r="C508">
        <v>4</v>
      </c>
      <c r="D508" t="s">
        <v>82</v>
      </c>
      <c r="E508" t="str">
        <f t="shared" si="28"/>
        <v>2017-Q8-4</v>
      </c>
      <c r="F508">
        <f t="shared" si="29"/>
        <v>1</v>
      </c>
      <c r="G508" t="s">
        <v>35</v>
      </c>
      <c r="H508">
        <f t="shared" si="30"/>
        <v>1</v>
      </c>
      <c r="I508" s="5">
        <f t="shared" si="31"/>
        <v>1</v>
      </c>
      <c r="J508" s="2" t="s">
        <v>1046</v>
      </c>
      <c r="K508" s="2" t="s">
        <v>1047</v>
      </c>
    </row>
    <row r="509" spans="1:11">
      <c r="A509">
        <v>2017</v>
      </c>
      <c r="B509">
        <v>9</v>
      </c>
      <c r="C509">
        <v>0</v>
      </c>
      <c r="D509" t="s">
        <v>82</v>
      </c>
      <c r="E509" t="str">
        <f t="shared" si="28"/>
        <v>2017-Q9-0</v>
      </c>
      <c r="F509">
        <f t="shared" si="29"/>
        <v>1</v>
      </c>
      <c r="G509" t="s">
        <v>50</v>
      </c>
      <c r="H509">
        <f t="shared" si="30"/>
        <v>1</v>
      </c>
      <c r="I509" s="5">
        <f t="shared" si="31"/>
        <v>1</v>
      </c>
      <c r="J509" s="2" t="s">
        <v>934</v>
      </c>
      <c r="K509" s="2" t="s">
        <v>1048</v>
      </c>
    </row>
    <row r="510" spans="1:11">
      <c r="A510">
        <v>2017</v>
      </c>
      <c r="B510">
        <v>9</v>
      </c>
      <c r="C510">
        <v>1</v>
      </c>
      <c r="D510" t="s">
        <v>82</v>
      </c>
      <c r="E510" t="str">
        <f t="shared" si="28"/>
        <v>2017-Q9-1</v>
      </c>
      <c r="F510">
        <f t="shared" si="29"/>
        <v>1</v>
      </c>
      <c r="G510" t="s">
        <v>50</v>
      </c>
      <c r="H510">
        <f t="shared" si="30"/>
        <v>1</v>
      </c>
      <c r="I510" s="5">
        <f t="shared" si="31"/>
        <v>1</v>
      </c>
      <c r="J510" s="2" t="s">
        <v>1049</v>
      </c>
      <c r="K510" s="2" t="s">
        <v>1050</v>
      </c>
    </row>
    <row r="511" spans="1:11">
      <c r="A511">
        <v>2017</v>
      </c>
      <c r="B511">
        <v>9</v>
      </c>
      <c r="C511">
        <v>2</v>
      </c>
      <c r="D511" t="s">
        <v>82</v>
      </c>
      <c r="E511" t="str">
        <f t="shared" si="28"/>
        <v>2017-Q9-2</v>
      </c>
      <c r="F511">
        <f t="shared" si="29"/>
        <v>1</v>
      </c>
      <c r="G511" t="s">
        <v>50</v>
      </c>
      <c r="H511">
        <f t="shared" si="30"/>
        <v>1</v>
      </c>
      <c r="I511" s="5">
        <f t="shared" si="31"/>
        <v>1</v>
      </c>
      <c r="J511" s="2" t="s">
        <v>1051</v>
      </c>
      <c r="K511" s="2" t="s">
        <v>1052</v>
      </c>
    </row>
    <row r="512" spans="1:11" ht="28.5" customHeight="1">
      <c r="A512">
        <v>2017</v>
      </c>
      <c r="B512">
        <v>9</v>
      </c>
      <c r="C512">
        <v>3</v>
      </c>
      <c r="D512" t="s">
        <v>82</v>
      </c>
      <c r="E512" t="str">
        <f t="shared" si="28"/>
        <v>2017-Q9-3</v>
      </c>
      <c r="F512">
        <f t="shared" si="29"/>
        <v>1</v>
      </c>
      <c r="G512" t="s">
        <v>38</v>
      </c>
      <c r="H512">
        <f t="shared" si="30"/>
        <v>1</v>
      </c>
      <c r="I512" s="5">
        <f t="shared" si="31"/>
        <v>1</v>
      </c>
      <c r="J512" s="2" t="s">
        <v>1053</v>
      </c>
      <c r="K512" s="2" t="s">
        <v>1054</v>
      </c>
    </row>
    <row r="513" spans="1:11" ht="28.5" customHeight="1">
      <c r="A513">
        <v>2017</v>
      </c>
      <c r="B513">
        <v>9</v>
      </c>
      <c r="C513">
        <v>4</v>
      </c>
      <c r="D513" t="s">
        <v>82</v>
      </c>
      <c r="E513" t="str">
        <f t="shared" si="28"/>
        <v>2017-Q9-4</v>
      </c>
      <c r="F513">
        <f t="shared" si="29"/>
        <v>1</v>
      </c>
      <c r="G513" t="s">
        <v>35</v>
      </c>
      <c r="H513">
        <f t="shared" si="30"/>
        <v>1</v>
      </c>
      <c r="I513" s="5">
        <f t="shared" si="31"/>
        <v>1</v>
      </c>
      <c r="J513" s="2" t="s">
        <v>1055</v>
      </c>
      <c r="K513" s="2" t="s">
        <v>1056</v>
      </c>
    </row>
    <row r="514" spans="1:11" ht="28.5" customHeight="1">
      <c r="A514">
        <v>2017</v>
      </c>
      <c r="B514">
        <v>10</v>
      </c>
      <c r="C514">
        <v>0</v>
      </c>
      <c r="D514" t="s">
        <v>82</v>
      </c>
      <c r="E514" t="str">
        <f t="shared" si="28"/>
        <v>2017-Q10-0</v>
      </c>
      <c r="F514">
        <f t="shared" si="29"/>
        <v>1</v>
      </c>
      <c r="G514" t="s">
        <v>35</v>
      </c>
      <c r="H514">
        <f t="shared" si="30"/>
        <v>1</v>
      </c>
      <c r="I514" s="5">
        <f t="shared" si="31"/>
        <v>1</v>
      </c>
      <c r="J514" s="2" t="s">
        <v>1057</v>
      </c>
      <c r="K514" s="2" t="s">
        <v>1058</v>
      </c>
    </row>
    <row r="515" spans="1:11" ht="28.5" customHeight="1">
      <c r="A515">
        <v>2017</v>
      </c>
      <c r="B515">
        <v>10</v>
      </c>
      <c r="C515">
        <v>1</v>
      </c>
      <c r="D515" t="s">
        <v>82</v>
      </c>
      <c r="E515" t="str">
        <f t="shared" si="28"/>
        <v>2017-Q10-1</v>
      </c>
      <c r="F515">
        <f t="shared" si="29"/>
        <v>1</v>
      </c>
      <c r="G515" t="s">
        <v>38</v>
      </c>
      <c r="H515">
        <f t="shared" si="30"/>
        <v>1</v>
      </c>
      <c r="I515" s="5">
        <f t="shared" si="31"/>
        <v>1</v>
      </c>
      <c r="J515" s="2" t="s">
        <v>1059</v>
      </c>
      <c r="K515" s="2" t="s">
        <v>1060</v>
      </c>
    </row>
    <row r="516" spans="1:11" ht="28.5" customHeight="1">
      <c r="A516">
        <v>2017</v>
      </c>
      <c r="B516">
        <v>10</v>
      </c>
      <c r="C516">
        <v>2</v>
      </c>
      <c r="D516" t="s">
        <v>82</v>
      </c>
      <c r="E516" t="str">
        <f t="shared" si="28"/>
        <v>2017-Q10-2</v>
      </c>
      <c r="F516">
        <f t="shared" si="29"/>
        <v>1</v>
      </c>
      <c r="G516" t="s">
        <v>38</v>
      </c>
      <c r="H516">
        <f t="shared" si="30"/>
        <v>1</v>
      </c>
      <c r="I516" s="5">
        <f t="shared" si="31"/>
        <v>1</v>
      </c>
      <c r="J516" s="2" t="s">
        <v>1061</v>
      </c>
      <c r="K516" s="2" t="s">
        <v>1062</v>
      </c>
    </row>
    <row r="517" spans="1:11" ht="28.5" customHeight="1">
      <c r="A517">
        <v>2017</v>
      </c>
      <c r="B517">
        <v>10</v>
      </c>
      <c r="C517">
        <v>3</v>
      </c>
      <c r="D517" t="s">
        <v>82</v>
      </c>
      <c r="E517" t="str">
        <f t="shared" ref="E517:E580" si="32">IF(A517="","",TEXT(A517,"0")&amp;"-Q"&amp;TEXT(B517,"0")&amp;"-"&amp;IF(C517="","ABERTA",C517))</f>
        <v>2017-Q10-3</v>
      </c>
      <c r="F517">
        <f t="shared" ref="F517:F580" si="33">IF(D517="V/F",1,IF(D517="Aberta/numérica",5,""))</f>
        <v>1</v>
      </c>
      <c r="G517" t="s">
        <v>35</v>
      </c>
      <c r="H517">
        <f t="shared" ref="H517:H580" si="34">IF(A517="","",IF(C517="",COUNTIFS($A$5:$A$1504,A517,$B$5:$B$1504,B517,$C$5:$C$1504,"",$D$5:$D$1504,D517),COUNTIFS($A$5:$A$1504,A517,$B$5:$B$1504,B517,$C$5:$C$1504,C517,$D$5:$D$1504,D517)))</f>
        <v>1</v>
      </c>
      <c r="I517" s="5">
        <f t="shared" ref="I517:I580" si="35">IF(OR(F517="",H517="",G517=""),"",F517/H517)</f>
        <v>1</v>
      </c>
      <c r="J517" s="2" t="s">
        <v>1063</v>
      </c>
      <c r="K517" s="2" t="s">
        <v>1064</v>
      </c>
    </row>
    <row r="518" spans="1:11" ht="28.5" customHeight="1">
      <c r="A518">
        <v>2017</v>
      </c>
      <c r="B518">
        <v>10</v>
      </c>
      <c r="C518">
        <v>4</v>
      </c>
      <c r="D518" t="s">
        <v>82</v>
      </c>
      <c r="E518" t="str">
        <f t="shared" si="32"/>
        <v>2017-Q10-4</v>
      </c>
      <c r="F518">
        <f t="shared" si="33"/>
        <v>1</v>
      </c>
      <c r="G518" t="s">
        <v>35</v>
      </c>
      <c r="H518">
        <f t="shared" si="34"/>
        <v>1</v>
      </c>
      <c r="I518" s="5">
        <f t="shared" si="35"/>
        <v>1</v>
      </c>
      <c r="J518" s="2" t="s">
        <v>1065</v>
      </c>
      <c r="K518" s="2" t="s">
        <v>1066</v>
      </c>
    </row>
    <row r="519" spans="1:11" ht="28.5" customHeight="1">
      <c r="A519">
        <v>2017</v>
      </c>
      <c r="B519">
        <v>11</v>
      </c>
      <c r="C519">
        <v>0</v>
      </c>
      <c r="D519" t="s">
        <v>82</v>
      </c>
      <c r="E519" t="str">
        <f t="shared" si="32"/>
        <v>2017-Q11-0</v>
      </c>
      <c r="F519">
        <f t="shared" si="33"/>
        <v>1</v>
      </c>
      <c r="G519" t="s">
        <v>47</v>
      </c>
      <c r="H519">
        <f t="shared" si="34"/>
        <v>1</v>
      </c>
      <c r="I519" s="5">
        <f t="shared" si="35"/>
        <v>1</v>
      </c>
      <c r="J519" s="2" t="s">
        <v>914</v>
      </c>
      <c r="K519" s="2" t="s">
        <v>1067</v>
      </c>
    </row>
    <row r="520" spans="1:11" ht="28.5" customHeight="1">
      <c r="A520">
        <v>2017</v>
      </c>
      <c r="B520">
        <v>11</v>
      </c>
      <c r="C520">
        <v>1</v>
      </c>
      <c r="D520" t="s">
        <v>82</v>
      </c>
      <c r="E520" t="str">
        <f t="shared" si="32"/>
        <v>2017-Q11-1</v>
      </c>
      <c r="F520">
        <f t="shared" si="33"/>
        <v>1</v>
      </c>
      <c r="G520" t="s">
        <v>47</v>
      </c>
      <c r="H520">
        <f t="shared" si="34"/>
        <v>1</v>
      </c>
      <c r="I520" s="5">
        <f t="shared" si="35"/>
        <v>1</v>
      </c>
      <c r="J520" s="2" t="s">
        <v>1068</v>
      </c>
      <c r="K520" s="2" t="s">
        <v>1069</v>
      </c>
    </row>
    <row r="521" spans="1:11" ht="28.5" customHeight="1">
      <c r="A521">
        <v>2017</v>
      </c>
      <c r="B521">
        <v>11</v>
      </c>
      <c r="C521">
        <v>2</v>
      </c>
      <c r="D521" t="s">
        <v>82</v>
      </c>
      <c r="E521" t="str">
        <f t="shared" si="32"/>
        <v>2017-Q11-2</v>
      </c>
      <c r="F521">
        <f t="shared" si="33"/>
        <v>1</v>
      </c>
      <c r="G521" t="s">
        <v>47</v>
      </c>
      <c r="H521">
        <f t="shared" si="34"/>
        <v>1</v>
      </c>
      <c r="I521" s="5">
        <f t="shared" si="35"/>
        <v>1</v>
      </c>
      <c r="J521" s="2" t="s">
        <v>1070</v>
      </c>
      <c r="K521" s="2" t="s">
        <v>1071</v>
      </c>
    </row>
    <row r="522" spans="1:11" ht="28.5" customHeight="1">
      <c r="A522">
        <v>2017</v>
      </c>
      <c r="B522">
        <v>11</v>
      </c>
      <c r="C522">
        <v>3</v>
      </c>
      <c r="D522" t="s">
        <v>82</v>
      </c>
      <c r="E522" t="str">
        <f t="shared" si="32"/>
        <v>2017-Q11-3</v>
      </c>
      <c r="F522">
        <f t="shared" si="33"/>
        <v>1</v>
      </c>
      <c r="G522" t="s">
        <v>44</v>
      </c>
      <c r="H522">
        <f t="shared" si="34"/>
        <v>1</v>
      </c>
      <c r="I522" s="5">
        <f t="shared" si="35"/>
        <v>1</v>
      </c>
      <c r="J522" s="2" t="s">
        <v>1072</v>
      </c>
      <c r="K522" s="2" t="s">
        <v>1073</v>
      </c>
    </row>
    <row r="523" spans="1:11" ht="28.5" customHeight="1">
      <c r="A523">
        <v>2017</v>
      </c>
      <c r="B523">
        <v>11</v>
      </c>
      <c r="C523">
        <v>4</v>
      </c>
      <c r="D523" t="s">
        <v>82</v>
      </c>
      <c r="E523" t="str">
        <f t="shared" si="32"/>
        <v>2017-Q11-4</v>
      </c>
      <c r="F523">
        <f t="shared" si="33"/>
        <v>1</v>
      </c>
      <c r="G523" t="s">
        <v>44</v>
      </c>
      <c r="H523">
        <f t="shared" si="34"/>
        <v>1</v>
      </c>
      <c r="I523" s="5">
        <f t="shared" si="35"/>
        <v>1</v>
      </c>
      <c r="J523" s="2" t="s">
        <v>1074</v>
      </c>
      <c r="K523" s="2" t="s">
        <v>1075</v>
      </c>
    </row>
    <row r="524" spans="1:11" ht="28.5" customHeight="1">
      <c r="A524">
        <v>2017</v>
      </c>
      <c r="B524">
        <v>12</v>
      </c>
      <c r="C524">
        <v>0</v>
      </c>
      <c r="D524" t="s">
        <v>82</v>
      </c>
      <c r="E524" t="str">
        <f t="shared" si="32"/>
        <v>2017-Q12-0</v>
      </c>
      <c r="F524">
        <f t="shared" si="33"/>
        <v>1</v>
      </c>
      <c r="G524" t="s">
        <v>50</v>
      </c>
      <c r="H524">
        <f t="shared" si="34"/>
        <v>1</v>
      </c>
      <c r="I524" s="5">
        <f t="shared" si="35"/>
        <v>1</v>
      </c>
      <c r="J524" s="2" t="s">
        <v>1076</v>
      </c>
      <c r="K524" s="2" t="s">
        <v>1077</v>
      </c>
    </row>
    <row r="525" spans="1:11" ht="28.5" customHeight="1">
      <c r="A525">
        <v>2017</v>
      </c>
      <c r="B525">
        <v>12</v>
      </c>
      <c r="C525">
        <v>1</v>
      </c>
      <c r="D525" t="s">
        <v>82</v>
      </c>
      <c r="E525" t="str">
        <f t="shared" si="32"/>
        <v>2017-Q12-1</v>
      </c>
      <c r="F525">
        <f t="shared" si="33"/>
        <v>1</v>
      </c>
      <c r="G525" t="s">
        <v>50</v>
      </c>
      <c r="H525">
        <f t="shared" si="34"/>
        <v>1</v>
      </c>
      <c r="I525" s="5">
        <f t="shared" si="35"/>
        <v>1</v>
      </c>
      <c r="J525" s="2" t="s">
        <v>1078</v>
      </c>
      <c r="K525" s="2" t="s">
        <v>1079</v>
      </c>
    </row>
    <row r="526" spans="1:11" ht="28.5" customHeight="1">
      <c r="A526">
        <v>2017</v>
      </c>
      <c r="B526">
        <v>12</v>
      </c>
      <c r="C526">
        <v>2</v>
      </c>
      <c r="D526" t="s">
        <v>82</v>
      </c>
      <c r="E526" t="str">
        <f t="shared" si="32"/>
        <v>2017-Q12-2</v>
      </c>
      <c r="F526">
        <f t="shared" si="33"/>
        <v>1</v>
      </c>
      <c r="G526" t="s">
        <v>14</v>
      </c>
      <c r="H526">
        <f t="shared" si="34"/>
        <v>1</v>
      </c>
      <c r="I526" s="5">
        <f t="shared" si="35"/>
        <v>1</v>
      </c>
      <c r="J526" s="2" t="s">
        <v>1080</v>
      </c>
      <c r="K526" s="2" t="s">
        <v>1081</v>
      </c>
    </row>
    <row r="527" spans="1:11" ht="28.5" customHeight="1">
      <c r="A527">
        <v>2017</v>
      </c>
      <c r="B527">
        <v>12</v>
      </c>
      <c r="C527">
        <v>3</v>
      </c>
      <c r="D527" t="s">
        <v>82</v>
      </c>
      <c r="E527" t="str">
        <f t="shared" si="32"/>
        <v>2017-Q12-3</v>
      </c>
      <c r="F527">
        <f t="shared" si="33"/>
        <v>1</v>
      </c>
      <c r="G527" t="s">
        <v>44</v>
      </c>
      <c r="H527">
        <f t="shared" si="34"/>
        <v>1</v>
      </c>
      <c r="I527" s="5">
        <f t="shared" si="35"/>
        <v>1</v>
      </c>
      <c r="J527" s="2" t="s">
        <v>1082</v>
      </c>
      <c r="K527" s="2" t="s">
        <v>1083</v>
      </c>
    </row>
    <row r="528" spans="1:11" ht="28.5" customHeight="1">
      <c r="A528">
        <v>2017</v>
      </c>
      <c r="B528">
        <v>12</v>
      </c>
      <c r="C528">
        <v>4</v>
      </c>
      <c r="D528" t="s">
        <v>82</v>
      </c>
      <c r="E528" t="str">
        <f t="shared" si="32"/>
        <v>2017-Q12-4</v>
      </c>
      <c r="F528">
        <f t="shared" si="33"/>
        <v>1</v>
      </c>
      <c r="G528" t="s">
        <v>50</v>
      </c>
      <c r="H528">
        <f t="shared" si="34"/>
        <v>1</v>
      </c>
      <c r="I528" s="5">
        <f t="shared" si="35"/>
        <v>1</v>
      </c>
      <c r="J528" s="2" t="s">
        <v>701</v>
      </c>
      <c r="K528" s="2" t="s">
        <v>1084</v>
      </c>
    </row>
    <row r="529" spans="1:11" ht="28.5" customHeight="1">
      <c r="A529">
        <v>2017</v>
      </c>
      <c r="B529">
        <v>13</v>
      </c>
      <c r="C529">
        <v>0</v>
      </c>
      <c r="D529" t="s">
        <v>82</v>
      </c>
      <c r="E529" t="str">
        <f t="shared" si="32"/>
        <v>2017-Q13-0</v>
      </c>
      <c r="F529">
        <f t="shared" si="33"/>
        <v>1</v>
      </c>
      <c r="G529" t="s">
        <v>41</v>
      </c>
      <c r="H529">
        <f t="shared" si="34"/>
        <v>1</v>
      </c>
      <c r="I529" s="5">
        <f t="shared" si="35"/>
        <v>1</v>
      </c>
      <c r="J529" s="2" t="s">
        <v>1085</v>
      </c>
      <c r="K529" s="2" t="s">
        <v>1086</v>
      </c>
    </row>
    <row r="530" spans="1:11" ht="28.5" customHeight="1">
      <c r="A530">
        <v>2017</v>
      </c>
      <c r="B530">
        <v>13</v>
      </c>
      <c r="C530">
        <v>1</v>
      </c>
      <c r="D530" t="s">
        <v>82</v>
      </c>
      <c r="E530" t="str">
        <f t="shared" si="32"/>
        <v>2017-Q13-1</v>
      </c>
      <c r="F530">
        <f t="shared" si="33"/>
        <v>1</v>
      </c>
      <c r="G530" t="s">
        <v>41</v>
      </c>
      <c r="H530">
        <f t="shared" si="34"/>
        <v>1</v>
      </c>
      <c r="I530" s="5">
        <f t="shared" si="35"/>
        <v>1</v>
      </c>
      <c r="J530" s="2" t="s">
        <v>1087</v>
      </c>
      <c r="K530" s="2" t="s">
        <v>1088</v>
      </c>
    </row>
    <row r="531" spans="1:11" ht="28.5" customHeight="1">
      <c r="A531">
        <v>2017</v>
      </c>
      <c r="B531">
        <v>13</v>
      </c>
      <c r="C531">
        <v>2</v>
      </c>
      <c r="D531" t="s">
        <v>82</v>
      </c>
      <c r="E531" t="str">
        <f t="shared" si="32"/>
        <v>2017-Q13-2</v>
      </c>
      <c r="F531">
        <f t="shared" si="33"/>
        <v>1</v>
      </c>
      <c r="G531" t="s">
        <v>41</v>
      </c>
      <c r="H531">
        <f t="shared" si="34"/>
        <v>1</v>
      </c>
      <c r="I531" s="5">
        <f t="shared" si="35"/>
        <v>1</v>
      </c>
      <c r="J531" s="2" t="s">
        <v>1089</v>
      </c>
      <c r="K531" s="2" t="s">
        <v>1090</v>
      </c>
    </row>
    <row r="532" spans="1:11" ht="28.5" customHeight="1">
      <c r="A532">
        <v>2017</v>
      </c>
      <c r="B532">
        <v>13</v>
      </c>
      <c r="C532">
        <v>3</v>
      </c>
      <c r="D532" t="s">
        <v>82</v>
      </c>
      <c r="E532" t="str">
        <f t="shared" si="32"/>
        <v>2017-Q13-3</v>
      </c>
      <c r="F532">
        <f t="shared" si="33"/>
        <v>1</v>
      </c>
      <c r="G532" t="s">
        <v>41</v>
      </c>
      <c r="H532">
        <f t="shared" si="34"/>
        <v>1</v>
      </c>
      <c r="I532" s="5">
        <f t="shared" si="35"/>
        <v>1</v>
      </c>
      <c r="J532" s="2" t="s">
        <v>1091</v>
      </c>
      <c r="K532" s="2" t="s">
        <v>1092</v>
      </c>
    </row>
    <row r="533" spans="1:11" ht="28.5" customHeight="1">
      <c r="A533">
        <v>2017</v>
      </c>
      <c r="B533">
        <v>13</v>
      </c>
      <c r="C533">
        <v>4</v>
      </c>
      <c r="D533" t="s">
        <v>82</v>
      </c>
      <c r="E533" t="str">
        <f t="shared" si="32"/>
        <v>2017-Q13-4</v>
      </c>
      <c r="F533">
        <f t="shared" si="33"/>
        <v>1</v>
      </c>
      <c r="G533" t="s">
        <v>41</v>
      </c>
      <c r="H533">
        <f t="shared" si="34"/>
        <v>1</v>
      </c>
      <c r="I533" s="5">
        <f t="shared" si="35"/>
        <v>1</v>
      </c>
      <c r="J533" s="2" t="s">
        <v>1093</v>
      </c>
      <c r="K533" s="2" t="s">
        <v>1094</v>
      </c>
    </row>
    <row r="534" spans="1:11" ht="28.5" customHeight="1">
      <c r="A534">
        <v>2017</v>
      </c>
      <c r="B534">
        <v>14</v>
      </c>
      <c r="D534" t="s">
        <v>193</v>
      </c>
      <c r="E534" t="str">
        <f t="shared" si="32"/>
        <v>2017-Q14-ABERTA</v>
      </c>
      <c r="F534">
        <f t="shared" si="33"/>
        <v>5</v>
      </c>
      <c r="G534" t="s">
        <v>41</v>
      </c>
      <c r="H534">
        <f t="shared" si="34"/>
        <v>1</v>
      </c>
      <c r="I534" s="5">
        <f t="shared" si="35"/>
        <v>5</v>
      </c>
      <c r="J534" s="2" t="s">
        <v>1095</v>
      </c>
      <c r="K534" s="2" t="s">
        <v>1096</v>
      </c>
    </row>
    <row r="535" spans="1:11" ht="28.5" customHeight="1">
      <c r="A535">
        <v>2017</v>
      </c>
      <c r="B535">
        <v>15</v>
      </c>
      <c r="D535" t="s">
        <v>193</v>
      </c>
      <c r="E535" t="str">
        <f t="shared" si="32"/>
        <v>2017-Q15-ABERTA</v>
      </c>
      <c r="F535">
        <f t="shared" si="33"/>
        <v>5</v>
      </c>
      <c r="G535" t="s">
        <v>14</v>
      </c>
      <c r="H535">
        <f t="shared" si="34"/>
        <v>1</v>
      </c>
      <c r="I535" s="5">
        <f t="shared" si="35"/>
        <v>5</v>
      </c>
      <c r="J535" s="2" t="s">
        <v>1097</v>
      </c>
      <c r="K535" s="2" t="s">
        <v>1098</v>
      </c>
    </row>
    <row r="536" spans="1:11">
      <c r="A536">
        <v>2018</v>
      </c>
      <c r="B536">
        <v>1</v>
      </c>
      <c r="C536">
        <v>0</v>
      </c>
      <c r="D536" t="s">
        <v>82</v>
      </c>
      <c r="E536" t="str">
        <f t="shared" si="32"/>
        <v>2018-Q1-0</v>
      </c>
      <c r="F536">
        <f t="shared" si="33"/>
        <v>1</v>
      </c>
      <c r="G536" t="s">
        <v>11</v>
      </c>
      <c r="H536">
        <f t="shared" si="34"/>
        <v>1</v>
      </c>
      <c r="I536" s="5">
        <f t="shared" si="35"/>
        <v>1</v>
      </c>
      <c r="J536" s="2" t="s">
        <v>1099</v>
      </c>
      <c r="K536" s="2" t="s">
        <v>1100</v>
      </c>
    </row>
    <row r="537" spans="1:11">
      <c r="A537">
        <v>2018</v>
      </c>
      <c r="B537">
        <v>1</v>
      </c>
      <c r="C537">
        <v>1</v>
      </c>
      <c r="D537" t="s">
        <v>82</v>
      </c>
      <c r="E537" t="str">
        <f t="shared" si="32"/>
        <v>2018-Q1-1</v>
      </c>
      <c r="F537">
        <f t="shared" si="33"/>
        <v>1</v>
      </c>
      <c r="G537" t="s">
        <v>11</v>
      </c>
      <c r="H537">
        <f t="shared" si="34"/>
        <v>1</v>
      </c>
      <c r="I537" s="5">
        <f t="shared" si="35"/>
        <v>1</v>
      </c>
      <c r="J537" s="2" t="s">
        <v>1101</v>
      </c>
      <c r="K537" s="2" t="s">
        <v>1102</v>
      </c>
    </row>
    <row r="538" spans="1:11">
      <c r="A538">
        <v>2018</v>
      </c>
      <c r="B538">
        <v>1</v>
      </c>
      <c r="C538">
        <v>2</v>
      </c>
      <c r="D538" t="s">
        <v>82</v>
      </c>
      <c r="E538" t="str">
        <f t="shared" si="32"/>
        <v>2018-Q1-2</v>
      </c>
      <c r="F538">
        <f t="shared" si="33"/>
        <v>1</v>
      </c>
      <c r="G538" t="s">
        <v>11</v>
      </c>
      <c r="H538">
        <f t="shared" si="34"/>
        <v>1</v>
      </c>
      <c r="I538" s="5">
        <f t="shared" si="35"/>
        <v>1</v>
      </c>
      <c r="J538" s="2" t="s">
        <v>1103</v>
      </c>
      <c r="K538" s="2" t="s">
        <v>1104</v>
      </c>
    </row>
    <row r="539" spans="1:11" ht="28.5" customHeight="1">
      <c r="A539">
        <v>2018</v>
      </c>
      <c r="B539">
        <v>1</v>
      </c>
      <c r="C539">
        <v>3</v>
      </c>
      <c r="D539" t="s">
        <v>82</v>
      </c>
      <c r="E539" t="str">
        <f t="shared" si="32"/>
        <v>2018-Q1-3</v>
      </c>
      <c r="F539">
        <f t="shared" si="33"/>
        <v>1</v>
      </c>
      <c r="G539" t="s">
        <v>11</v>
      </c>
      <c r="H539">
        <f t="shared" si="34"/>
        <v>1</v>
      </c>
      <c r="I539" s="5">
        <f t="shared" si="35"/>
        <v>1</v>
      </c>
      <c r="J539" s="2" t="s">
        <v>1105</v>
      </c>
      <c r="K539" s="2" t="s">
        <v>1106</v>
      </c>
    </row>
    <row r="540" spans="1:11">
      <c r="A540">
        <v>2018</v>
      </c>
      <c r="B540">
        <v>1</v>
      </c>
      <c r="C540">
        <v>4</v>
      </c>
      <c r="D540" t="s">
        <v>82</v>
      </c>
      <c r="E540" t="str">
        <f t="shared" si="32"/>
        <v>2018-Q1-4</v>
      </c>
      <c r="F540">
        <f t="shared" si="33"/>
        <v>1</v>
      </c>
      <c r="G540" t="s">
        <v>11</v>
      </c>
      <c r="H540">
        <f t="shared" si="34"/>
        <v>1</v>
      </c>
      <c r="I540" s="5">
        <f t="shared" si="35"/>
        <v>1</v>
      </c>
      <c r="J540" s="2" t="s">
        <v>745</v>
      </c>
      <c r="K540" s="2" t="s">
        <v>1107</v>
      </c>
    </row>
    <row r="541" spans="1:11" ht="28.5" customHeight="1">
      <c r="A541">
        <v>2018</v>
      </c>
      <c r="B541">
        <v>2</v>
      </c>
      <c r="C541">
        <v>0</v>
      </c>
      <c r="D541" t="s">
        <v>82</v>
      </c>
      <c r="E541" t="str">
        <f t="shared" si="32"/>
        <v>2018-Q2-0</v>
      </c>
      <c r="F541">
        <f t="shared" si="33"/>
        <v>1</v>
      </c>
      <c r="G541" t="s">
        <v>17</v>
      </c>
      <c r="H541">
        <f t="shared" si="34"/>
        <v>1</v>
      </c>
      <c r="I541" s="5">
        <f t="shared" si="35"/>
        <v>1</v>
      </c>
      <c r="J541" s="2" t="s">
        <v>1108</v>
      </c>
      <c r="K541" s="2" t="s">
        <v>1109</v>
      </c>
    </row>
    <row r="542" spans="1:11">
      <c r="A542">
        <v>2018</v>
      </c>
      <c r="B542">
        <v>2</v>
      </c>
      <c r="C542">
        <v>1</v>
      </c>
      <c r="D542" t="s">
        <v>82</v>
      </c>
      <c r="E542" t="str">
        <f t="shared" si="32"/>
        <v>2018-Q2-1</v>
      </c>
      <c r="F542">
        <f t="shared" si="33"/>
        <v>1</v>
      </c>
      <c r="G542" t="s">
        <v>14</v>
      </c>
      <c r="H542">
        <f t="shared" si="34"/>
        <v>1</v>
      </c>
      <c r="I542" s="5">
        <f t="shared" si="35"/>
        <v>1</v>
      </c>
      <c r="J542" s="2" t="s">
        <v>1110</v>
      </c>
      <c r="K542" s="2" t="s">
        <v>1111</v>
      </c>
    </row>
    <row r="543" spans="1:11">
      <c r="A543">
        <v>2018</v>
      </c>
      <c r="B543">
        <v>2</v>
      </c>
      <c r="C543">
        <v>2</v>
      </c>
      <c r="D543" t="s">
        <v>82</v>
      </c>
      <c r="E543" t="str">
        <f t="shared" si="32"/>
        <v>2018-Q2-2</v>
      </c>
      <c r="F543">
        <f t="shared" si="33"/>
        <v>1</v>
      </c>
      <c r="G543" t="s">
        <v>54</v>
      </c>
      <c r="H543">
        <f t="shared" si="34"/>
        <v>1</v>
      </c>
      <c r="I543" s="5">
        <f t="shared" si="35"/>
        <v>1</v>
      </c>
      <c r="J543" s="2" t="s">
        <v>1112</v>
      </c>
      <c r="K543" s="2" t="s">
        <v>1113</v>
      </c>
    </row>
    <row r="544" spans="1:11" ht="28.5" customHeight="1">
      <c r="A544">
        <v>2018</v>
      </c>
      <c r="B544">
        <v>2</v>
      </c>
      <c r="C544">
        <v>3</v>
      </c>
      <c r="D544" t="s">
        <v>82</v>
      </c>
      <c r="E544" t="str">
        <f t="shared" si="32"/>
        <v>2018-Q2-3</v>
      </c>
      <c r="F544">
        <f t="shared" si="33"/>
        <v>1</v>
      </c>
      <c r="G544" t="s">
        <v>14</v>
      </c>
      <c r="H544">
        <f t="shared" si="34"/>
        <v>1</v>
      </c>
      <c r="I544" s="5">
        <f t="shared" si="35"/>
        <v>1</v>
      </c>
      <c r="J544" s="2" t="s">
        <v>1114</v>
      </c>
      <c r="K544" s="2" t="s">
        <v>1115</v>
      </c>
    </row>
    <row r="545" spans="1:11">
      <c r="A545">
        <v>2018</v>
      </c>
      <c r="B545">
        <v>2</v>
      </c>
      <c r="C545">
        <v>4</v>
      </c>
      <c r="D545" t="s">
        <v>82</v>
      </c>
      <c r="E545" t="str">
        <f t="shared" si="32"/>
        <v>2018-Q2-4</v>
      </c>
      <c r="F545">
        <f t="shared" si="33"/>
        <v>1</v>
      </c>
      <c r="G545" t="s">
        <v>20</v>
      </c>
      <c r="H545">
        <f t="shared" si="34"/>
        <v>1</v>
      </c>
      <c r="I545" s="5">
        <f t="shared" si="35"/>
        <v>1</v>
      </c>
      <c r="J545" s="2" t="s">
        <v>1116</v>
      </c>
      <c r="K545" s="2" t="s">
        <v>1117</v>
      </c>
    </row>
    <row r="546" spans="1:11" ht="28.5" customHeight="1">
      <c r="A546">
        <v>2018</v>
      </c>
      <c r="B546">
        <v>3</v>
      </c>
      <c r="C546">
        <v>0</v>
      </c>
      <c r="D546" t="s">
        <v>82</v>
      </c>
      <c r="E546" t="str">
        <f t="shared" si="32"/>
        <v>2018-Q3-0</v>
      </c>
      <c r="F546">
        <f t="shared" si="33"/>
        <v>1</v>
      </c>
      <c r="G546" t="s">
        <v>23</v>
      </c>
      <c r="H546">
        <f t="shared" si="34"/>
        <v>1</v>
      </c>
      <c r="I546" s="5">
        <f t="shared" si="35"/>
        <v>1</v>
      </c>
      <c r="J546" s="2" t="s">
        <v>1118</v>
      </c>
      <c r="K546" s="2" t="s">
        <v>1119</v>
      </c>
    </row>
    <row r="547" spans="1:11">
      <c r="A547">
        <v>2018</v>
      </c>
      <c r="B547">
        <v>3</v>
      </c>
      <c r="C547">
        <v>1</v>
      </c>
      <c r="D547" t="s">
        <v>82</v>
      </c>
      <c r="E547" t="str">
        <f t="shared" si="32"/>
        <v>2018-Q3-1</v>
      </c>
      <c r="F547">
        <f t="shared" si="33"/>
        <v>1</v>
      </c>
      <c r="G547" t="s">
        <v>23</v>
      </c>
      <c r="H547">
        <f t="shared" si="34"/>
        <v>1</v>
      </c>
      <c r="I547" s="5">
        <f t="shared" si="35"/>
        <v>1</v>
      </c>
      <c r="J547" s="2" t="s">
        <v>1120</v>
      </c>
      <c r="K547" s="2" t="s">
        <v>1121</v>
      </c>
    </row>
    <row r="548" spans="1:11" ht="28.5" customHeight="1">
      <c r="A548">
        <v>2018</v>
      </c>
      <c r="B548">
        <v>3</v>
      </c>
      <c r="C548">
        <v>2</v>
      </c>
      <c r="D548" t="s">
        <v>82</v>
      </c>
      <c r="E548" t="str">
        <f t="shared" si="32"/>
        <v>2018-Q3-2</v>
      </c>
      <c r="F548">
        <f t="shared" si="33"/>
        <v>1</v>
      </c>
      <c r="G548" t="s">
        <v>23</v>
      </c>
      <c r="H548">
        <f t="shared" si="34"/>
        <v>1</v>
      </c>
      <c r="I548" s="5">
        <f t="shared" si="35"/>
        <v>1</v>
      </c>
      <c r="J548" s="2" t="s">
        <v>1122</v>
      </c>
      <c r="K548" s="2" t="s">
        <v>1123</v>
      </c>
    </row>
    <row r="549" spans="1:11">
      <c r="A549">
        <v>2018</v>
      </c>
      <c r="B549">
        <v>3</v>
      </c>
      <c r="C549">
        <v>3</v>
      </c>
      <c r="D549" t="s">
        <v>82</v>
      </c>
      <c r="E549" t="str">
        <f t="shared" si="32"/>
        <v>2018-Q3-3</v>
      </c>
      <c r="F549">
        <f t="shared" si="33"/>
        <v>1</v>
      </c>
      <c r="G549" t="s">
        <v>23</v>
      </c>
      <c r="H549">
        <f t="shared" si="34"/>
        <v>1</v>
      </c>
      <c r="I549" s="5">
        <f t="shared" si="35"/>
        <v>1</v>
      </c>
      <c r="J549" s="2" t="s">
        <v>1124</v>
      </c>
      <c r="K549" s="2" t="s">
        <v>1125</v>
      </c>
    </row>
    <row r="550" spans="1:11" ht="28.5" customHeight="1">
      <c r="A550">
        <v>2018</v>
      </c>
      <c r="B550">
        <v>3</v>
      </c>
      <c r="C550">
        <v>4</v>
      </c>
      <c r="D550" t="s">
        <v>82</v>
      </c>
      <c r="E550" t="str">
        <f t="shared" si="32"/>
        <v>2018-Q3-4</v>
      </c>
      <c r="F550">
        <f t="shared" si="33"/>
        <v>1</v>
      </c>
      <c r="G550" t="s">
        <v>23</v>
      </c>
      <c r="H550">
        <f t="shared" si="34"/>
        <v>1</v>
      </c>
      <c r="I550" s="5">
        <f t="shared" si="35"/>
        <v>1</v>
      </c>
      <c r="J550" s="2" t="s">
        <v>1126</v>
      </c>
      <c r="K550" s="2" t="s">
        <v>1127</v>
      </c>
    </row>
    <row r="551" spans="1:11">
      <c r="A551">
        <v>2018</v>
      </c>
      <c r="B551">
        <v>4</v>
      </c>
      <c r="C551">
        <v>0</v>
      </c>
      <c r="D551" t="s">
        <v>82</v>
      </c>
      <c r="E551" t="str">
        <f t="shared" si="32"/>
        <v>2018-Q4-0</v>
      </c>
      <c r="F551">
        <f t="shared" si="33"/>
        <v>1</v>
      </c>
      <c r="G551" t="s">
        <v>29</v>
      </c>
      <c r="H551">
        <f t="shared" si="34"/>
        <v>1</v>
      </c>
      <c r="I551" s="5">
        <f t="shared" si="35"/>
        <v>1</v>
      </c>
      <c r="J551" s="2" t="s">
        <v>1128</v>
      </c>
      <c r="K551" s="2" t="s">
        <v>1129</v>
      </c>
    </row>
    <row r="552" spans="1:11">
      <c r="A552">
        <v>2018</v>
      </c>
      <c r="B552">
        <v>4</v>
      </c>
      <c r="C552">
        <v>1</v>
      </c>
      <c r="D552" t="s">
        <v>82</v>
      </c>
      <c r="E552" t="str">
        <f t="shared" si="32"/>
        <v>2018-Q4-1</v>
      </c>
      <c r="F552">
        <f t="shared" si="33"/>
        <v>1</v>
      </c>
      <c r="G552" t="s">
        <v>29</v>
      </c>
      <c r="H552">
        <f t="shared" si="34"/>
        <v>1</v>
      </c>
      <c r="I552" s="5">
        <f t="shared" si="35"/>
        <v>1</v>
      </c>
      <c r="J552" s="2" t="s">
        <v>1130</v>
      </c>
      <c r="K552" s="2" t="s">
        <v>1131</v>
      </c>
    </row>
    <row r="553" spans="1:11" ht="28.5" customHeight="1">
      <c r="A553">
        <v>2018</v>
      </c>
      <c r="B553">
        <v>4</v>
      </c>
      <c r="C553">
        <v>2</v>
      </c>
      <c r="D553" t="s">
        <v>82</v>
      </c>
      <c r="E553" t="str">
        <f t="shared" si="32"/>
        <v>2018-Q4-2</v>
      </c>
      <c r="F553">
        <f t="shared" si="33"/>
        <v>1</v>
      </c>
      <c r="G553" t="s">
        <v>29</v>
      </c>
      <c r="H553">
        <f t="shared" si="34"/>
        <v>1</v>
      </c>
      <c r="I553" s="5">
        <f t="shared" si="35"/>
        <v>1</v>
      </c>
      <c r="J553" s="2" t="s">
        <v>1132</v>
      </c>
      <c r="K553" s="2" t="s">
        <v>1133</v>
      </c>
    </row>
    <row r="554" spans="1:11" ht="28.5" customHeight="1">
      <c r="A554">
        <v>2018</v>
      </c>
      <c r="B554">
        <v>4</v>
      </c>
      <c r="C554">
        <v>3</v>
      </c>
      <c r="D554" t="s">
        <v>82</v>
      </c>
      <c r="E554" t="str">
        <f t="shared" si="32"/>
        <v>2018-Q4-3</v>
      </c>
      <c r="F554">
        <f t="shared" si="33"/>
        <v>1</v>
      </c>
      <c r="G554" t="s">
        <v>32</v>
      </c>
      <c r="H554">
        <f t="shared" si="34"/>
        <v>1</v>
      </c>
      <c r="I554" s="5">
        <f t="shared" si="35"/>
        <v>1</v>
      </c>
      <c r="J554" s="2" t="s">
        <v>1134</v>
      </c>
      <c r="K554" s="2" t="s">
        <v>1135</v>
      </c>
    </row>
    <row r="555" spans="1:11" ht="28.5" customHeight="1">
      <c r="A555">
        <v>2018</v>
      </c>
      <c r="B555">
        <v>4</v>
      </c>
      <c r="C555">
        <v>4</v>
      </c>
      <c r="D555" t="s">
        <v>82</v>
      </c>
      <c r="E555" t="str">
        <f t="shared" si="32"/>
        <v>2018-Q4-4</v>
      </c>
      <c r="F555">
        <f t="shared" si="33"/>
        <v>1</v>
      </c>
      <c r="G555" t="s">
        <v>29</v>
      </c>
      <c r="H555">
        <f t="shared" si="34"/>
        <v>1</v>
      </c>
      <c r="I555" s="5">
        <f t="shared" si="35"/>
        <v>1</v>
      </c>
      <c r="J555" s="2" t="s">
        <v>1136</v>
      </c>
      <c r="K555" s="2" t="s">
        <v>1137</v>
      </c>
    </row>
    <row r="556" spans="1:11">
      <c r="A556">
        <v>2018</v>
      </c>
      <c r="B556">
        <v>5</v>
      </c>
      <c r="C556">
        <v>0</v>
      </c>
      <c r="D556" t="s">
        <v>82</v>
      </c>
      <c r="E556" t="str">
        <f t="shared" si="32"/>
        <v>2018-Q5-0</v>
      </c>
      <c r="F556">
        <f t="shared" si="33"/>
        <v>1</v>
      </c>
      <c r="G556" t="s">
        <v>41</v>
      </c>
      <c r="H556">
        <f t="shared" si="34"/>
        <v>1</v>
      </c>
      <c r="I556" s="5">
        <f t="shared" si="35"/>
        <v>1</v>
      </c>
      <c r="J556" s="2" t="s">
        <v>1138</v>
      </c>
      <c r="K556" s="2" t="s">
        <v>1139</v>
      </c>
    </row>
    <row r="557" spans="1:11" ht="28.5" customHeight="1">
      <c r="A557">
        <v>2018</v>
      </c>
      <c r="B557">
        <v>5</v>
      </c>
      <c r="C557">
        <v>1</v>
      </c>
      <c r="D557" t="s">
        <v>82</v>
      </c>
      <c r="E557" t="str">
        <f t="shared" si="32"/>
        <v>2018-Q5-1</v>
      </c>
      <c r="F557">
        <f t="shared" si="33"/>
        <v>1</v>
      </c>
      <c r="G557" t="s">
        <v>41</v>
      </c>
      <c r="H557">
        <f t="shared" si="34"/>
        <v>1</v>
      </c>
      <c r="I557" s="5">
        <f t="shared" si="35"/>
        <v>1</v>
      </c>
      <c r="J557" s="2" t="s">
        <v>1140</v>
      </c>
      <c r="K557" s="2" t="s">
        <v>1141</v>
      </c>
    </row>
    <row r="558" spans="1:11">
      <c r="A558">
        <v>2018</v>
      </c>
      <c r="B558">
        <v>5</v>
      </c>
      <c r="C558">
        <v>2</v>
      </c>
      <c r="D558" t="s">
        <v>82</v>
      </c>
      <c r="E558" t="str">
        <f t="shared" si="32"/>
        <v>2018-Q5-2</v>
      </c>
      <c r="F558">
        <f t="shared" si="33"/>
        <v>1</v>
      </c>
      <c r="G558" t="s">
        <v>41</v>
      </c>
      <c r="H558">
        <f t="shared" si="34"/>
        <v>1</v>
      </c>
      <c r="I558" s="5">
        <f t="shared" si="35"/>
        <v>1</v>
      </c>
      <c r="J558" s="2" t="s">
        <v>1142</v>
      </c>
      <c r="K558" s="2" t="s">
        <v>1143</v>
      </c>
    </row>
    <row r="559" spans="1:11" ht="28.5" customHeight="1">
      <c r="A559">
        <v>2018</v>
      </c>
      <c r="B559">
        <v>5</v>
      </c>
      <c r="C559">
        <v>3</v>
      </c>
      <c r="D559" t="s">
        <v>82</v>
      </c>
      <c r="E559" t="str">
        <f t="shared" si="32"/>
        <v>2018-Q5-3</v>
      </c>
      <c r="F559">
        <f t="shared" si="33"/>
        <v>1</v>
      </c>
      <c r="G559" t="s">
        <v>41</v>
      </c>
      <c r="H559">
        <f t="shared" si="34"/>
        <v>1</v>
      </c>
      <c r="I559" s="5">
        <f t="shared" si="35"/>
        <v>1</v>
      </c>
      <c r="J559" s="2" t="s">
        <v>1144</v>
      </c>
      <c r="K559" s="2" t="s">
        <v>1145</v>
      </c>
    </row>
    <row r="560" spans="1:11" ht="28.5" customHeight="1">
      <c r="A560">
        <v>2018</v>
      </c>
      <c r="B560">
        <v>5</v>
      </c>
      <c r="C560">
        <v>4</v>
      </c>
      <c r="D560" t="s">
        <v>82</v>
      </c>
      <c r="E560" t="str">
        <f t="shared" si="32"/>
        <v>2018-Q5-4</v>
      </c>
      <c r="F560">
        <f t="shared" si="33"/>
        <v>1</v>
      </c>
      <c r="G560" t="s">
        <v>41</v>
      </c>
      <c r="H560">
        <f t="shared" si="34"/>
        <v>1</v>
      </c>
      <c r="I560" s="5">
        <f t="shared" si="35"/>
        <v>1</v>
      </c>
      <c r="J560" s="2" t="s">
        <v>1146</v>
      </c>
      <c r="K560" s="2" t="s">
        <v>1147</v>
      </c>
    </row>
    <row r="561" spans="1:11">
      <c r="A561">
        <v>2018</v>
      </c>
      <c r="B561">
        <v>6</v>
      </c>
      <c r="C561">
        <v>0</v>
      </c>
      <c r="D561" t="s">
        <v>82</v>
      </c>
      <c r="E561" t="str">
        <f t="shared" si="32"/>
        <v>2018-Q6-0</v>
      </c>
      <c r="F561">
        <f t="shared" si="33"/>
        <v>1</v>
      </c>
      <c r="G561" t="s">
        <v>26</v>
      </c>
      <c r="H561">
        <f t="shared" si="34"/>
        <v>1</v>
      </c>
      <c r="I561" s="5">
        <f t="shared" si="35"/>
        <v>1</v>
      </c>
      <c r="J561" s="2" t="s">
        <v>1148</v>
      </c>
      <c r="K561" s="2" t="s">
        <v>1149</v>
      </c>
    </row>
    <row r="562" spans="1:11">
      <c r="A562">
        <v>2018</v>
      </c>
      <c r="B562">
        <v>6</v>
      </c>
      <c r="C562">
        <v>1</v>
      </c>
      <c r="D562" t="s">
        <v>82</v>
      </c>
      <c r="E562" t="str">
        <f t="shared" si="32"/>
        <v>2018-Q6-1</v>
      </c>
      <c r="F562">
        <f t="shared" si="33"/>
        <v>1</v>
      </c>
      <c r="G562" t="s">
        <v>26</v>
      </c>
      <c r="H562">
        <f t="shared" si="34"/>
        <v>1</v>
      </c>
      <c r="I562" s="5">
        <f t="shared" si="35"/>
        <v>1</v>
      </c>
      <c r="J562" s="2" t="s">
        <v>1150</v>
      </c>
      <c r="K562" s="2" t="s">
        <v>1151</v>
      </c>
    </row>
    <row r="563" spans="1:11" ht="28.5" customHeight="1">
      <c r="A563">
        <v>2018</v>
      </c>
      <c r="B563">
        <v>6</v>
      </c>
      <c r="C563">
        <v>2</v>
      </c>
      <c r="D563" t="s">
        <v>82</v>
      </c>
      <c r="E563" t="str">
        <f t="shared" si="32"/>
        <v>2018-Q6-2</v>
      </c>
      <c r="F563">
        <f t="shared" si="33"/>
        <v>1</v>
      </c>
      <c r="G563" t="s">
        <v>26</v>
      </c>
      <c r="H563">
        <f t="shared" si="34"/>
        <v>1</v>
      </c>
      <c r="I563" s="5">
        <f t="shared" si="35"/>
        <v>1</v>
      </c>
      <c r="J563" s="2" t="s">
        <v>1152</v>
      </c>
      <c r="K563" s="2" t="s">
        <v>1153</v>
      </c>
    </row>
    <row r="564" spans="1:11">
      <c r="A564">
        <v>2018</v>
      </c>
      <c r="B564">
        <v>6</v>
      </c>
      <c r="C564">
        <v>3</v>
      </c>
      <c r="D564" t="s">
        <v>82</v>
      </c>
      <c r="E564" t="str">
        <f t="shared" si="32"/>
        <v>2018-Q6-3</v>
      </c>
      <c r="F564">
        <f t="shared" si="33"/>
        <v>1</v>
      </c>
      <c r="G564" t="s">
        <v>26</v>
      </c>
      <c r="H564">
        <f t="shared" si="34"/>
        <v>1</v>
      </c>
      <c r="I564" s="5">
        <f t="shared" si="35"/>
        <v>1</v>
      </c>
      <c r="J564" s="2" t="s">
        <v>1154</v>
      </c>
      <c r="K564" s="2" t="s">
        <v>1155</v>
      </c>
    </row>
    <row r="565" spans="1:11" ht="28.5" customHeight="1">
      <c r="A565">
        <v>2018</v>
      </c>
      <c r="B565">
        <v>6</v>
      </c>
      <c r="C565">
        <v>4</v>
      </c>
      <c r="D565" t="s">
        <v>82</v>
      </c>
      <c r="E565" t="str">
        <f t="shared" si="32"/>
        <v>2018-Q6-4</v>
      </c>
      <c r="F565">
        <f t="shared" si="33"/>
        <v>1</v>
      </c>
      <c r="G565" t="s">
        <v>26</v>
      </c>
      <c r="H565">
        <f t="shared" si="34"/>
        <v>1</v>
      </c>
      <c r="I565" s="5">
        <f t="shared" si="35"/>
        <v>1</v>
      </c>
      <c r="J565" s="2" t="s">
        <v>1156</v>
      </c>
      <c r="K565" s="2" t="s">
        <v>1157</v>
      </c>
    </row>
    <row r="566" spans="1:11" ht="28.5" customHeight="1">
      <c r="A566">
        <v>2018</v>
      </c>
      <c r="B566">
        <v>7</v>
      </c>
      <c r="C566">
        <v>0</v>
      </c>
      <c r="D566" t="s">
        <v>82</v>
      </c>
      <c r="E566" t="str">
        <f t="shared" si="32"/>
        <v>2018-Q7-0</v>
      </c>
      <c r="F566">
        <f t="shared" si="33"/>
        <v>1</v>
      </c>
      <c r="G566" t="s">
        <v>44</v>
      </c>
      <c r="H566">
        <f t="shared" si="34"/>
        <v>1</v>
      </c>
      <c r="I566" s="5">
        <f t="shared" si="35"/>
        <v>1</v>
      </c>
      <c r="J566" s="2" t="s">
        <v>1158</v>
      </c>
      <c r="K566" s="2" t="s">
        <v>1159</v>
      </c>
    </row>
    <row r="567" spans="1:11">
      <c r="A567">
        <v>2018</v>
      </c>
      <c r="B567">
        <v>7</v>
      </c>
      <c r="C567">
        <v>1</v>
      </c>
      <c r="D567" t="s">
        <v>82</v>
      </c>
      <c r="E567" t="str">
        <f t="shared" si="32"/>
        <v>2018-Q7-1</v>
      </c>
      <c r="F567">
        <f t="shared" si="33"/>
        <v>1</v>
      </c>
      <c r="G567" t="s">
        <v>44</v>
      </c>
      <c r="H567">
        <f t="shared" si="34"/>
        <v>1</v>
      </c>
      <c r="I567" s="5">
        <f t="shared" si="35"/>
        <v>1</v>
      </c>
      <c r="J567" s="2" t="s">
        <v>1160</v>
      </c>
      <c r="K567" s="2" t="s">
        <v>1161</v>
      </c>
    </row>
    <row r="568" spans="1:11" ht="28.5" customHeight="1">
      <c r="A568">
        <v>2018</v>
      </c>
      <c r="B568">
        <v>7</v>
      </c>
      <c r="C568">
        <v>2</v>
      </c>
      <c r="D568" t="s">
        <v>82</v>
      </c>
      <c r="E568" t="str">
        <f t="shared" si="32"/>
        <v>2018-Q7-2</v>
      </c>
      <c r="F568">
        <f t="shared" si="33"/>
        <v>1</v>
      </c>
      <c r="G568" t="s">
        <v>44</v>
      </c>
      <c r="H568">
        <f t="shared" si="34"/>
        <v>1</v>
      </c>
      <c r="I568" s="5">
        <f t="shared" si="35"/>
        <v>1</v>
      </c>
      <c r="J568" s="2" t="s">
        <v>1162</v>
      </c>
      <c r="K568" s="2" t="s">
        <v>1163</v>
      </c>
    </row>
    <row r="569" spans="1:11">
      <c r="A569">
        <v>2018</v>
      </c>
      <c r="B569">
        <v>7</v>
      </c>
      <c r="C569">
        <v>3</v>
      </c>
      <c r="D569" t="s">
        <v>82</v>
      </c>
      <c r="E569" t="str">
        <f t="shared" si="32"/>
        <v>2018-Q7-3</v>
      </c>
      <c r="F569">
        <f t="shared" si="33"/>
        <v>1</v>
      </c>
      <c r="G569" t="s">
        <v>47</v>
      </c>
      <c r="H569">
        <f t="shared" si="34"/>
        <v>1</v>
      </c>
      <c r="I569" s="5">
        <f t="shared" si="35"/>
        <v>1</v>
      </c>
      <c r="J569" s="2" t="s">
        <v>1164</v>
      </c>
      <c r="K569" s="2" t="s">
        <v>1165</v>
      </c>
    </row>
    <row r="570" spans="1:11" ht="28.5" customHeight="1">
      <c r="A570">
        <v>2018</v>
      </c>
      <c r="B570">
        <v>7</v>
      </c>
      <c r="C570">
        <v>4</v>
      </c>
      <c r="D570" t="s">
        <v>82</v>
      </c>
      <c r="E570" t="str">
        <f t="shared" si="32"/>
        <v>2018-Q7-4</v>
      </c>
      <c r="F570">
        <f t="shared" si="33"/>
        <v>1</v>
      </c>
      <c r="G570" t="s">
        <v>54</v>
      </c>
      <c r="H570">
        <f t="shared" si="34"/>
        <v>1</v>
      </c>
      <c r="I570" s="5">
        <f t="shared" si="35"/>
        <v>1</v>
      </c>
      <c r="J570" s="2" t="s">
        <v>1166</v>
      </c>
      <c r="K570" s="2" t="s">
        <v>1167</v>
      </c>
    </row>
    <row r="571" spans="1:11" ht="28.5" customHeight="1">
      <c r="A571">
        <v>2018</v>
      </c>
      <c r="B571">
        <v>8</v>
      </c>
      <c r="C571">
        <v>0</v>
      </c>
      <c r="D571" t="s">
        <v>82</v>
      </c>
      <c r="E571" t="str">
        <f t="shared" si="32"/>
        <v>2018-Q8-0</v>
      </c>
      <c r="F571">
        <f t="shared" si="33"/>
        <v>1</v>
      </c>
      <c r="G571" t="s">
        <v>35</v>
      </c>
      <c r="H571">
        <f t="shared" si="34"/>
        <v>1</v>
      </c>
      <c r="I571" s="5">
        <f t="shared" si="35"/>
        <v>1</v>
      </c>
      <c r="J571" s="2" t="s">
        <v>1168</v>
      </c>
      <c r="K571" s="2" t="s">
        <v>1169</v>
      </c>
    </row>
    <row r="572" spans="1:11" ht="28.5" customHeight="1">
      <c r="A572">
        <v>2018</v>
      </c>
      <c r="B572">
        <v>8</v>
      </c>
      <c r="C572">
        <v>1</v>
      </c>
      <c r="D572" t="s">
        <v>82</v>
      </c>
      <c r="E572" t="str">
        <f t="shared" si="32"/>
        <v>2018-Q8-1</v>
      </c>
      <c r="F572">
        <f t="shared" si="33"/>
        <v>1</v>
      </c>
      <c r="G572" t="s">
        <v>35</v>
      </c>
      <c r="H572">
        <f t="shared" si="34"/>
        <v>1</v>
      </c>
      <c r="I572" s="5">
        <f t="shared" si="35"/>
        <v>1</v>
      </c>
      <c r="J572" s="2" t="s">
        <v>1170</v>
      </c>
      <c r="K572" s="2" t="s">
        <v>1171</v>
      </c>
    </row>
    <row r="573" spans="1:11" ht="28.5" customHeight="1">
      <c r="A573">
        <v>2018</v>
      </c>
      <c r="B573">
        <v>8</v>
      </c>
      <c r="C573">
        <v>2</v>
      </c>
      <c r="D573" t="s">
        <v>82</v>
      </c>
      <c r="E573" t="str">
        <f t="shared" si="32"/>
        <v>2018-Q8-2</v>
      </c>
      <c r="F573">
        <f t="shared" si="33"/>
        <v>1</v>
      </c>
      <c r="G573" t="s">
        <v>38</v>
      </c>
      <c r="H573">
        <f t="shared" si="34"/>
        <v>1</v>
      </c>
      <c r="I573" s="5">
        <f t="shared" si="35"/>
        <v>1</v>
      </c>
      <c r="J573" s="2" t="s">
        <v>1172</v>
      </c>
      <c r="K573" s="2" t="s">
        <v>1173</v>
      </c>
    </row>
    <row r="574" spans="1:11">
      <c r="A574">
        <v>2018</v>
      </c>
      <c r="B574">
        <v>8</v>
      </c>
      <c r="C574">
        <v>3</v>
      </c>
      <c r="D574" t="s">
        <v>82</v>
      </c>
      <c r="E574" t="str">
        <f t="shared" si="32"/>
        <v>2018-Q8-3</v>
      </c>
      <c r="F574">
        <f t="shared" si="33"/>
        <v>1</v>
      </c>
      <c r="G574" t="s">
        <v>32</v>
      </c>
      <c r="H574">
        <f t="shared" si="34"/>
        <v>1</v>
      </c>
      <c r="I574" s="5">
        <f t="shared" si="35"/>
        <v>1</v>
      </c>
      <c r="J574" s="2" t="s">
        <v>1174</v>
      </c>
      <c r="K574" s="2" t="s">
        <v>1175</v>
      </c>
    </row>
    <row r="575" spans="1:11" ht="28.5" customHeight="1">
      <c r="A575">
        <v>2018</v>
      </c>
      <c r="B575">
        <v>8</v>
      </c>
      <c r="C575">
        <v>4</v>
      </c>
      <c r="D575" t="s">
        <v>82</v>
      </c>
      <c r="E575" t="str">
        <f t="shared" si="32"/>
        <v>2018-Q8-4</v>
      </c>
      <c r="F575">
        <f t="shared" si="33"/>
        <v>1</v>
      </c>
      <c r="G575" t="s">
        <v>35</v>
      </c>
      <c r="H575">
        <f t="shared" si="34"/>
        <v>1</v>
      </c>
      <c r="I575" s="5">
        <f t="shared" si="35"/>
        <v>1</v>
      </c>
      <c r="J575" s="2" t="s">
        <v>1176</v>
      </c>
      <c r="K575" s="2" t="s">
        <v>1177</v>
      </c>
    </row>
    <row r="576" spans="1:11" ht="28.5" customHeight="1">
      <c r="A576">
        <v>2018</v>
      </c>
      <c r="B576">
        <v>9</v>
      </c>
      <c r="C576">
        <v>0</v>
      </c>
      <c r="D576" t="s">
        <v>82</v>
      </c>
      <c r="E576" t="str">
        <f t="shared" si="32"/>
        <v>2018-Q9-0</v>
      </c>
      <c r="F576">
        <f t="shared" si="33"/>
        <v>1</v>
      </c>
      <c r="G576" t="s">
        <v>20</v>
      </c>
      <c r="H576">
        <f t="shared" si="34"/>
        <v>1</v>
      </c>
      <c r="I576" s="5">
        <f t="shared" si="35"/>
        <v>1</v>
      </c>
      <c r="J576" s="2" t="s">
        <v>1178</v>
      </c>
      <c r="K576" s="2" t="s">
        <v>1179</v>
      </c>
    </row>
    <row r="577" spans="1:11" ht="28.5" customHeight="1">
      <c r="A577">
        <v>2018</v>
      </c>
      <c r="B577">
        <v>9</v>
      </c>
      <c r="C577">
        <v>1</v>
      </c>
      <c r="D577" t="s">
        <v>82</v>
      </c>
      <c r="E577" t="str">
        <f t="shared" si="32"/>
        <v>2018-Q9-1</v>
      </c>
      <c r="F577">
        <f t="shared" si="33"/>
        <v>1</v>
      </c>
      <c r="G577" t="s">
        <v>20</v>
      </c>
      <c r="H577">
        <f t="shared" si="34"/>
        <v>1</v>
      </c>
      <c r="I577" s="5">
        <f t="shared" si="35"/>
        <v>1</v>
      </c>
      <c r="J577" s="2" t="s">
        <v>1180</v>
      </c>
      <c r="K577" s="2" t="s">
        <v>1181</v>
      </c>
    </row>
    <row r="578" spans="1:11" ht="28.5" customHeight="1">
      <c r="A578">
        <v>2018</v>
      </c>
      <c r="B578">
        <v>9</v>
      </c>
      <c r="C578">
        <v>2</v>
      </c>
      <c r="D578" t="s">
        <v>82</v>
      </c>
      <c r="E578" t="str">
        <f t="shared" si="32"/>
        <v>2018-Q9-2</v>
      </c>
      <c r="F578">
        <f t="shared" si="33"/>
        <v>1</v>
      </c>
      <c r="G578" t="s">
        <v>20</v>
      </c>
      <c r="H578">
        <f t="shared" si="34"/>
        <v>1</v>
      </c>
      <c r="I578" s="5">
        <f t="shared" si="35"/>
        <v>1</v>
      </c>
      <c r="J578" s="2" t="s">
        <v>1182</v>
      </c>
      <c r="K578" s="2" t="s">
        <v>1183</v>
      </c>
    </row>
    <row r="579" spans="1:11" ht="28.5" customHeight="1">
      <c r="A579">
        <v>2018</v>
      </c>
      <c r="B579">
        <v>9</v>
      </c>
      <c r="C579">
        <v>3</v>
      </c>
      <c r="D579" t="s">
        <v>82</v>
      </c>
      <c r="E579" t="str">
        <f t="shared" si="32"/>
        <v>2018-Q9-3</v>
      </c>
      <c r="F579">
        <f t="shared" si="33"/>
        <v>1</v>
      </c>
      <c r="G579" t="s">
        <v>20</v>
      </c>
      <c r="H579">
        <f t="shared" si="34"/>
        <v>1</v>
      </c>
      <c r="I579" s="5">
        <f t="shared" si="35"/>
        <v>1</v>
      </c>
      <c r="J579" s="2" t="s">
        <v>1184</v>
      </c>
      <c r="K579" s="2" t="s">
        <v>1185</v>
      </c>
    </row>
    <row r="580" spans="1:11" ht="28.5" customHeight="1">
      <c r="A580">
        <v>2018</v>
      </c>
      <c r="B580">
        <v>9</v>
      </c>
      <c r="C580">
        <v>4</v>
      </c>
      <c r="D580" t="s">
        <v>82</v>
      </c>
      <c r="E580" t="str">
        <f t="shared" si="32"/>
        <v>2018-Q9-4</v>
      </c>
      <c r="F580">
        <f t="shared" si="33"/>
        <v>1</v>
      </c>
      <c r="G580" t="s">
        <v>20</v>
      </c>
      <c r="H580">
        <f t="shared" si="34"/>
        <v>1</v>
      </c>
      <c r="I580" s="5">
        <f t="shared" si="35"/>
        <v>1</v>
      </c>
      <c r="J580" s="2" t="s">
        <v>1186</v>
      </c>
      <c r="K580" s="2" t="s">
        <v>1187</v>
      </c>
    </row>
    <row r="581" spans="1:11" ht="28.5" customHeight="1">
      <c r="A581">
        <v>2018</v>
      </c>
      <c r="B581">
        <v>10</v>
      </c>
      <c r="C581">
        <v>0</v>
      </c>
      <c r="D581" t="s">
        <v>82</v>
      </c>
      <c r="E581" t="str">
        <f t="shared" ref="E581:E644" si="36">IF(A581="","",TEXT(A581,"0")&amp;"-Q"&amp;TEXT(B581,"0")&amp;"-"&amp;IF(C581="","ABERTA",C581))</f>
        <v>2018-Q10-0</v>
      </c>
      <c r="F581">
        <f t="shared" ref="F581:F644" si="37">IF(D581="V/F",1,IF(D581="Aberta/numérica",5,""))</f>
        <v>1</v>
      </c>
      <c r="G581" t="s">
        <v>41</v>
      </c>
      <c r="H581">
        <f t="shared" ref="H581:H644" si="38">IF(A581="","",IF(C581="",COUNTIFS($A$5:$A$1504,A581,$B$5:$B$1504,B581,$C$5:$C$1504,"",$D$5:$D$1504,D581),COUNTIFS($A$5:$A$1504,A581,$B$5:$B$1504,B581,$C$5:$C$1504,C581,$D$5:$D$1504,D581)))</f>
        <v>1</v>
      </c>
      <c r="I581" s="5">
        <f t="shared" ref="I581:I644" si="39">IF(OR(F581="",H581="",G581=""),"",F581/H581)</f>
        <v>1</v>
      </c>
      <c r="J581" s="2" t="s">
        <v>1188</v>
      </c>
      <c r="K581" s="2" t="s">
        <v>1189</v>
      </c>
    </row>
    <row r="582" spans="1:11" ht="28.5" customHeight="1">
      <c r="A582">
        <v>2018</v>
      </c>
      <c r="B582">
        <v>10</v>
      </c>
      <c r="C582">
        <v>1</v>
      </c>
      <c r="D582" t="s">
        <v>82</v>
      </c>
      <c r="E582" t="str">
        <f t="shared" si="36"/>
        <v>2018-Q10-1</v>
      </c>
      <c r="F582">
        <f t="shared" si="37"/>
        <v>1</v>
      </c>
      <c r="G582" t="s">
        <v>41</v>
      </c>
      <c r="H582">
        <f t="shared" si="38"/>
        <v>1</v>
      </c>
      <c r="I582" s="5">
        <f t="shared" si="39"/>
        <v>1</v>
      </c>
      <c r="J582" s="2" t="s">
        <v>1190</v>
      </c>
      <c r="K582" s="2" t="s">
        <v>1191</v>
      </c>
    </row>
    <row r="583" spans="1:11" ht="28.5" customHeight="1">
      <c r="A583">
        <v>2018</v>
      </c>
      <c r="B583">
        <v>10</v>
      </c>
      <c r="C583">
        <v>2</v>
      </c>
      <c r="D583" t="s">
        <v>82</v>
      </c>
      <c r="E583" t="str">
        <f t="shared" si="36"/>
        <v>2018-Q10-2</v>
      </c>
      <c r="F583">
        <f t="shared" si="37"/>
        <v>1</v>
      </c>
      <c r="G583" t="s">
        <v>41</v>
      </c>
      <c r="H583">
        <f t="shared" si="38"/>
        <v>1</v>
      </c>
      <c r="I583" s="5">
        <f t="shared" si="39"/>
        <v>1</v>
      </c>
      <c r="J583" s="2" t="s">
        <v>1192</v>
      </c>
      <c r="K583" s="2" t="s">
        <v>1193</v>
      </c>
    </row>
    <row r="584" spans="1:11" ht="28.5" customHeight="1">
      <c r="A584">
        <v>2018</v>
      </c>
      <c r="B584">
        <v>10</v>
      </c>
      <c r="C584">
        <v>3</v>
      </c>
      <c r="D584" t="s">
        <v>82</v>
      </c>
      <c r="E584" t="str">
        <f t="shared" si="36"/>
        <v>2018-Q10-3</v>
      </c>
      <c r="F584">
        <f t="shared" si="37"/>
        <v>1</v>
      </c>
      <c r="G584" t="s">
        <v>41</v>
      </c>
      <c r="H584">
        <f t="shared" si="38"/>
        <v>1</v>
      </c>
      <c r="I584" s="5">
        <f t="shared" si="39"/>
        <v>1</v>
      </c>
      <c r="J584" s="2" t="s">
        <v>1194</v>
      </c>
      <c r="K584" s="2" t="s">
        <v>1195</v>
      </c>
    </row>
    <row r="585" spans="1:11" ht="28.5" customHeight="1">
      <c r="A585">
        <v>2018</v>
      </c>
      <c r="B585">
        <v>10</v>
      </c>
      <c r="C585">
        <v>4</v>
      </c>
      <c r="D585" t="s">
        <v>82</v>
      </c>
      <c r="E585" t="str">
        <f t="shared" si="36"/>
        <v>2018-Q10-4</v>
      </c>
      <c r="F585">
        <f t="shared" si="37"/>
        <v>1</v>
      </c>
      <c r="G585" t="s">
        <v>41</v>
      </c>
      <c r="H585">
        <f t="shared" si="38"/>
        <v>1</v>
      </c>
      <c r="I585" s="5">
        <f t="shared" si="39"/>
        <v>1</v>
      </c>
      <c r="J585" s="2" t="s">
        <v>1196</v>
      </c>
      <c r="K585" s="2" t="s">
        <v>1197</v>
      </c>
    </row>
    <row r="586" spans="1:11" ht="28.5" customHeight="1">
      <c r="A586">
        <v>2018</v>
      </c>
      <c r="B586">
        <v>11</v>
      </c>
      <c r="C586">
        <v>0</v>
      </c>
      <c r="D586" t="s">
        <v>82</v>
      </c>
      <c r="E586" t="str">
        <f t="shared" si="36"/>
        <v>2018-Q11-0</v>
      </c>
      <c r="F586">
        <f t="shared" si="37"/>
        <v>1</v>
      </c>
      <c r="G586" t="s">
        <v>35</v>
      </c>
      <c r="H586">
        <f t="shared" si="38"/>
        <v>1</v>
      </c>
      <c r="I586" s="5">
        <f t="shared" si="39"/>
        <v>1</v>
      </c>
      <c r="J586" s="2" t="s">
        <v>1198</v>
      </c>
      <c r="K586" s="2" t="s">
        <v>1199</v>
      </c>
    </row>
    <row r="587" spans="1:11" ht="28.5" customHeight="1">
      <c r="A587">
        <v>2018</v>
      </c>
      <c r="B587">
        <v>11</v>
      </c>
      <c r="C587">
        <v>1</v>
      </c>
      <c r="D587" t="s">
        <v>82</v>
      </c>
      <c r="E587" t="str">
        <f t="shared" si="36"/>
        <v>2018-Q11-1</v>
      </c>
      <c r="F587">
        <f t="shared" si="37"/>
        <v>1</v>
      </c>
      <c r="G587" t="s">
        <v>35</v>
      </c>
      <c r="H587">
        <f t="shared" si="38"/>
        <v>1</v>
      </c>
      <c r="I587" s="5">
        <f t="shared" si="39"/>
        <v>1</v>
      </c>
      <c r="J587" s="2" t="s">
        <v>1200</v>
      </c>
      <c r="K587" s="2" t="s">
        <v>1201</v>
      </c>
    </row>
    <row r="588" spans="1:11" ht="28.5" customHeight="1">
      <c r="A588">
        <v>2018</v>
      </c>
      <c r="B588">
        <v>11</v>
      </c>
      <c r="C588">
        <v>2</v>
      </c>
      <c r="D588" t="s">
        <v>82</v>
      </c>
      <c r="E588" t="str">
        <f t="shared" si="36"/>
        <v>2018-Q11-2</v>
      </c>
      <c r="F588">
        <f t="shared" si="37"/>
        <v>1</v>
      </c>
      <c r="G588" t="s">
        <v>35</v>
      </c>
      <c r="H588">
        <f t="shared" si="38"/>
        <v>1</v>
      </c>
      <c r="I588" s="5">
        <f t="shared" si="39"/>
        <v>1</v>
      </c>
      <c r="J588" s="2" t="s">
        <v>1202</v>
      </c>
      <c r="K588" s="2" t="s">
        <v>1203</v>
      </c>
    </row>
    <row r="589" spans="1:11" ht="28.5" customHeight="1">
      <c r="A589">
        <v>2018</v>
      </c>
      <c r="B589">
        <v>11</v>
      </c>
      <c r="C589">
        <v>3</v>
      </c>
      <c r="D589" t="s">
        <v>82</v>
      </c>
      <c r="E589" t="str">
        <f t="shared" si="36"/>
        <v>2018-Q11-3</v>
      </c>
      <c r="F589">
        <f t="shared" si="37"/>
        <v>1</v>
      </c>
      <c r="G589" t="s">
        <v>35</v>
      </c>
      <c r="H589">
        <f t="shared" si="38"/>
        <v>1</v>
      </c>
      <c r="I589" s="5">
        <f t="shared" si="39"/>
        <v>1</v>
      </c>
      <c r="J589" s="2" t="s">
        <v>1204</v>
      </c>
      <c r="K589" s="2" t="s">
        <v>1205</v>
      </c>
    </row>
    <row r="590" spans="1:11" ht="28.5" customHeight="1">
      <c r="A590">
        <v>2018</v>
      </c>
      <c r="B590">
        <v>11</v>
      </c>
      <c r="C590">
        <v>4</v>
      </c>
      <c r="D590" t="s">
        <v>82</v>
      </c>
      <c r="E590" t="str">
        <f t="shared" si="36"/>
        <v>2018-Q11-4</v>
      </c>
      <c r="F590">
        <f t="shared" si="37"/>
        <v>1</v>
      </c>
      <c r="G590" t="s">
        <v>35</v>
      </c>
      <c r="H590">
        <f t="shared" si="38"/>
        <v>1</v>
      </c>
      <c r="I590" s="5">
        <f t="shared" si="39"/>
        <v>1</v>
      </c>
      <c r="J590" s="2" t="s">
        <v>1206</v>
      </c>
      <c r="K590" s="2" t="s">
        <v>1207</v>
      </c>
    </row>
    <row r="591" spans="1:11" ht="28.5" customHeight="1">
      <c r="A591">
        <v>2018</v>
      </c>
      <c r="B591">
        <v>12</v>
      </c>
      <c r="C591">
        <v>0</v>
      </c>
      <c r="D591" t="s">
        <v>82</v>
      </c>
      <c r="E591" t="str">
        <f t="shared" si="36"/>
        <v>2018-Q12-0</v>
      </c>
      <c r="F591">
        <f t="shared" si="37"/>
        <v>1</v>
      </c>
      <c r="G591" t="s">
        <v>17</v>
      </c>
      <c r="H591">
        <f t="shared" si="38"/>
        <v>1</v>
      </c>
      <c r="I591" s="5">
        <f t="shared" si="39"/>
        <v>1</v>
      </c>
      <c r="J591" s="2" t="s">
        <v>1208</v>
      </c>
      <c r="K591" s="2" t="s">
        <v>1209</v>
      </c>
    </row>
    <row r="592" spans="1:11" ht="28.5" customHeight="1">
      <c r="A592">
        <v>2018</v>
      </c>
      <c r="B592">
        <v>12</v>
      </c>
      <c r="C592">
        <v>1</v>
      </c>
      <c r="D592" t="s">
        <v>82</v>
      </c>
      <c r="E592" t="str">
        <f t="shared" si="36"/>
        <v>2018-Q12-1</v>
      </c>
      <c r="F592">
        <f t="shared" si="37"/>
        <v>1</v>
      </c>
      <c r="G592" t="s">
        <v>35</v>
      </c>
      <c r="H592">
        <f t="shared" si="38"/>
        <v>1</v>
      </c>
      <c r="I592" s="5">
        <f t="shared" si="39"/>
        <v>1</v>
      </c>
      <c r="J592" s="2" t="s">
        <v>1210</v>
      </c>
      <c r="K592" s="2" t="s">
        <v>1211</v>
      </c>
    </row>
    <row r="593" spans="1:11" ht="28.5" customHeight="1">
      <c r="A593">
        <v>2018</v>
      </c>
      <c r="B593">
        <v>12</v>
      </c>
      <c r="C593">
        <v>2</v>
      </c>
      <c r="D593" t="s">
        <v>82</v>
      </c>
      <c r="E593" t="str">
        <f t="shared" si="36"/>
        <v>2018-Q12-2</v>
      </c>
      <c r="F593">
        <f t="shared" si="37"/>
        <v>1</v>
      </c>
      <c r="G593" t="s">
        <v>35</v>
      </c>
      <c r="H593">
        <f t="shared" si="38"/>
        <v>1</v>
      </c>
      <c r="I593" s="5">
        <f t="shared" si="39"/>
        <v>1</v>
      </c>
      <c r="J593" s="2" t="s">
        <v>1212</v>
      </c>
      <c r="K593" s="2" t="s">
        <v>1213</v>
      </c>
    </row>
    <row r="594" spans="1:11" ht="28.5" customHeight="1">
      <c r="A594">
        <v>2018</v>
      </c>
      <c r="B594">
        <v>12</v>
      </c>
      <c r="C594">
        <v>3</v>
      </c>
      <c r="D594" t="s">
        <v>82</v>
      </c>
      <c r="E594" t="str">
        <f t="shared" si="36"/>
        <v>2018-Q12-3</v>
      </c>
      <c r="F594">
        <f t="shared" si="37"/>
        <v>1</v>
      </c>
      <c r="G594" t="s">
        <v>35</v>
      </c>
      <c r="H594">
        <f t="shared" si="38"/>
        <v>1</v>
      </c>
      <c r="I594" s="5">
        <f t="shared" si="39"/>
        <v>1</v>
      </c>
      <c r="J594" s="2" t="s">
        <v>1214</v>
      </c>
      <c r="K594" s="2" t="s">
        <v>1215</v>
      </c>
    </row>
    <row r="595" spans="1:11" ht="28.5" customHeight="1">
      <c r="A595">
        <v>2018</v>
      </c>
      <c r="B595">
        <v>12</v>
      </c>
      <c r="C595">
        <v>4</v>
      </c>
      <c r="D595" t="s">
        <v>82</v>
      </c>
      <c r="E595" t="str">
        <f t="shared" si="36"/>
        <v>2018-Q12-4</v>
      </c>
      <c r="F595">
        <f t="shared" si="37"/>
        <v>1</v>
      </c>
      <c r="G595" t="s">
        <v>26</v>
      </c>
      <c r="H595">
        <f t="shared" si="38"/>
        <v>1</v>
      </c>
      <c r="I595" s="5">
        <f t="shared" si="39"/>
        <v>1</v>
      </c>
      <c r="J595" s="2" t="s">
        <v>1216</v>
      </c>
      <c r="K595" s="2" t="s">
        <v>1217</v>
      </c>
    </row>
    <row r="596" spans="1:11" ht="28.5" customHeight="1">
      <c r="A596">
        <v>2018</v>
      </c>
      <c r="B596">
        <v>13</v>
      </c>
      <c r="D596" t="s">
        <v>193</v>
      </c>
      <c r="E596" t="str">
        <f t="shared" si="36"/>
        <v>2018-Q13-ABERTA</v>
      </c>
      <c r="F596">
        <f t="shared" si="37"/>
        <v>5</v>
      </c>
      <c r="G596" t="s">
        <v>26</v>
      </c>
      <c r="H596">
        <f t="shared" si="38"/>
        <v>1</v>
      </c>
      <c r="I596" s="5">
        <f t="shared" si="39"/>
        <v>5</v>
      </c>
      <c r="J596" s="2" t="s">
        <v>1218</v>
      </c>
      <c r="K596" s="2" t="s">
        <v>1219</v>
      </c>
    </row>
    <row r="597" spans="1:11" ht="42.75" customHeight="1">
      <c r="A597">
        <v>2018</v>
      </c>
      <c r="B597">
        <v>14</v>
      </c>
      <c r="D597" t="s">
        <v>193</v>
      </c>
      <c r="E597" t="str">
        <f t="shared" si="36"/>
        <v>2018-Q14-ABERTA</v>
      </c>
      <c r="F597">
        <f t="shared" si="37"/>
        <v>5</v>
      </c>
      <c r="G597" t="s">
        <v>23</v>
      </c>
      <c r="H597">
        <f t="shared" si="38"/>
        <v>1</v>
      </c>
      <c r="I597" s="5">
        <f t="shared" si="39"/>
        <v>5</v>
      </c>
      <c r="J597" s="2" t="s">
        <v>1220</v>
      </c>
      <c r="K597" s="2" t="s">
        <v>1221</v>
      </c>
    </row>
    <row r="598" spans="1:11" ht="28.5" customHeight="1">
      <c r="A598">
        <v>2018</v>
      </c>
      <c r="B598">
        <v>15</v>
      </c>
      <c r="D598" t="s">
        <v>193</v>
      </c>
      <c r="E598" t="str">
        <f t="shared" si="36"/>
        <v>2018-Q15-ABERTA</v>
      </c>
      <c r="F598">
        <f t="shared" si="37"/>
        <v>5</v>
      </c>
      <c r="G598" t="s">
        <v>50</v>
      </c>
      <c r="H598">
        <f t="shared" si="38"/>
        <v>1</v>
      </c>
      <c r="I598" s="5">
        <f t="shared" si="39"/>
        <v>5</v>
      </c>
      <c r="J598" s="2" t="s">
        <v>1222</v>
      </c>
      <c r="K598" s="2" t="s">
        <v>1223</v>
      </c>
    </row>
    <row r="599" spans="1:11">
      <c r="A599">
        <v>2019</v>
      </c>
      <c r="B599">
        <v>1</v>
      </c>
      <c r="C599">
        <v>0</v>
      </c>
      <c r="D599" t="s">
        <v>82</v>
      </c>
      <c r="E599" t="str">
        <f t="shared" si="36"/>
        <v>2019-Q1-0</v>
      </c>
      <c r="F599">
        <f t="shared" si="37"/>
        <v>1</v>
      </c>
      <c r="G599" t="s">
        <v>8</v>
      </c>
      <c r="H599">
        <f t="shared" si="38"/>
        <v>1</v>
      </c>
      <c r="I599" s="5">
        <f t="shared" si="39"/>
        <v>1</v>
      </c>
      <c r="J599" s="2" t="s">
        <v>1224</v>
      </c>
      <c r="K599" s="2" t="s">
        <v>1225</v>
      </c>
    </row>
    <row r="600" spans="1:11" ht="28.5" customHeight="1">
      <c r="A600">
        <v>2019</v>
      </c>
      <c r="B600">
        <v>1</v>
      </c>
      <c r="C600">
        <v>1</v>
      </c>
      <c r="D600" t="s">
        <v>82</v>
      </c>
      <c r="E600" t="str">
        <f t="shared" si="36"/>
        <v>2019-Q1-1</v>
      </c>
      <c r="F600">
        <f t="shared" si="37"/>
        <v>1</v>
      </c>
      <c r="G600" t="s">
        <v>8</v>
      </c>
      <c r="H600">
        <f t="shared" si="38"/>
        <v>1</v>
      </c>
      <c r="I600" s="5">
        <f t="shared" si="39"/>
        <v>1</v>
      </c>
      <c r="J600" s="2" t="s">
        <v>1226</v>
      </c>
      <c r="K600" s="2" t="s">
        <v>1227</v>
      </c>
    </row>
    <row r="601" spans="1:11">
      <c r="A601">
        <v>2019</v>
      </c>
      <c r="B601">
        <v>1</v>
      </c>
      <c r="C601">
        <v>2</v>
      </c>
      <c r="D601" t="s">
        <v>82</v>
      </c>
      <c r="E601" t="str">
        <f t="shared" si="36"/>
        <v>2019-Q1-2</v>
      </c>
      <c r="F601">
        <f t="shared" si="37"/>
        <v>1</v>
      </c>
      <c r="G601" t="s">
        <v>8</v>
      </c>
      <c r="H601">
        <f t="shared" si="38"/>
        <v>1</v>
      </c>
      <c r="I601" s="5">
        <f t="shared" si="39"/>
        <v>1</v>
      </c>
      <c r="J601" s="2" t="s">
        <v>1228</v>
      </c>
      <c r="K601" s="2" t="s">
        <v>1229</v>
      </c>
    </row>
    <row r="602" spans="1:11">
      <c r="A602">
        <v>2019</v>
      </c>
      <c r="B602">
        <v>1</v>
      </c>
      <c r="C602">
        <v>3</v>
      </c>
      <c r="D602" t="s">
        <v>82</v>
      </c>
      <c r="E602" t="str">
        <f t="shared" si="36"/>
        <v>2019-Q1-3</v>
      </c>
      <c r="F602">
        <f t="shared" si="37"/>
        <v>1</v>
      </c>
      <c r="G602" t="s">
        <v>8</v>
      </c>
      <c r="H602">
        <f t="shared" si="38"/>
        <v>1</v>
      </c>
      <c r="I602" s="5">
        <f t="shared" si="39"/>
        <v>1</v>
      </c>
      <c r="J602" s="2" t="s">
        <v>1230</v>
      </c>
      <c r="K602" s="2" t="s">
        <v>1231</v>
      </c>
    </row>
    <row r="603" spans="1:11" ht="28.5" customHeight="1">
      <c r="A603">
        <v>2019</v>
      </c>
      <c r="B603">
        <v>1</v>
      </c>
      <c r="C603">
        <v>4</v>
      </c>
      <c r="D603" t="s">
        <v>82</v>
      </c>
      <c r="E603" t="str">
        <f t="shared" si="36"/>
        <v>2019-Q1-4</v>
      </c>
      <c r="F603">
        <f t="shared" si="37"/>
        <v>1</v>
      </c>
      <c r="G603" t="s">
        <v>11</v>
      </c>
      <c r="H603">
        <f t="shared" si="38"/>
        <v>1</v>
      </c>
      <c r="I603" s="5">
        <f t="shared" si="39"/>
        <v>1</v>
      </c>
      <c r="J603" s="2" t="s">
        <v>1232</v>
      </c>
      <c r="K603" s="2" t="s">
        <v>1233</v>
      </c>
    </row>
    <row r="604" spans="1:11" ht="28.5" customHeight="1">
      <c r="A604">
        <v>2019</v>
      </c>
      <c r="B604">
        <v>2</v>
      </c>
      <c r="C604">
        <v>0</v>
      </c>
      <c r="D604" t="s">
        <v>82</v>
      </c>
      <c r="E604" t="str">
        <f t="shared" si="36"/>
        <v>2019-Q2-0</v>
      </c>
      <c r="F604">
        <f t="shared" si="37"/>
        <v>1</v>
      </c>
      <c r="G604" t="s">
        <v>44</v>
      </c>
      <c r="H604">
        <f t="shared" si="38"/>
        <v>1</v>
      </c>
      <c r="I604" s="5">
        <f t="shared" si="39"/>
        <v>1</v>
      </c>
      <c r="J604" s="2" t="s">
        <v>1234</v>
      </c>
      <c r="K604" s="2" t="s">
        <v>1235</v>
      </c>
    </row>
    <row r="605" spans="1:11" ht="28.5" customHeight="1">
      <c r="A605">
        <v>2019</v>
      </c>
      <c r="B605">
        <v>2</v>
      </c>
      <c r="C605">
        <v>1</v>
      </c>
      <c r="D605" t="s">
        <v>82</v>
      </c>
      <c r="E605" t="str">
        <f t="shared" si="36"/>
        <v>2019-Q2-1</v>
      </c>
      <c r="F605">
        <f t="shared" si="37"/>
        <v>1</v>
      </c>
      <c r="G605" t="s">
        <v>44</v>
      </c>
      <c r="H605">
        <f t="shared" si="38"/>
        <v>1</v>
      </c>
      <c r="I605" s="5">
        <f t="shared" si="39"/>
        <v>1</v>
      </c>
      <c r="J605" s="2" t="s">
        <v>1236</v>
      </c>
      <c r="K605" s="2" t="s">
        <v>1237</v>
      </c>
    </row>
    <row r="606" spans="1:11">
      <c r="A606">
        <v>2019</v>
      </c>
      <c r="B606">
        <v>2</v>
      </c>
      <c r="C606">
        <v>2</v>
      </c>
      <c r="D606" t="s">
        <v>82</v>
      </c>
      <c r="E606" t="str">
        <f t="shared" si="36"/>
        <v>2019-Q2-2</v>
      </c>
      <c r="F606">
        <f t="shared" si="37"/>
        <v>1</v>
      </c>
      <c r="G606" t="s">
        <v>50</v>
      </c>
      <c r="H606">
        <f t="shared" si="38"/>
        <v>1</v>
      </c>
      <c r="I606" s="5">
        <f t="shared" si="39"/>
        <v>1</v>
      </c>
      <c r="J606" s="2" t="s">
        <v>1238</v>
      </c>
      <c r="K606" s="2" t="s">
        <v>1239</v>
      </c>
    </row>
    <row r="607" spans="1:11">
      <c r="A607">
        <v>2019</v>
      </c>
      <c r="B607">
        <v>2</v>
      </c>
      <c r="C607">
        <v>3</v>
      </c>
      <c r="D607" t="s">
        <v>82</v>
      </c>
      <c r="E607" t="str">
        <f t="shared" si="36"/>
        <v>2019-Q2-3</v>
      </c>
      <c r="F607">
        <f t="shared" si="37"/>
        <v>1</v>
      </c>
      <c r="G607" t="s">
        <v>50</v>
      </c>
      <c r="H607">
        <f t="shared" si="38"/>
        <v>1</v>
      </c>
      <c r="I607" s="5">
        <f t="shared" si="39"/>
        <v>1</v>
      </c>
      <c r="J607" s="2" t="s">
        <v>1240</v>
      </c>
      <c r="K607" s="2" t="s">
        <v>1241</v>
      </c>
    </row>
    <row r="608" spans="1:11" ht="28.5" customHeight="1">
      <c r="A608">
        <v>2019</v>
      </c>
      <c r="B608">
        <v>2</v>
      </c>
      <c r="C608">
        <v>4</v>
      </c>
      <c r="D608" t="s">
        <v>82</v>
      </c>
      <c r="E608" t="str">
        <f t="shared" si="36"/>
        <v>2019-Q2-4</v>
      </c>
      <c r="F608">
        <f t="shared" si="37"/>
        <v>1</v>
      </c>
      <c r="G608" t="s">
        <v>50</v>
      </c>
      <c r="H608">
        <f t="shared" si="38"/>
        <v>1</v>
      </c>
      <c r="I608" s="5">
        <f t="shared" si="39"/>
        <v>1</v>
      </c>
      <c r="J608" s="2" t="s">
        <v>1242</v>
      </c>
      <c r="K608" s="2" t="s">
        <v>1243</v>
      </c>
    </row>
    <row r="609" spans="1:11" ht="28.5" customHeight="1">
      <c r="A609">
        <v>2019</v>
      </c>
      <c r="B609">
        <v>3</v>
      </c>
      <c r="C609">
        <v>0</v>
      </c>
      <c r="D609" t="s">
        <v>82</v>
      </c>
      <c r="E609" t="str">
        <f t="shared" si="36"/>
        <v>2019-Q3-0</v>
      </c>
      <c r="F609">
        <f t="shared" si="37"/>
        <v>1</v>
      </c>
      <c r="G609" t="s">
        <v>23</v>
      </c>
      <c r="H609">
        <f t="shared" si="38"/>
        <v>1</v>
      </c>
      <c r="I609" s="5">
        <f t="shared" si="39"/>
        <v>1</v>
      </c>
      <c r="J609" s="2" t="s">
        <v>1244</v>
      </c>
      <c r="K609" s="2" t="s">
        <v>1245</v>
      </c>
    </row>
    <row r="610" spans="1:11">
      <c r="A610">
        <v>2019</v>
      </c>
      <c r="B610">
        <v>3</v>
      </c>
      <c r="C610">
        <v>1</v>
      </c>
      <c r="D610" t="s">
        <v>82</v>
      </c>
      <c r="E610" t="str">
        <f t="shared" si="36"/>
        <v>2019-Q3-1</v>
      </c>
      <c r="F610">
        <f t="shared" si="37"/>
        <v>1</v>
      </c>
      <c r="G610" t="s">
        <v>23</v>
      </c>
      <c r="H610">
        <f t="shared" si="38"/>
        <v>1</v>
      </c>
      <c r="I610" s="5">
        <f t="shared" si="39"/>
        <v>1</v>
      </c>
      <c r="J610" s="2" t="s">
        <v>1246</v>
      </c>
      <c r="K610" s="2" t="s">
        <v>1247</v>
      </c>
    </row>
    <row r="611" spans="1:11">
      <c r="A611">
        <v>2019</v>
      </c>
      <c r="B611">
        <v>3</v>
      </c>
      <c r="C611">
        <v>2</v>
      </c>
      <c r="D611" t="s">
        <v>82</v>
      </c>
      <c r="E611" t="str">
        <f t="shared" si="36"/>
        <v>2019-Q3-2</v>
      </c>
      <c r="F611">
        <f t="shared" si="37"/>
        <v>1</v>
      </c>
      <c r="G611" t="s">
        <v>23</v>
      </c>
      <c r="H611">
        <f t="shared" si="38"/>
        <v>1</v>
      </c>
      <c r="I611" s="5">
        <f t="shared" si="39"/>
        <v>1</v>
      </c>
      <c r="J611" s="2" t="s">
        <v>1248</v>
      </c>
      <c r="K611" s="2" t="s">
        <v>1249</v>
      </c>
    </row>
    <row r="612" spans="1:11" ht="28.5" customHeight="1">
      <c r="A612">
        <v>2019</v>
      </c>
      <c r="B612">
        <v>3</v>
      </c>
      <c r="C612">
        <v>3</v>
      </c>
      <c r="D612" t="s">
        <v>82</v>
      </c>
      <c r="E612" t="str">
        <f t="shared" si="36"/>
        <v>2019-Q3-3</v>
      </c>
      <c r="F612">
        <f t="shared" si="37"/>
        <v>1</v>
      </c>
      <c r="G612" t="s">
        <v>23</v>
      </c>
      <c r="H612">
        <f t="shared" si="38"/>
        <v>1</v>
      </c>
      <c r="I612" s="5">
        <f t="shared" si="39"/>
        <v>1</v>
      </c>
      <c r="J612" s="2" t="s">
        <v>1250</v>
      </c>
      <c r="K612" s="2" t="s">
        <v>1251</v>
      </c>
    </row>
    <row r="613" spans="1:11">
      <c r="A613">
        <v>2019</v>
      </c>
      <c r="B613">
        <v>3</v>
      </c>
      <c r="C613">
        <v>4</v>
      </c>
      <c r="D613" t="s">
        <v>82</v>
      </c>
      <c r="E613" t="str">
        <f t="shared" si="36"/>
        <v>2019-Q3-4</v>
      </c>
      <c r="F613">
        <f t="shared" si="37"/>
        <v>1</v>
      </c>
      <c r="G613" t="s">
        <v>23</v>
      </c>
      <c r="H613">
        <f t="shared" si="38"/>
        <v>1</v>
      </c>
      <c r="I613" s="5">
        <f t="shared" si="39"/>
        <v>1</v>
      </c>
      <c r="J613" s="2" t="s">
        <v>1252</v>
      </c>
      <c r="K613" s="2" t="s">
        <v>1253</v>
      </c>
    </row>
    <row r="614" spans="1:11">
      <c r="A614">
        <v>2019</v>
      </c>
      <c r="B614">
        <v>4</v>
      </c>
      <c r="C614">
        <v>0</v>
      </c>
      <c r="D614" t="s">
        <v>82</v>
      </c>
      <c r="E614" t="str">
        <f t="shared" si="36"/>
        <v>2019-Q4-0</v>
      </c>
      <c r="F614">
        <f t="shared" si="37"/>
        <v>1</v>
      </c>
      <c r="G614" t="s">
        <v>20</v>
      </c>
      <c r="H614">
        <f t="shared" si="38"/>
        <v>1</v>
      </c>
      <c r="I614" s="5">
        <f t="shared" si="39"/>
        <v>1</v>
      </c>
      <c r="J614" s="2" t="s">
        <v>1254</v>
      </c>
      <c r="K614" s="2" t="s">
        <v>1255</v>
      </c>
    </row>
    <row r="615" spans="1:11">
      <c r="A615">
        <v>2019</v>
      </c>
      <c r="B615">
        <v>4</v>
      </c>
      <c r="C615">
        <v>1</v>
      </c>
      <c r="D615" t="s">
        <v>82</v>
      </c>
      <c r="E615" t="str">
        <f t="shared" si="36"/>
        <v>2019-Q4-1</v>
      </c>
      <c r="F615">
        <f t="shared" si="37"/>
        <v>1</v>
      </c>
      <c r="G615" t="s">
        <v>35</v>
      </c>
      <c r="H615">
        <f t="shared" si="38"/>
        <v>1</v>
      </c>
      <c r="I615" s="5">
        <f t="shared" si="39"/>
        <v>1</v>
      </c>
      <c r="J615" s="2" t="s">
        <v>1256</v>
      </c>
      <c r="K615" s="2" t="s">
        <v>1257</v>
      </c>
    </row>
    <row r="616" spans="1:11">
      <c r="A616">
        <v>2019</v>
      </c>
      <c r="B616">
        <v>4</v>
      </c>
      <c r="C616">
        <v>2</v>
      </c>
      <c r="D616" t="s">
        <v>82</v>
      </c>
      <c r="E616" t="str">
        <f t="shared" si="36"/>
        <v>2019-Q4-2</v>
      </c>
      <c r="F616">
        <f t="shared" si="37"/>
        <v>1</v>
      </c>
      <c r="G616" t="s">
        <v>35</v>
      </c>
      <c r="H616">
        <f t="shared" si="38"/>
        <v>1</v>
      </c>
      <c r="I616" s="5">
        <f t="shared" si="39"/>
        <v>1</v>
      </c>
      <c r="J616" s="2" t="s">
        <v>1258</v>
      </c>
      <c r="K616" s="2" t="s">
        <v>1259</v>
      </c>
    </row>
    <row r="617" spans="1:11" ht="28.5" customHeight="1">
      <c r="A617">
        <v>2019</v>
      </c>
      <c r="B617">
        <v>4</v>
      </c>
      <c r="C617">
        <v>3</v>
      </c>
      <c r="D617" t="s">
        <v>82</v>
      </c>
      <c r="E617" t="str">
        <f t="shared" si="36"/>
        <v>2019-Q4-3</v>
      </c>
      <c r="F617">
        <f t="shared" si="37"/>
        <v>1</v>
      </c>
      <c r="G617" t="s">
        <v>32</v>
      </c>
      <c r="H617">
        <f t="shared" si="38"/>
        <v>1</v>
      </c>
      <c r="I617" s="5">
        <f t="shared" si="39"/>
        <v>1</v>
      </c>
      <c r="J617" s="2" t="s">
        <v>1260</v>
      </c>
      <c r="K617" s="2" t="s">
        <v>1261</v>
      </c>
    </row>
    <row r="618" spans="1:11">
      <c r="A618">
        <v>2019</v>
      </c>
      <c r="B618">
        <v>4</v>
      </c>
      <c r="C618">
        <v>4</v>
      </c>
      <c r="D618" t="s">
        <v>82</v>
      </c>
      <c r="E618" t="str">
        <f t="shared" si="36"/>
        <v>2019-Q4-4</v>
      </c>
      <c r="F618">
        <f t="shared" si="37"/>
        <v>1</v>
      </c>
      <c r="G618" t="s">
        <v>32</v>
      </c>
      <c r="H618">
        <f t="shared" si="38"/>
        <v>1</v>
      </c>
      <c r="I618" s="5">
        <f t="shared" si="39"/>
        <v>1</v>
      </c>
      <c r="J618" s="2" t="s">
        <v>1262</v>
      </c>
      <c r="K618" s="2" t="s">
        <v>1263</v>
      </c>
    </row>
    <row r="619" spans="1:11">
      <c r="A619">
        <v>2019</v>
      </c>
      <c r="B619">
        <v>5</v>
      </c>
      <c r="C619">
        <v>0</v>
      </c>
      <c r="D619" t="s">
        <v>82</v>
      </c>
      <c r="E619" t="str">
        <f t="shared" si="36"/>
        <v>2019-Q5-0</v>
      </c>
      <c r="F619">
        <f t="shared" si="37"/>
        <v>1</v>
      </c>
      <c r="G619" t="s">
        <v>41</v>
      </c>
      <c r="H619">
        <f t="shared" si="38"/>
        <v>1</v>
      </c>
      <c r="I619" s="5">
        <f t="shared" si="39"/>
        <v>1</v>
      </c>
      <c r="J619" s="2" t="s">
        <v>1264</v>
      </c>
      <c r="K619" s="2" t="s">
        <v>1265</v>
      </c>
    </row>
    <row r="620" spans="1:11">
      <c r="A620">
        <v>2019</v>
      </c>
      <c r="B620">
        <v>5</v>
      </c>
      <c r="C620">
        <v>1</v>
      </c>
      <c r="D620" t="s">
        <v>82</v>
      </c>
      <c r="E620" t="str">
        <f t="shared" si="36"/>
        <v>2019-Q5-1</v>
      </c>
      <c r="F620">
        <f t="shared" si="37"/>
        <v>1</v>
      </c>
      <c r="G620" t="s">
        <v>41</v>
      </c>
      <c r="H620">
        <f t="shared" si="38"/>
        <v>1</v>
      </c>
      <c r="I620" s="5">
        <f t="shared" si="39"/>
        <v>1</v>
      </c>
      <c r="J620" s="2" t="s">
        <v>1266</v>
      </c>
      <c r="K620" s="2" t="s">
        <v>1267</v>
      </c>
    </row>
    <row r="621" spans="1:11">
      <c r="A621">
        <v>2019</v>
      </c>
      <c r="B621">
        <v>5</v>
      </c>
      <c r="C621">
        <v>2</v>
      </c>
      <c r="D621" t="s">
        <v>82</v>
      </c>
      <c r="E621" t="str">
        <f t="shared" si="36"/>
        <v>2019-Q5-2</v>
      </c>
      <c r="F621">
        <f t="shared" si="37"/>
        <v>1</v>
      </c>
      <c r="G621" t="s">
        <v>41</v>
      </c>
      <c r="H621">
        <f t="shared" si="38"/>
        <v>1</v>
      </c>
      <c r="I621" s="5">
        <f t="shared" si="39"/>
        <v>1</v>
      </c>
      <c r="J621" s="2" t="s">
        <v>1268</v>
      </c>
      <c r="K621" s="2" t="s">
        <v>1269</v>
      </c>
    </row>
    <row r="622" spans="1:11" ht="28.5" customHeight="1">
      <c r="A622">
        <v>2019</v>
      </c>
      <c r="B622">
        <v>5</v>
      </c>
      <c r="C622">
        <v>3</v>
      </c>
      <c r="D622" t="s">
        <v>82</v>
      </c>
      <c r="E622" t="str">
        <f t="shared" si="36"/>
        <v>2019-Q5-3</v>
      </c>
      <c r="F622">
        <f t="shared" si="37"/>
        <v>1</v>
      </c>
      <c r="G622" t="s">
        <v>41</v>
      </c>
      <c r="H622">
        <f t="shared" si="38"/>
        <v>1</v>
      </c>
      <c r="I622" s="5">
        <f t="shared" si="39"/>
        <v>1</v>
      </c>
      <c r="J622" s="2" t="s">
        <v>1270</v>
      </c>
      <c r="K622" s="2" t="s">
        <v>1271</v>
      </c>
    </row>
    <row r="623" spans="1:11">
      <c r="A623">
        <v>2019</v>
      </c>
      <c r="B623">
        <v>5</v>
      </c>
      <c r="C623">
        <v>4</v>
      </c>
      <c r="D623" t="s">
        <v>82</v>
      </c>
      <c r="E623" t="str">
        <f t="shared" si="36"/>
        <v>2019-Q5-4</v>
      </c>
      <c r="F623">
        <f t="shared" si="37"/>
        <v>1</v>
      </c>
      <c r="G623" t="s">
        <v>41</v>
      </c>
      <c r="H623">
        <f t="shared" si="38"/>
        <v>1</v>
      </c>
      <c r="I623" s="5">
        <f t="shared" si="39"/>
        <v>1</v>
      </c>
      <c r="J623" s="2" t="s">
        <v>1272</v>
      </c>
      <c r="K623" s="2" t="s">
        <v>1273</v>
      </c>
    </row>
    <row r="624" spans="1:11" ht="28.5" customHeight="1">
      <c r="A624">
        <v>2019</v>
      </c>
      <c r="B624">
        <v>6</v>
      </c>
      <c r="C624">
        <v>0</v>
      </c>
      <c r="D624" t="s">
        <v>82</v>
      </c>
      <c r="E624" t="str">
        <f t="shared" si="36"/>
        <v>2019-Q6-0</v>
      </c>
      <c r="F624">
        <f t="shared" si="37"/>
        <v>1</v>
      </c>
      <c r="G624" t="s">
        <v>29</v>
      </c>
      <c r="H624">
        <f t="shared" si="38"/>
        <v>1</v>
      </c>
      <c r="I624" s="5">
        <f t="shared" si="39"/>
        <v>1</v>
      </c>
      <c r="J624" s="2" t="s">
        <v>1274</v>
      </c>
      <c r="K624" s="2" t="s">
        <v>1275</v>
      </c>
    </row>
    <row r="625" spans="1:11" ht="28.5" customHeight="1">
      <c r="A625">
        <v>2019</v>
      </c>
      <c r="B625">
        <v>6</v>
      </c>
      <c r="C625">
        <v>1</v>
      </c>
      <c r="D625" t="s">
        <v>82</v>
      </c>
      <c r="E625" t="str">
        <f t="shared" si="36"/>
        <v>2019-Q6-1</v>
      </c>
      <c r="F625">
        <f t="shared" si="37"/>
        <v>1</v>
      </c>
      <c r="G625" t="s">
        <v>26</v>
      </c>
      <c r="H625">
        <f t="shared" si="38"/>
        <v>1</v>
      </c>
      <c r="I625" s="5">
        <f t="shared" si="39"/>
        <v>1</v>
      </c>
      <c r="J625" s="2" t="s">
        <v>1276</v>
      </c>
      <c r="K625" s="2" t="s">
        <v>1277</v>
      </c>
    </row>
    <row r="626" spans="1:11">
      <c r="A626">
        <v>2019</v>
      </c>
      <c r="B626">
        <v>6</v>
      </c>
      <c r="C626">
        <v>2</v>
      </c>
      <c r="D626" t="s">
        <v>82</v>
      </c>
      <c r="E626" t="str">
        <f t="shared" si="36"/>
        <v>2019-Q6-2</v>
      </c>
      <c r="F626">
        <f t="shared" si="37"/>
        <v>1</v>
      </c>
      <c r="G626" t="s">
        <v>26</v>
      </c>
      <c r="H626">
        <f t="shared" si="38"/>
        <v>1</v>
      </c>
      <c r="I626" s="5">
        <f t="shared" si="39"/>
        <v>1</v>
      </c>
      <c r="J626" s="2" t="s">
        <v>1278</v>
      </c>
      <c r="K626" s="2" t="s">
        <v>1279</v>
      </c>
    </row>
    <row r="627" spans="1:11" ht="28.5" customHeight="1">
      <c r="A627">
        <v>2019</v>
      </c>
      <c r="B627">
        <v>6</v>
      </c>
      <c r="C627">
        <v>3</v>
      </c>
      <c r="D627" t="s">
        <v>82</v>
      </c>
      <c r="E627" t="str">
        <f t="shared" si="36"/>
        <v>2019-Q6-3</v>
      </c>
      <c r="F627">
        <f t="shared" si="37"/>
        <v>1</v>
      </c>
      <c r="G627" t="s">
        <v>26</v>
      </c>
      <c r="H627">
        <f t="shared" si="38"/>
        <v>1</v>
      </c>
      <c r="I627" s="5">
        <f t="shared" si="39"/>
        <v>1</v>
      </c>
      <c r="J627" s="2" t="s">
        <v>1280</v>
      </c>
      <c r="K627" s="2" t="s">
        <v>1281</v>
      </c>
    </row>
    <row r="628" spans="1:11" ht="28.5" customHeight="1">
      <c r="A628">
        <v>2019</v>
      </c>
      <c r="B628">
        <v>6</v>
      </c>
      <c r="C628">
        <v>4</v>
      </c>
      <c r="D628" t="s">
        <v>82</v>
      </c>
      <c r="E628" t="str">
        <f t="shared" si="36"/>
        <v>2019-Q6-4</v>
      </c>
      <c r="F628">
        <f t="shared" si="37"/>
        <v>1</v>
      </c>
      <c r="G628" t="s">
        <v>26</v>
      </c>
      <c r="H628">
        <f t="shared" si="38"/>
        <v>1</v>
      </c>
      <c r="I628" s="5">
        <f t="shared" si="39"/>
        <v>1</v>
      </c>
      <c r="J628" s="2" t="s">
        <v>1282</v>
      </c>
      <c r="K628" s="2" t="s">
        <v>1283</v>
      </c>
    </row>
    <row r="629" spans="1:11">
      <c r="A629">
        <v>2019</v>
      </c>
      <c r="B629">
        <v>7</v>
      </c>
      <c r="C629">
        <v>0</v>
      </c>
      <c r="D629" t="s">
        <v>82</v>
      </c>
      <c r="E629" t="str">
        <f t="shared" si="36"/>
        <v>2019-Q7-0</v>
      </c>
      <c r="F629">
        <f t="shared" si="37"/>
        <v>1</v>
      </c>
      <c r="G629" t="s">
        <v>47</v>
      </c>
      <c r="H629">
        <f t="shared" si="38"/>
        <v>1</v>
      </c>
      <c r="I629" s="5">
        <f t="shared" si="39"/>
        <v>1</v>
      </c>
      <c r="J629" s="2" t="s">
        <v>1284</v>
      </c>
      <c r="K629" s="2" t="s">
        <v>1285</v>
      </c>
    </row>
    <row r="630" spans="1:11">
      <c r="A630">
        <v>2019</v>
      </c>
      <c r="B630">
        <v>7</v>
      </c>
      <c r="C630">
        <v>1</v>
      </c>
      <c r="D630" t="s">
        <v>82</v>
      </c>
      <c r="E630" t="str">
        <f t="shared" si="36"/>
        <v>2019-Q7-1</v>
      </c>
      <c r="F630">
        <f t="shared" si="37"/>
        <v>1</v>
      </c>
      <c r="G630" t="s">
        <v>29</v>
      </c>
      <c r="H630">
        <f t="shared" si="38"/>
        <v>1</v>
      </c>
      <c r="I630" s="5">
        <f t="shared" si="39"/>
        <v>1</v>
      </c>
      <c r="J630" s="2" t="s">
        <v>1286</v>
      </c>
      <c r="K630" s="2" t="s">
        <v>1287</v>
      </c>
    </row>
    <row r="631" spans="1:11">
      <c r="A631">
        <v>2019</v>
      </c>
      <c r="B631">
        <v>7</v>
      </c>
      <c r="C631">
        <v>2</v>
      </c>
      <c r="D631" t="s">
        <v>82</v>
      </c>
      <c r="E631" t="str">
        <f t="shared" si="36"/>
        <v>2019-Q7-2</v>
      </c>
      <c r="F631">
        <f t="shared" si="37"/>
        <v>1</v>
      </c>
      <c r="G631" t="s">
        <v>20</v>
      </c>
      <c r="H631">
        <f t="shared" si="38"/>
        <v>2</v>
      </c>
      <c r="I631" s="5">
        <f t="shared" si="39"/>
        <v>0.5</v>
      </c>
      <c r="J631" s="2" t="s">
        <v>1288</v>
      </c>
      <c r="K631" s="2" t="s">
        <v>1289</v>
      </c>
    </row>
    <row r="632" spans="1:11">
      <c r="A632">
        <v>2019</v>
      </c>
      <c r="B632">
        <v>7</v>
      </c>
      <c r="C632">
        <v>2</v>
      </c>
      <c r="D632" t="s">
        <v>82</v>
      </c>
      <c r="E632" t="str">
        <f t="shared" si="36"/>
        <v>2019-Q7-2</v>
      </c>
      <c r="F632">
        <f t="shared" si="37"/>
        <v>1</v>
      </c>
      <c r="G632" t="s">
        <v>35</v>
      </c>
      <c r="H632">
        <f t="shared" si="38"/>
        <v>2</v>
      </c>
      <c r="I632" s="5">
        <f t="shared" si="39"/>
        <v>0.5</v>
      </c>
      <c r="J632" s="2" t="s">
        <v>1288</v>
      </c>
      <c r="K632" s="2" t="s">
        <v>1289</v>
      </c>
    </row>
    <row r="633" spans="1:11">
      <c r="A633">
        <v>2019</v>
      </c>
      <c r="B633">
        <v>7</v>
      </c>
      <c r="C633">
        <v>3</v>
      </c>
      <c r="D633" t="s">
        <v>82</v>
      </c>
      <c r="E633" t="str">
        <f t="shared" si="36"/>
        <v>2019-Q7-3</v>
      </c>
      <c r="F633">
        <f t="shared" si="37"/>
        <v>1</v>
      </c>
      <c r="G633" t="s">
        <v>35</v>
      </c>
      <c r="H633">
        <f t="shared" si="38"/>
        <v>1</v>
      </c>
      <c r="I633" s="5">
        <f t="shared" si="39"/>
        <v>1</v>
      </c>
      <c r="J633" s="2" t="s">
        <v>412</v>
      </c>
      <c r="K633" s="2" t="s">
        <v>1290</v>
      </c>
    </row>
    <row r="634" spans="1:11">
      <c r="A634">
        <v>2019</v>
      </c>
      <c r="B634">
        <v>7</v>
      </c>
      <c r="C634">
        <v>4</v>
      </c>
      <c r="D634" t="s">
        <v>82</v>
      </c>
      <c r="E634" t="str">
        <f t="shared" si="36"/>
        <v>2019-Q7-4</v>
      </c>
      <c r="F634">
        <f t="shared" si="37"/>
        <v>1</v>
      </c>
      <c r="G634" t="s">
        <v>44</v>
      </c>
      <c r="H634">
        <f t="shared" si="38"/>
        <v>1</v>
      </c>
      <c r="I634" s="5">
        <f t="shared" si="39"/>
        <v>1</v>
      </c>
      <c r="J634" s="2" t="s">
        <v>1291</v>
      </c>
      <c r="K634" s="2" t="s">
        <v>1292</v>
      </c>
    </row>
    <row r="635" spans="1:11" ht="28.5" customHeight="1">
      <c r="A635">
        <v>2019</v>
      </c>
      <c r="B635">
        <v>8</v>
      </c>
      <c r="C635">
        <v>0</v>
      </c>
      <c r="D635" t="s">
        <v>82</v>
      </c>
      <c r="E635" t="str">
        <f t="shared" si="36"/>
        <v>2019-Q8-0</v>
      </c>
      <c r="F635">
        <f t="shared" si="37"/>
        <v>1</v>
      </c>
      <c r="G635" t="s">
        <v>23</v>
      </c>
      <c r="H635">
        <f t="shared" si="38"/>
        <v>1</v>
      </c>
      <c r="I635" s="5">
        <f t="shared" si="39"/>
        <v>1</v>
      </c>
      <c r="J635" s="2" t="s">
        <v>1293</v>
      </c>
      <c r="K635" s="2" t="s">
        <v>1294</v>
      </c>
    </row>
    <row r="636" spans="1:11">
      <c r="A636">
        <v>2019</v>
      </c>
      <c r="B636">
        <v>8</v>
      </c>
      <c r="C636">
        <v>1</v>
      </c>
      <c r="D636" t="s">
        <v>82</v>
      </c>
      <c r="E636" t="str">
        <f t="shared" si="36"/>
        <v>2019-Q8-1</v>
      </c>
      <c r="F636">
        <f t="shared" si="37"/>
        <v>1</v>
      </c>
      <c r="G636" t="s">
        <v>23</v>
      </c>
      <c r="H636">
        <f t="shared" si="38"/>
        <v>1</v>
      </c>
      <c r="I636" s="5">
        <f t="shared" si="39"/>
        <v>1</v>
      </c>
      <c r="J636" s="2" t="s">
        <v>1295</v>
      </c>
      <c r="K636" s="2" t="s">
        <v>1296</v>
      </c>
    </row>
    <row r="637" spans="1:11">
      <c r="A637">
        <v>2019</v>
      </c>
      <c r="B637">
        <v>8</v>
      </c>
      <c r="C637">
        <v>2</v>
      </c>
      <c r="D637" t="s">
        <v>82</v>
      </c>
      <c r="E637" t="str">
        <f t="shared" si="36"/>
        <v>2019-Q8-2</v>
      </c>
      <c r="F637">
        <f t="shared" si="37"/>
        <v>1</v>
      </c>
      <c r="G637" t="s">
        <v>23</v>
      </c>
      <c r="H637">
        <f t="shared" si="38"/>
        <v>1</v>
      </c>
      <c r="I637" s="5">
        <f t="shared" si="39"/>
        <v>1</v>
      </c>
      <c r="J637" s="2" t="s">
        <v>1297</v>
      </c>
      <c r="K637" s="2" t="s">
        <v>1298</v>
      </c>
    </row>
    <row r="638" spans="1:11">
      <c r="A638">
        <v>2019</v>
      </c>
      <c r="B638">
        <v>8</v>
      </c>
      <c r="C638">
        <v>3</v>
      </c>
      <c r="D638" t="s">
        <v>82</v>
      </c>
      <c r="E638" t="str">
        <f t="shared" si="36"/>
        <v>2019-Q8-3</v>
      </c>
      <c r="F638">
        <f t="shared" si="37"/>
        <v>1</v>
      </c>
      <c r="G638" t="s">
        <v>23</v>
      </c>
      <c r="H638">
        <f t="shared" si="38"/>
        <v>1</v>
      </c>
      <c r="I638" s="5">
        <f t="shared" si="39"/>
        <v>1</v>
      </c>
      <c r="J638" s="2" t="s">
        <v>1299</v>
      </c>
      <c r="K638" s="2" t="s">
        <v>1300</v>
      </c>
    </row>
    <row r="639" spans="1:11" ht="28.5" customHeight="1">
      <c r="A639">
        <v>2019</v>
      </c>
      <c r="B639">
        <v>8</v>
      </c>
      <c r="C639">
        <v>4</v>
      </c>
      <c r="D639" t="s">
        <v>82</v>
      </c>
      <c r="E639" t="str">
        <f t="shared" si="36"/>
        <v>2019-Q8-4</v>
      </c>
      <c r="F639">
        <f t="shared" si="37"/>
        <v>1</v>
      </c>
      <c r="G639" t="s">
        <v>23</v>
      </c>
      <c r="H639">
        <f t="shared" si="38"/>
        <v>1</v>
      </c>
      <c r="I639" s="5">
        <f t="shared" si="39"/>
        <v>1</v>
      </c>
      <c r="J639" s="2" t="s">
        <v>1301</v>
      </c>
      <c r="K639" s="2" t="s">
        <v>1302</v>
      </c>
    </row>
    <row r="640" spans="1:11" ht="28.5" customHeight="1">
      <c r="A640">
        <v>2019</v>
      </c>
      <c r="B640">
        <v>9</v>
      </c>
      <c r="C640">
        <v>0</v>
      </c>
      <c r="D640" t="s">
        <v>82</v>
      </c>
      <c r="E640" t="str">
        <f t="shared" si="36"/>
        <v>2019-Q9-0</v>
      </c>
      <c r="F640">
        <f t="shared" si="37"/>
        <v>1</v>
      </c>
      <c r="G640" t="s">
        <v>41</v>
      </c>
      <c r="H640">
        <f t="shared" si="38"/>
        <v>1</v>
      </c>
      <c r="I640" s="5">
        <f t="shared" si="39"/>
        <v>1</v>
      </c>
      <c r="J640" s="2" t="s">
        <v>1303</v>
      </c>
      <c r="K640" s="2" t="s">
        <v>1304</v>
      </c>
    </row>
    <row r="641" spans="1:11">
      <c r="A641">
        <v>2019</v>
      </c>
      <c r="B641">
        <v>9</v>
      </c>
      <c r="C641">
        <v>1</v>
      </c>
      <c r="D641" t="s">
        <v>82</v>
      </c>
      <c r="E641" t="str">
        <f t="shared" si="36"/>
        <v>2019-Q9-1</v>
      </c>
      <c r="F641">
        <f t="shared" si="37"/>
        <v>1</v>
      </c>
      <c r="G641" t="s">
        <v>41</v>
      </c>
      <c r="H641">
        <f t="shared" si="38"/>
        <v>1</v>
      </c>
      <c r="I641" s="5">
        <f t="shared" si="39"/>
        <v>1</v>
      </c>
      <c r="J641" s="2" t="s">
        <v>1305</v>
      </c>
      <c r="K641" s="2" t="s">
        <v>1306</v>
      </c>
    </row>
    <row r="642" spans="1:11" ht="28.5" customHeight="1">
      <c r="A642">
        <v>2019</v>
      </c>
      <c r="B642">
        <v>9</v>
      </c>
      <c r="C642">
        <v>2</v>
      </c>
      <c r="D642" t="s">
        <v>82</v>
      </c>
      <c r="E642" t="str">
        <f t="shared" si="36"/>
        <v>2019-Q9-2</v>
      </c>
      <c r="F642">
        <f t="shared" si="37"/>
        <v>1</v>
      </c>
      <c r="G642" t="s">
        <v>41</v>
      </c>
      <c r="H642">
        <f t="shared" si="38"/>
        <v>1</v>
      </c>
      <c r="I642" s="5">
        <f t="shared" si="39"/>
        <v>1</v>
      </c>
      <c r="J642" s="2" t="s">
        <v>1307</v>
      </c>
      <c r="K642" s="2" t="s">
        <v>1308</v>
      </c>
    </row>
    <row r="643" spans="1:11">
      <c r="A643">
        <v>2019</v>
      </c>
      <c r="B643">
        <v>9</v>
      </c>
      <c r="C643">
        <v>3</v>
      </c>
      <c r="D643" t="s">
        <v>82</v>
      </c>
      <c r="E643" t="str">
        <f t="shared" si="36"/>
        <v>2019-Q9-3</v>
      </c>
      <c r="F643">
        <f t="shared" si="37"/>
        <v>1</v>
      </c>
      <c r="G643" t="s">
        <v>41</v>
      </c>
      <c r="H643">
        <f t="shared" si="38"/>
        <v>1</v>
      </c>
      <c r="I643" s="5">
        <f t="shared" si="39"/>
        <v>1</v>
      </c>
      <c r="J643" s="2" t="s">
        <v>1309</v>
      </c>
      <c r="K643" s="2" t="s">
        <v>1310</v>
      </c>
    </row>
    <row r="644" spans="1:11" ht="28.5" customHeight="1">
      <c r="A644">
        <v>2019</v>
      </c>
      <c r="B644">
        <v>9</v>
      </c>
      <c r="C644">
        <v>4</v>
      </c>
      <c r="D644" t="s">
        <v>82</v>
      </c>
      <c r="E644" t="str">
        <f t="shared" si="36"/>
        <v>2019-Q9-4</v>
      </c>
      <c r="F644">
        <f t="shared" si="37"/>
        <v>1</v>
      </c>
      <c r="G644" t="s">
        <v>41</v>
      </c>
      <c r="H644">
        <f t="shared" si="38"/>
        <v>1</v>
      </c>
      <c r="I644" s="5">
        <f t="shared" si="39"/>
        <v>1</v>
      </c>
      <c r="J644" s="2" t="s">
        <v>1311</v>
      </c>
      <c r="K644" s="2" t="s">
        <v>1312</v>
      </c>
    </row>
    <row r="645" spans="1:11" ht="28.5" customHeight="1">
      <c r="A645">
        <v>2019</v>
      </c>
      <c r="B645">
        <v>10</v>
      </c>
      <c r="C645">
        <v>0</v>
      </c>
      <c r="D645" t="s">
        <v>82</v>
      </c>
      <c r="E645" t="str">
        <f t="shared" ref="E645:E708" si="40">IF(A645="","",TEXT(A645,"0")&amp;"-Q"&amp;TEXT(B645,"0")&amp;"-"&amp;IF(C645="","ABERTA",C645))</f>
        <v>2019-Q10-0</v>
      </c>
      <c r="F645">
        <f t="shared" ref="F645:F708" si="41">IF(D645="V/F",1,IF(D645="Aberta/numérica",5,""))</f>
        <v>1</v>
      </c>
      <c r="G645" t="s">
        <v>44</v>
      </c>
      <c r="H645">
        <f t="shared" ref="H645:H708" si="42">IF(A645="","",IF(C645="",COUNTIFS($A$5:$A$1504,A645,$B$5:$B$1504,B645,$C$5:$C$1504,"",$D$5:$D$1504,D645),COUNTIFS($A$5:$A$1504,A645,$B$5:$B$1504,B645,$C$5:$C$1504,C645,$D$5:$D$1504,D645)))</f>
        <v>1</v>
      </c>
      <c r="I645" s="5">
        <f t="shared" ref="I645:I708" si="43">IF(OR(F645="",H645="",G645=""),"",F645/H645)</f>
        <v>1</v>
      </c>
      <c r="J645" s="2" t="s">
        <v>1313</v>
      </c>
      <c r="K645" s="2" t="s">
        <v>1314</v>
      </c>
    </row>
    <row r="646" spans="1:11" ht="28.5" customHeight="1">
      <c r="A646">
        <v>2019</v>
      </c>
      <c r="B646">
        <v>10</v>
      </c>
      <c r="C646">
        <v>1</v>
      </c>
      <c r="D646" t="s">
        <v>82</v>
      </c>
      <c r="E646" t="str">
        <f t="shared" si="40"/>
        <v>2019-Q10-1</v>
      </c>
      <c r="F646">
        <f t="shared" si="41"/>
        <v>1</v>
      </c>
      <c r="G646" t="s">
        <v>44</v>
      </c>
      <c r="H646">
        <f t="shared" si="42"/>
        <v>1</v>
      </c>
      <c r="I646" s="5">
        <f t="shared" si="43"/>
        <v>1</v>
      </c>
      <c r="J646" s="2" t="s">
        <v>1315</v>
      </c>
      <c r="K646" s="2" t="s">
        <v>1316</v>
      </c>
    </row>
    <row r="647" spans="1:11" ht="28.5" customHeight="1">
      <c r="A647">
        <v>2019</v>
      </c>
      <c r="B647">
        <v>10</v>
      </c>
      <c r="C647">
        <v>2</v>
      </c>
      <c r="D647" t="s">
        <v>82</v>
      </c>
      <c r="E647" t="str">
        <f t="shared" si="40"/>
        <v>2019-Q10-2</v>
      </c>
      <c r="F647">
        <f t="shared" si="41"/>
        <v>1</v>
      </c>
      <c r="G647" t="s">
        <v>44</v>
      </c>
      <c r="H647">
        <f t="shared" si="42"/>
        <v>1</v>
      </c>
      <c r="I647" s="5">
        <f t="shared" si="43"/>
        <v>1</v>
      </c>
      <c r="J647" s="2" t="s">
        <v>1317</v>
      </c>
      <c r="K647" s="2" t="s">
        <v>1318</v>
      </c>
    </row>
    <row r="648" spans="1:11" ht="28.5" customHeight="1">
      <c r="A648">
        <v>2019</v>
      </c>
      <c r="B648">
        <v>10</v>
      </c>
      <c r="C648">
        <v>3</v>
      </c>
      <c r="D648" t="s">
        <v>82</v>
      </c>
      <c r="E648" t="str">
        <f t="shared" si="40"/>
        <v>2019-Q10-3</v>
      </c>
      <c r="F648">
        <f t="shared" si="41"/>
        <v>1</v>
      </c>
      <c r="G648" t="s">
        <v>44</v>
      </c>
      <c r="H648">
        <f t="shared" si="42"/>
        <v>1</v>
      </c>
      <c r="I648" s="5">
        <f t="shared" si="43"/>
        <v>1</v>
      </c>
      <c r="J648" s="2" t="s">
        <v>1319</v>
      </c>
      <c r="K648" s="2" t="s">
        <v>1320</v>
      </c>
    </row>
    <row r="649" spans="1:11" ht="28.5" customHeight="1">
      <c r="A649">
        <v>2019</v>
      </c>
      <c r="B649">
        <v>10</v>
      </c>
      <c r="C649">
        <v>4</v>
      </c>
      <c r="D649" t="s">
        <v>82</v>
      </c>
      <c r="E649" t="str">
        <f t="shared" si="40"/>
        <v>2019-Q10-4</v>
      </c>
      <c r="F649">
        <f t="shared" si="41"/>
        <v>1</v>
      </c>
      <c r="G649" t="s">
        <v>44</v>
      </c>
      <c r="H649">
        <f t="shared" si="42"/>
        <v>1</v>
      </c>
      <c r="I649" s="5">
        <f t="shared" si="43"/>
        <v>1</v>
      </c>
      <c r="J649" s="2" t="s">
        <v>1321</v>
      </c>
      <c r="K649" s="2" t="s">
        <v>1322</v>
      </c>
    </row>
    <row r="650" spans="1:11" ht="28.5" customHeight="1">
      <c r="A650">
        <v>2019</v>
      </c>
      <c r="B650">
        <v>11</v>
      </c>
      <c r="C650">
        <v>0</v>
      </c>
      <c r="D650" t="s">
        <v>82</v>
      </c>
      <c r="E650" t="str">
        <f t="shared" si="40"/>
        <v>2019-Q11-0</v>
      </c>
      <c r="F650">
        <f t="shared" si="41"/>
        <v>1</v>
      </c>
      <c r="G650" t="s">
        <v>11</v>
      </c>
      <c r="H650">
        <f t="shared" si="42"/>
        <v>1</v>
      </c>
      <c r="I650" s="5">
        <f t="shared" si="43"/>
        <v>1</v>
      </c>
      <c r="J650" s="2" t="s">
        <v>1323</v>
      </c>
      <c r="K650" s="2" t="s">
        <v>1324</v>
      </c>
    </row>
    <row r="651" spans="1:11" ht="28.5" customHeight="1">
      <c r="A651">
        <v>2019</v>
      </c>
      <c r="B651">
        <v>11</v>
      </c>
      <c r="C651">
        <v>1</v>
      </c>
      <c r="D651" t="s">
        <v>82</v>
      </c>
      <c r="E651" t="str">
        <f t="shared" si="40"/>
        <v>2019-Q11-1</v>
      </c>
      <c r="F651">
        <f t="shared" si="41"/>
        <v>1</v>
      </c>
      <c r="G651" t="s">
        <v>11</v>
      </c>
      <c r="H651">
        <f t="shared" si="42"/>
        <v>1</v>
      </c>
      <c r="I651" s="5">
        <f t="shared" si="43"/>
        <v>1</v>
      </c>
      <c r="J651" s="2" t="s">
        <v>1325</v>
      </c>
      <c r="K651" s="2" t="s">
        <v>1326</v>
      </c>
    </row>
    <row r="652" spans="1:11" ht="28.5" customHeight="1">
      <c r="A652">
        <v>2019</v>
      </c>
      <c r="B652">
        <v>11</v>
      </c>
      <c r="C652">
        <v>2</v>
      </c>
      <c r="D652" t="s">
        <v>82</v>
      </c>
      <c r="E652" t="str">
        <f t="shared" si="40"/>
        <v>2019-Q11-2</v>
      </c>
      <c r="F652">
        <f t="shared" si="41"/>
        <v>1</v>
      </c>
      <c r="G652" t="s">
        <v>8</v>
      </c>
      <c r="H652">
        <f t="shared" si="42"/>
        <v>2</v>
      </c>
      <c r="I652" s="5">
        <f t="shared" si="43"/>
        <v>0.5</v>
      </c>
      <c r="J652" s="2" t="s">
        <v>1327</v>
      </c>
      <c r="K652" s="2" t="s">
        <v>1328</v>
      </c>
    </row>
    <row r="653" spans="1:11" ht="28.5" customHeight="1">
      <c r="A653">
        <v>2019</v>
      </c>
      <c r="B653">
        <v>11</v>
      </c>
      <c r="C653">
        <v>2</v>
      </c>
      <c r="D653" t="s">
        <v>82</v>
      </c>
      <c r="E653" t="str">
        <f t="shared" si="40"/>
        <v>2019-Q11-2</v>
      </c>
      <c r="F653">
        <f t="shared" si="41"/>
        <v>1</v>
      </c>
      <c r="G653" t="s">
        <v>11</v>
      </c>
      <c r="H653">
        <f t="shared" si="42"/>
        <v>2</v>
      </c>
      <c r="I653" s="5">
        <f t="shared" si="43"/>
        <v>0.5</v>
      </c>
      <c r="J653" s="2" t="s">
        <v>1327</v>
      </c>
      <c r="K653" s="2" t="s">
        <v>1328</v>
      </c>
    </row>
    <row r="654" spans="1:11" ht="28.5" customHeight="1">
      <c r="A654">
        <v>2019</v>
      </c>
      <c r="B654">
        <v>11</v>
      </c>
      <c r="C654">
        <v>3</v>
      </c>
      <c r="D654" t="s">
        <v>82</v>
      </c>
      <c r="E654" t="str">
        <f t="shared" si="40"/>
        <v>2019-Q11-3</v>
      </c>
      <c r="F654">
        <f t="shared" si="41"/>
        <v>1</v>
      </c>
      <c r="G654" t="s">
        <v>11</v>
      </c>
      <c r="H654">
        <f t="shared" si="42"/>
        <v>1</v>
      </c>
      <c r="I654" s="5">
        <f t="shared" si="43"/>
        <v>1</v>
      </c>
      <c r="J654" s="2" t="s">
        <v>1329</v>
      </c>
      <c r="K654" s="2" t="s">
        <v>1330</v>
      </c>
    </row>
    <row r="655" spans="1:11" ht="28.5" customHeight="1">
      <c r="A655">
        <v>2019</v>
      </c>
      <c r="B655">
        <v>11</v>
      </c>
      <c r="C655">
        <v>4</v>
      </c>
      <c r="D655" t="s">
        <v>82</v>
      </c>
      <c r="E655" t="str">
        <f t="shared" si="40"/>
        <v>2019-Q11-4</v>
      </c>
      <c r="F655">
        <f t="shared" si="41"/>
        <v>1</v>
      </c>
      <c r="G655" t="s">
        <v>11</v>
      </c>
      <c r="H655">
        <f t="shared" si="42"/>
        <v>1</v>
      </c>
      <c r="I655" s="5">
        <f t="shared" si="43"/>
        <v>1</v>
      </c>
      <c r="J655" s="2" t="s">
        <v>1331</v>
      </c>
      <c r="K655" s="2" t="s">
        <v>1332</v>
      </c>
    </row>
    <row r="656" spans="1:11" ht="28.5" customHeight="1">
      <c r="A656">
        <v>2019</v>
      </c>
      <c r="B656">
        <v>12</v>
      </c>
      <c r="C656">
        <v>0</v>
      </c>
      <c r="D656" t="s">
        <v>82</v>
      </c>
      <c r="E656" t="str">
        <f t="shared" si="40"/>
        <v>2019-Q12-0</v>
      </c>
      <c r="F656">
        <f t="shared" si="41"/>
        <v>1</v>
      </c>
      <c r="G656" t="s">
        <v>35</v>
      </c>
      <c r="H656">
        <f t="shared" si="42"/>
        <v>1</v>
      </c>
      <c r="I656" s="5">
        <f t="shared" si="43"/>
        <v>1</v>
      </c>
      <c r="J656" s="2" t="s">
        <v>1333</v>
      </c>
      <c r="K656" s="2" t="s">
        <v>1334</v>
      </c>
    </row>
    <row r="657" spans="1:11" ht="28.5" customHeight="1">
      <c r="A657">
        <v>2019</v>
      </c>
      <c r="B657">
        <v>12</v>
      </c>
      <c r="C657">
        <v>1</v>
      </c>
      <c r="D657" t="s">
        <v>82</v>
      </c>
      <c r="E657" t="str">
        <f t="shared" si="40"/>
        <v>2019-Q12-1</v>
      </c>
      <c r="F657">
        <f t="shared" si="41"/>
        <v>1</v>
      </c>
      <c r="G657" t="s">
        <v>35</v>
      </c>
      <c r="H657">
        <f t="shared" si="42"/>
        <v>1</v>
      </c>
      <c r="I657" s="5">
        <f t="shared" si="43"/>
        <v>1</v>
      </c>
      <c r="J657" s="2" t="s">
        <v>1335</v>
      </c>
      <c r="K657" s="2" t="s">
        <v>1336</v>
      </c>
    </row>
    <row r="658" spans="1:11" ht="28.5" customHeight="1">
      <c r="A658">
        <v>2019</v>
      </c>
      <c r="B658">
        <v>12</v>
      </c>
      <c r="C658">
        <v>2</v>
      </c>
      <c r="D658" t="s">
        <v>82</v>
      </c>
      <c r="E658" t="str">
        <f t="shared" si="40"/>
        <v>2019-Q12-2</v>
      </c>
      <c r="F658">
        <f t="shared" si="41"/>
        <v>1</v>
      </c>
      <c r="G658" t="s">
        <v>35</v>
      </c>
      <c r="H658">
        <f t="shared" si="42"/>
        <v>1</v>
      </c>
      <c r="I658" s="5">
        <f t="shared" si="43"/>
        <v>1</v>
      </c>
      <c r="J658" s="2" t="s">
        <v>1337</v>
      </c>
      <c r="K658" s="2" t="s">
        <v>1338</v>
      </c>
    </row>
    <row r="659" spans="1:11" ht="28.5" customHeight="1">
      <c r="A659">
        <v>2019</v>
      </c>
      <c r="B659">
        <v>12</v>
      </c>
      <c r="C659">
        <v>3</v>
      </c>
      <c r="D659" t="s">
        <v>82</v>
      </c>
      <c r="E659" t="str">
        <f t="shared" si="40"/>
        <v>2019-Q12-3</v>
      </c>
      <c r="F659">
        <f t="shared" si="41"/>
        <v>1</v>
      </c>
      <c r="G659" t="s">
        <v>35</v>
      </c>
      <c r="H659">
        <f t="shared" si="42"/>
        <v>1</v>
      </c>
      <c r="I659" s="5">
        <f t="shared" si="43"/>
        <v>1</v>
      </c>
      <c r="J659" s="2" t="s">
        <v>1339</v>
      </c>
      <c r="K659" s="2" t="s">
        <v>1340</v>
      </c>
    </row>
    <row r="660" spans="1:11" ht="28.5" customHeight="1">
      <c r="A660">
        <v>2019</v>
      </c>
      <c r="B660">
        <v>12</v>
      </c>
      <c r="C660">
        <v>4</v>
      </c>
      <c r="D660" t="s">
        <v>82</v>
      </c>
      <c r="E660" t="str">
        <f t="shared" si="40"/>
        <v>2019-Q12-4</v>
      </c>
      <c r="F660">
        <f t="shared" si="41"/>
        <v>1</v>
      </c>
      <c r="G660" t="s">
        <v>35</v>
      </c>
      <c r="H660">
        <f t="shared" si="42"/>
        <v>1</v>
      </c>
      <c r="I660" s="5">
        <f t="shared" si="43"/>
        <v>1</v>
      </c>
      <c r="J660" s="2" t="s">
        <v>1341</v>
      </c>
      <c r="K660" s="2" t="s">
        <v>1342</v>
      </c>
    </row>
    <row r="661" spans="1:11" ht="28.5" customHeight="1">
      <c r="A661">
        <v>2019</v>
      </c>
      <c r="B661">
        <v>13</v>
      </c>
      <c r="D661" t="s">
        <v>193</v>
      </c>
      <c r="E661" t="str">
        <f t="shared" si="40"/>
        <v>2019-Q13-ABERTA</v>
      </c>
      <c r="F661">
        <f t="shared" si="41"/>
        <v>5</v>
      </c>
      <c r="G661" t="s">
        <v>20</v>
      </c>
      <c r="H661">
        <f t="shared" si="42"/>
        <v>1</v>
      </c>
      <c r="I661" s="5">
        <f t="shared" si="43"/>
        <v>5</v>
      </c>
      <c r="J661" s="2" t="s">
        <v>1343</v>
      </c>
      <c r="K661" s="2" t="s">
        <v>1344</v>
      </c>
    </row>
    <row r="662" spans="1:11" ht="28.5" customHeight="1">
      <c r="A662">
        <v>2019</v>
      </c>
      <c r="B662">
        <v>14</v>
      </c>
      <c r="D662" t="s">
        <v>193</v>
      </c>
      <c r="E662" t="str">
        <f t="shared" si="40"/>
        <v>2019-Q14-ABERTA</v>
      </c>
      <c r="F662">
        <f t="shared" si="41"/>
        <v>5</v>
      </c>
      <c r="G662" t="s">
        <v>14</v>
      </c>
      <c r="H662">
        <f t="shared" si="42"/>
        <v>2</v>
      </c>
      <c r="I662" s="5">
        <f t="shared" si="43"/>
        <v>2.5</v>
      </c>
      <c r="J662" s="2" t="s">
        <v>1345</v>
      </c>
      <c r="K662" s="2" t="s">
        <v>1346</v>
      </c>
    </row>
    <row r="663" spans="1:11" ht="28.5" customHeight="1">
      <c r="A663">
        <v>2019</v>
      </c>
      <c r="B663">
        <v>14</v>
      </c>
      <c r="D663" t="s">
        <v>193</v>
      </c>
      <c r="E663" t="str">
        <f t="shared" si="40"/>
        <v>2019-Q14-ABERTA</v>
      </c>
      <c r="F663">
        <f t="shared" si="41"/>
        <v>5</v>
      </c>
      <c r="G663" t="s">
        <v>17</v>
      </c>
      <c r="H663">
        <f t="shared" si="42"/>
        <v>2</v>
      </c>
      <c r="I663" s="5">
        <f t="shared" si="43"/>
        <v>2.5</v>
      </c>
      <c r="J663" s="2" t="s">
        <v>1345</v>
      </c>
      <c r="K663" s="2" t="s">
        <v>1346</v>
      </c>
    </row>
    <row r="664" spans="1:11" ht="28.5" customHeight="1">
      <c r="A664">
        <v>2019</v>
      </c>
      <c r="B664">
        <v>15</v>
      </c>
      <c r="D664" t="s">
        <v>193</v>
      </c>
      <c r="E664" t="str">
        <f t="shared" si="40"/>
        <v>2019-Q15-ABERTA</v>
      </c>
      <c r="F664">
        <f t="shared" si="41"/>
        <v>5</v>
      </c>
      <c r="G664" t="s">
        <v>26</v>
      </c>
      <c r="H664">
        <f t="shared" si="42"/>
        <v>1</v>
      </c>
      <c r="I664" s="5">
        <f t="shared" si="43"/>
        <v>5</v>
      </c>
      <c r="J664" s="2" t="s">
        <v>1347</v>
      </c>
      <c r="K664" s="2" t="s">
        <v>1348</v>
      </c>
    </row>
    <row r="665" spans="1:11" ht="28.5" customHeight="1">
      <c r="A665">
        <v>2020</v>
      </c>
      <c r="B665">
        <v>1</v>
      </c>
      <c r="C665">
        <v>0</v>
      </c>
      <c r="D665" t="s">
        <v>82</v>
      </c>
      <c r="E665" t="str">
        <f t="shared" si="40"/>
        <v>2020-Q1-0</v>
      </c>
      <c r="F665">
        <f t="shared" si="41"/>
        <v>1</v>
      </c>
      <c r="G665" t="s">
        <v>11</v>
      </c>
      <c r="H665">
        <f t="shared" si="42"/>
        <v>1</v>
      </c>
      <c r="I665" s="5">
        <f t="shared" si="43"/>
        <v>1</v>
      </c>
      <c r="J665" s="2" t="s">
        <v>1349</v>
      </c>
      <c r="K665" s="2" t="s">
        <v>1350</v>
      </c>
    </row>
    <row r="666" spans="1:11" ht="28.5" customHeight="1">
      <c r="A666">
        <v>2020</v>
      </c>
      <c r="B666">
        <v>1</v>
      </c>
      <c r="C666">
        <v>1</v>
      </c>
      <c r="D666" t="s">
        <v>82</v>
      </c>
      <c r="E666" t="str">
        <f t="shared" si="40"/>
        <v>2020-Q1-1</v>
      </c>
      <c r="F666">
        <f t="shared" si="41"/>
        <v>1</v>
      </c>
      <c r="G666" t="s">
        <v>11</v>
      </c>
      <c r="H666">
        <f t="shared" si="42"/>
        <v>1</v>
      </c>
      <c r="I666" s="5">
        <f t="shared" si="43"/>
        <v>1</v>
      </c>
      <c r="J666" s="2" t="s">
        <v>1351</v>
      </c>
      <c r="K666" s="2" t="s">
        <v>1352</v>
      </c>
    </row>
    <row r="667" spans="1:11" ht="28.5" customHeight="1">
      <c r="A667">
        <v>2020</v>
      </c>
      <c r="B667">
        <v>1</v>
      </c>
      <c r="C667">
        <v>2</v>
      </c>
      <c r="D667" t="s">
        <v>82</v>
      </c>
      <c r="E667" t="str">
        <f t="shared" si="40"/>
        <v>2020-Q1-2</v>
      </c>
      <c r="F667">
        <f t="shared" si="41"/>
        <v>1</v>
      </c>
      <c r="G667" t="s">
        <v>11</v>
      </c>
      <c r="H667">
        <f t="shared" si="42"/>
        <v>1</v>
      </c>
      <c r="I667" s="5">
        <f t="shared" si="43"/>
        <v>1</v>
      </c>
      <c r="J667" s="2" t="s">
        <v>1353</v>
      </c>
      <c r="K667" s="2" t="s">
        <v>1354</v>
      </c>
    </row>
    <row r="668" spans="1:11">
      <c r="A668">
        <v>2020</v>
      </c>
      <c r="B668">
        <v>1</v>
      </c>
      <c r="C668">
        <v>3</v>
      </c>
      <c r="D668" t="s">
        <v>82</v>
      </c>
      <c r="E668" t="str">
        <f t="shared" si="40"/>
        <v>2020-Q1-3</v>
      </c>
      <c r="F668">
        <f t="shared" si="41"/>
        <v>1</v>
      </c>
      <c r="G668" t="s">
        <v>11</v>
      </c>
      <c r="H668">
        <f t="shared" si="42"/>
        <v>1</v>
      </c>
      <c r="I668" s="5">
        <f t="shared" si="43"/>
        <v>1</v>
      </c>
      <c r="J668" s="2" t="s">
        <v>1355</v>
      </c>
      <c r="K668" s="2" t="s">
        <v>1356</v>
      </c>
    </row>
    <row r="669" spans="1:11" ht="28.5" customHeight="1">
      <c r="A669">
        <v>2020</v>
      </c>
      <c r="B669">
        <v>1</v>
      </c>
      <c r="C669">
        <v>4</v>
      </c>
      <c r="D669" t="s">
        <v>82</v>
      </c>
      <c r="E669" t="str">
        <f t="shared" si="40"/>
        <v>2020-Q1-4</v>
      </c>
      <c r="F669">
        <f t="shared" si="41"/>
        <v>1</v>
      </c>
      <c r="G669" t="s">
        <v>11</v>
      </c>
      <c r="H669">
        <f t="shared" si="42"/>
        <v>1</v>
      </c>
      <c r="I669" s="5">
        <f t="shared" si="43"/>
        <v>1</v>
      </c>
      <c r="J669" s="2" t="s">
        <v>1357</v>
      </c>
      <c r="K669" s="2" t="s">
        <v>1358</v>
      </c>
    </row>
    <row r="670" spans="1:11" ht="28.5" customHeight="1">
      <c r="A670">
        <v>2020</v>
      </c>
      <c r="B670">
        <v>2</v>
      </c>
      <c r="C670">
        <v>0</v>
      </c>
      <c r="D670" t="s">
        <v>82</v>
      </c>
      <c r="E670" t="str">
        <f t="shared" si="40"/>
        <v>2020-Q2-0</v>
      </c>
      <c r="F670">
        <f t="shared" si="41"/>
        <v>1</v>
      </c>
      <c r="G670" t="s">
        <v>35</v>
      </c>
      <c r="H670">
        <f t="shared" si="42"/>
        <v>1</v>
      </c>
      <c r="I670" s="5">
        <f t="shared" si="43"/>
        <v>1</v>
      </c>
      <c r="J670" s="2" t="s">
        <v>1359</v>
      </c>
      <c r="K670" s="2" t="s">
        <v>1360</v>
      </c>
    </row>
    <row r="671" spans="1:11">
      <c r="A671">
        <v>2020</v>
      </c>
      <c r="B671">
        <v>2</v>
      </c>
      <c r="C671">
        <v>1</v>
      </c>
      <c r="D671" t="s">
        <v>82</v>
      </c>
      <c r="E671" t="str">
        <f t="shared" si="40"/>
        <v>2020-Q2-1</v>
      </c>
      <c r="F671">
        <f t="shared" si="41"/>
        <v>1</v>
      </c>
      <c r="G671" t="s">
        <v>14</v>
      </c>
      <c r="H671">
        <f t="shared" si="42"/>
        <v>1</v>
      </c>
      <c r="I671" s="5">
        <f t="shared" si="43"/>
        <v>1</v>
      </c>
      <c r="J671" s="2" t="s">
        <v>1361</v>
      </c>
      <c r="K671" s="2" t="s">
        <v>1362</v>
      </c>
    </row>
    <row r="672" spans="1:11" ht="28.5" customHeight="1">
      <c r="A672">
        <v>2020</v>
      </c>
      <c r="B672">
        <v>2</v>
      </c>
      <c r="C672">
        <v>2</v>
      </c>
      <c r="D672" t="s">
        <v>82</v>
      </c>
      <c r="E672" t="str">
        <f t="shared" si="40"/>
        <v>2020-Q2-2</v>
      </c>
      <c r="F672">
        <f t="shared" si="41"/>
        <v>1</v>
      </c>
      <c r="G672" t="s">
        <v>14</v>
      </c>
      <c r="H672">
        <f t="shared" si="42"/>
        <v>1</v>
      </c>
      <c r="I672" s="5">
        <f t="shared" si="43"/>
        <v>1</v>
      </c>
      <c r="J672" s="2" t="s">
        <v>1363</v>
      </c>
      <c r="K672" s="2" t="s">
        <v>1364</v>
      </c>
    </row>
    <row r="673" spans="1:11" ht="28.5" customHeight="1">
      <c r="A673">
        <v>2020</v>
      </c>
      <c r="B673">
        <v>2</v>
      </c>
      <c r="C673">
        <v>3</v>
      </c>
      <c r="D673" t="s">
        <v>82</v>
      </c>
      <c r="E673" t="str">
        <f t="shared" si="40"/>
        <v>2020-Q2-3</v>
      </c>
      <c r="F673">
        <f t="shared" si="41"/>
        <v>1</v>
      </c>
      <c r="G673" t="s">
        <v>14</v>
      </c>
      <c r="H673">
        <f t="shared" si="42"/>
        <v>1</v>
      </c>
      <c r="I673" s="5">
        <f t="shared" si="43"/>
        <v>1</v>
      </c>
      <c r="J673" s="2" t="s">
        <v>1365</v>
      </c>
      <c r="K673" s="2" t="s">
        <v>1366</v>
      </c>
    </row>
    <row r="674" spans="1:11">
      <c r="A674">
        <v>2020</v>
      </c>
      <c r="B674">
        <v>2</v>
      </c>
      <c r="C674">
        <v>4</v>
      </c>
      <c r="D674" t="s">
        <v>82</v>
      </c>
      <c r="E674" t="str">
        <f t="shared" si="40"/>
        <v>2020-Q2-4</v>
      </c>
      <c r="F674">
        <f t="shared" si="41"/>
        <v>1</v>
      </c>
      <c r="G674" t="s">
        <v>14</v>
      </c>
      <c r="H674">
        <f t="shared" si="42"/>
        <v>1</v>
      </c>
      <c r="I674" s="5">
        <f t="shared" si="43"/>
        <v>1</v>
      </c>
      <c r="J674" s="2" t="s">
        <v>1367</v>
      </c>
      <c r="K674" s="2" t="s">
        <v>1368</v>
      </c>
    </row>
    <row r="675" spans="1:11" ht="28.5" customHeight="1">
      <c r="A675">
        <v>2020</v>
      </c>
      <c r="B675">
        <v>3</v>
      </c>
      <c r="C675">
        <v>0</v>
      </c>
      <c r="D675" t="s">
        <v>82</v>
      </c>
      <c r="E675" t="str">
        <f t="shared" si="40"/>
        <v>2020-Q3-0</v>
      </c>
      <c r="F675">
        <f t="shared" si="41"/>
        <v>1</v>
      </c>
      <c r="G675" t="s">
        <v>8</v>
      </c>
      <c r="H675">
        <f t="shared" si="42"/>
        <v>1</v>
      </c>
      <c r="I675" s="5">
        <f t="shared" si="43"/>
        <v>1</v>
      </c>
      <c r="J675" s="2" t="s">
        <v>1369</v>
      </c>
      <c r="K675" s="2" t="s">
        <v>1370</v>
      </c>
    </row>
    <row r="676" spans="1:11">
      <c r="A676">
        <v>2020</v>
      </c>
      <c r="B676">
        <v>3</v>
      </c>
      <c r="C676">
        <v>1</v>
      </c>
      <c r="D676" t="s">
        <v>82</v>
      </c>
      <c r="E676" t="str">
        <f t="shared" si="40"/>
        <v>2020-Q3-1</v>
      </c>
      <c r="F676">
        <f t="shared" si="41"/>
        <v>1</v>
      </c>
      <c r="G676" t="s">
        <v>8</v>
      </c>
      <c r="H676">
        <f t="shared" si="42"/>
        <v>1</v>
      </c>
      <c r="I676" s="5">
        <f t="shared" si="43"/>
        <v>1</v>
      </c>
      <c r="J676" s="2" t="s">
        <v>1371</v>
      </c>
      <c r="K676" s="2" t="s">
        <v>1372</v>
      </c>
    </row>
    <row r="677" spans="1:11" ht="28.5" customHeight="1">
      <c r="A677">
        <v>2020</v>
      </c>
      <c r="B677">
        <v>3</v>
      </c>
      <c r="C677">
        <v>2</v>
      </c>
      <c r="D677" t="s">
        <v>82</v>
      </c>
      <c r="E677" t="str">
        <f t="shared" si="40"/>
        <v>2020-Q3-2</v>
      </c>
      <c r="F677">
        <f t="shared" si="41"/>
        <v>1</v>
      </c>
      <c r="G677" t="s">
        <v>8</v>
      </c>
      <c r="H677">
        <f t="shared" si="42"/>
        <v>1</v>
      </c>
      <c r="I677" s="5">
        <f t="shared" si="43"/>
        <v>1</v>
      </c>
      <c r="J677" s="2" t="s">
        <v>1373</v>
      </c>
      <c r="K677" s="2" t="s">
        <v>1374</v>
      </c>
    </row>
    <row r="678" spans="1:11" ht="28.5" customHeight="1">
      <c r="A678">
        <v>2020</v>
      </c>
      <c r="B678">
        <v>3</v>
      </c>
      <c r="C678">
        <v>3</v>
      </c>
      <c r="D678" t="s">
        <v>82</v>
      </c>
      <c r="E678" t="str">
        <f t="shared" si="40"/>
        <v>2020-Q3-3</v>
      </c>
      <c r="F678">
        <f t="shared" si="41"/>
        <v>1</v>
      </c>
      <c r="G678" t="s">
        <v>8</v>
      </c>
      <c r="H678">
        <f t="shared" si="42"/>
        <v>1</v>
      </c>
      <c r="I678" s="5">
        <f t="shared" si="43"/>
        <v>1</v>
      </c>
      <c r="J678" s="2" t="s">
        <v>1375</v>
      </c>
      <c r="K678" s="2" t="s">
        <v>1376</v>
      </c>
    </row>
    <row r="679" spans="1:11" ht="28.5" customHeight="1">
      <c r="A679">
        <v>2020</v>
      </c>
      <c r="B679">
        <v>3</v>
      </c>
      <c r="C679">
        <v>4</v>
      </c>
      <c r="D679" t="s">
        <v>82</v>
      </c>
      <c r="E679" t="str">
        <f t="shared" si="40"/>
        <v>2020-Q3-4</v>
      </c>
      <c r="F679">
        <f t="shared" si="41"/>
        <v>1</v>
      </c>
      <c r="G679" t="s">
        <v>8</v>
      </c>
      <c r="H679">
        <f t="shared" si="42"/>
        <v>1</v>
      </c>
      <c r="I679" s="5">
        <f t="shared" si="43"/>
        <v>1</v>
      </c>
      <c r="J679" s="2" t="s">
        <v>1377</v>
      </c>
      <c r="K679" s="2" t="s">
        <v>1378</v>
      </c>
    </row>
    <row r="680" spans="1:11" ht="28.5" customHeight="1">
      <c r="A680">
        <v>2020</v>
      </c>
      <c r="B680">
        <v>4</v>
      </c>
      <c r="C680">
        <v>0</v>
      </c>
      <c r="D680" t="s">
        <v>82</v>
      </c>
      <c r="E680" t="str">
        <f t="shared" si="40"/>
        <v>2020-Q4-0</v>
      </c>
      <c r="F680">
        <f t="shared" si="41"/>
        <v>1</v>
      </c>
      <c r="G680" t="s">
        <v>14</v>
      </c>
      <c r="H680">
        <f t="shared" si="42"/>
        <v>1</v>
      </c>
      <c r="I680" s="5">
        <f t="shared" si="43"/>
        <v>1</v>
      </c>
      <c r="J680" s="2" t="s">
        <v>1379</v>
      </c>
      <c r="K680" s="2" t="s">
        <v>1380</v>
      </c>
    </row>
    <row r="681" spans="1:11" ht="28.5" customHeight="1">
      <c r="A681">
        <v>2020</v>
      </c>
      <c r="B681">
        <v>4</v>
      </c>
      <c r="C681">
        <v>1</v>
      </c>
      <c r="D681" t="s">
        <v>82</v>
      </c>
      <c r="E681" t="str">
        <f t="shared" si="40"/>
        <v>2020-Q4-1</v>
      </c>
      <c r="F681">
        <f t="shared" si="41"/>
        <v>1</v>
      </c>
      <c r="G681" t="s">
        <v>14</v>
      </c>
      <c r="H681">
        <f t="shared" si="42"/>
        <v>1</v>
      </c>
      <c r="I681" s="5">
        <f t="shared" si="43"/>
        <v>1</v>
      </c>
      <c r="J681" s="2" t="s">
        <v>1381</v>
      </c>
      <c r="K681" s="2" t="s">
        <v>1382</v>
      </c>
    </row>
    <row r="682" spans="1:11">
      <c r="A682">
        <v>2020</v>
      </c>
      <c r="B682">
        <v>4</v>
      </c>
      <c r="C682">
        <v>2</v>
      </c>
      <c r="D682" t="s">
        <v>82</v>
      </c>
      <c r="E682" t="str">
        <f t="shared" si="40"/>
        <v>2020-Q4-2</v>
      </c>
      <c r="F682">
        <f t="shared" si="41"/>
        <v>1</v>
      </c>
      <c r="G682" t="s">
        <v>14</v>
      </c>
      <c r="H682">
        <f t="shared" si="42"/>
        <v>1</v>
      </c>
      <c r="I682" s="5">
        <f t="shared" si="43"/>
        <v>1</v>
      </c>
      <c r="J682" s="2" t="s">
        <v>1383</v>
      </c>
      <c r="K682" s="2" t="s">
        <v>1384</v>
      </c>
    </row>
    <row r="683" spans="1:11" ht="28.5" customHeight="1">
      <c r="A683">
        <v>2020</v>
      </c>
      <c r="B683">
        <v>4</v>
      </c>
      <c r="C683">
        <v>3</v>
      </c>
      <c r="D683" t="s">
        <v>82</v>
      </c>
      <c r="E683" t="str">
        <f t="shared" si="40"/>
        <v>2020-Q4-3</v>
      </c>
      <c r="F683">
        <f t="shared" si="41"/>
        <v>1</v>
      </c>
      <c r="G683" t="s">
        <v>14</v>
      </c>
      <c r="H683">
        <f t="shared" si="42"/>
        <v>1</v>
      </c>
      <c r="I683" s="5">
        <f t="shared" si="43"/>
        <v>1</v>
      </c>
      <c r="J683" s="2" t="s">
        <v>1385</v>
      </c>
      <c r="K683" s="2" t="s">
        <v>1386</v>
      </c>
    </row>
    <row r="684" spans="1:11" ht="28.5" customHeight="1">
      <c r="A684">
        <v>2020</v>
      </c>
      <c r="B684">
        <v>4</v>
      </c>
      <c r="C684">
        <v>4</v>
      </c>
      <c r="D684" t="s">
        <v>82</v>
      </c>
      <c r="E684" t="str">
        <f t="shared" si="40"/>
        <v>2020-Q4-4</v>
      </c>
      <c r="F684">
        <f t="shared" si="41"/>
        <v>1</v>
      </c>
      <c r="G684" t="s">
        <v>14</v>
      </c>
      <c r="H684">
        <f t="shared" si="42"/>
        <v>1</v>
      </c>
      <c r="I684" s="5">
        <f t="shared" si="43"/>
        <v>1</v>
      </c>
      <c r="J684" s="2" t="s">
        <v>1387</v>
      </c>
      <c r="K684" s="2" t="s">
        <v>1388</v>
      </c>
    </row>
    <row r="685" spans="1:11">
      <c r="A685">
        <v>2020</v>
      </c>
      <c r="B685">
        <v>5</v>
      </c>
      <c r="C685">
        <v>0</v>
      </c>
      <c r="D685" t="s">
        <v>82</v>
      </c>
      <c r="E685" t="str">
        <f t="shared" si="40"/>
        <v>2020-Q5-0</v>
      </c>
      <c r="F685">
        <f t="shared" si="41"/>
        <v>1</v>
      </c>
      <c r="G685" t="s">
        <v>41</v>
      </c>
      <c r="H685">
        <f t="shared" si="42"/>
        <v>1</v>
      </c>
      <c r="I685" s="5">
        <f t="shared" si="43"/>
        <v>1</v>
      </c>
      <c r="J685" s="2" t="s">
        <v>1389</v>
      </c>
      <c r="K685" s="2" t="s">
        <v>1390</v>
      </c>
    </row>
    <row r="686" spans="1:11">
      <c r="A686">
        <v>2020</v>
      </c>
      <c r="B686">
        <v>5</v>
      </c>
      <c r="C686">
        <v>1</v>
      </c>
      <c r="D686" t="s">
        <v>82</v>
      </c>
      <c r="E686" t="str">
        <f t="shared" si="40"/>
        <v>2020-Q5-1</v>
      </c>
      <c r="F686">
        <f t="shared" si="41"/>
        <v>1</v>
      </c>
      <c r="G686" t="s">
        <v>41</v>
      </c>
      <c r="H686">
        <f t="shared" si="42"/>
        <v>1</v>
      </c>
      <c r="I686" s="5">
        <f t="shared" si="43"/>
        <v>1</v>
      </c>
      <c r="J686" s="2" t="s">
        <v>1391</v>
      </c>
      <c r="K686" s="2" t="s">
        <v>1392</v>
      </c>
    </row>
    <row r="687" spans="1:11">
      <c r="A687">
        <v>2020</v>
      </c>
      <c r="B687">
        <v>5</v>
      </c>
      <c r="C687">
        <v>2</v>
      </c>
      <c r="D687" t="s">
        <v>82</v>
      </c>
      <c r="E687" t="str">
        <f t="shared" si="40"/>
        <v>2020-Q5-2</v>
      </c>
      <c r="F687">
        <f t="shared" si="41"/>
        <v>1</v>
      </c>
      <c r="G687" t="s">
        <v>41</v>
      </c>
      <c r="H687">
        <f t="shared" si="42"/>
        <v>1</v>
      </c>
      <c r="I687" s="5">
        <f t="shared" si="43"/>
        <v>1</v>
      </c>
      <c r="J687" s="2" t="s">
        <v>1393</v>
      </c>
      <c r="K687" s="2" t="s">
        <v>1394</v>
      </c>
    </row>
    <row r="688" spans="1:11">
      <c r="A688">
        <v>2020</v>
      </c>
      <c r="B688">
        <v>5</v>
      </c>
      <c r="C688">
        <v>3</v>
      </c>
      <c r="D688" t="s">
        <v>82</v>
      </c>
      <c r="E688" t="str">
        <f t="shared" si="40"/>
        <v>2020-Q5-3</v>
      </c>
      <c r="F688">
        <f t="shared" si="41"/>
        <v>1</v>
      </c>
      <c r="G688" t="s">
        <v>41</v>
      </c>
      <c r="H688">
        <f t="shared" si="42"/>
        <v>1</v>
      </c>
      <c r="I688" s="5">
        <f t="shared" si="43"/>
        <v>1</v>
      </c>
      <c r="J688" s="2" t="s">
        <v>1395</v>
      </c>
      <c r="K688" s="2" t="s">
        <v>1396</v>
      </c>
    </row>
    <row r="689" spans="1:11" ht="28.5" customHeight="1">
      <c r="A689">
        <v>2020</v>
      </c>
      <c r="B689">
        <v>5</v>
      </c>
      <c r="C689">
        <v>4</v>
      </c>
      <c r="D689" t="s">
        <v>82</v>
      </c>
      <c r="E689" t="str">
        <f t="shared" si="40"/>
        <v>2020-Q5-4</v>
      </c>
      <c r="F689">
        <f t="shared" si="41"/>
        <v>1</v>
      </c>
      <c r="G689" t="s">
        <v>41</v>
      </c>
      <c r="H689">
        <f t="shared" si="42"/>
        <v>1</v>
      </c>
      <c r="I689" s="5">
        <f t="shared" si="43"/>
        <v>1</v>
      </c>
      <c r="J689" s="2" t="s">
        <v>1397</v>
      </c>
      <c r="K689" s="2" t="s">
        <v>1398</v>
      </c>
    </row>
    <row r="690" spans="1:11" ht="28.5" customHeight="1">
      <c r="A690">
        <v>2020</v>
      </c>
      <c r="B690">
        <v>6</v>
      </c>
      <c r="C690">
        <v>0</v>
      </c>
      <c r="D690" t="s">
        <v>82</v>
      </c>
      <c r="E690" t="str">
        <f t="shared" si="40"/>
        <v>2020-Q6-0</v>
      </c>
      <c r="F690">
        <f t="shared" si="41"/>
        <v>1</v>
      </c>
      <c r="G690" t="s">
        <v>26</v>
      </c>
      <c r="H690">
        <f t="shared" si="42"/>
        <v>1</v>
      </c>
      <c r="I690" s="5">
        <f t="shared" si="43"/>
        <v>1</v>
      </c>
      <c r="J690" s="2" t="s">
        <v>1399</v>
      </c>
      <c r="K690" s="2" t="s">
        <v>1400</v>
      </c>
    </row>
    <row r="691" spans="1:11" ht="28.5" customHeight="1">
      <c r="A691">
        <v>2020</v>
      </c>
      <c r="B691">
        <v>6</v>
      </c>
      <c r="C691">
        <v>1</v>
      </c>
      <c r="D691" t="s">
        <v>82</v>
      </c>
      <c r="E691" t="str">
        <f t="shared" si="40"/>
        <v>2020-Q6-1</v>
      </c>
      <c r="F691">
        <f t="shared" si="41"/>
        <v>1</v>
      </c>
      <c r="G691" t="s">
        <v>26</v>
      </c>
      <c r="H691">
        <f t="shared" si="42"/>
        <v>1</v>
      </c>
      <c r="I691" s="5">
        <f t="shared" si="43"/>
        <v>1</v>
      </c>
      <c r="J691" s="2" t="s">
        <v>1401</v>
      </c>
      <c r="K691" s="2" t="s">
        <v>1402</v>
      </c>
    </row>
    <row r="692" spans="1:11" ht="28.5" customHeight="1">
      <c r="A692">
        <v>2020</v>
      </c>
      <c r="B692">
        <v>6</v>
      </c>
      <c r="C692">
        <v>2</v>
      </c>
      <c r="D692" t="s">
        <v>82</v>
      </c>
      <c r="E692" t="str">
        <f t="shared" si="40"/>
        <v>2020-Q6-2</v>
      </c>
      <c r="F692">
        <f t="shared" si="41"/>
        <v>1</v>
      </c>
      <c r="G692" t="s">
        <v>26</v>
      </c>
      <c r="H692">
        <f t="shared" si="42"/>
        <v>1</v>
      </c>
      <c r="I692" s="5">
        <f t="shared" si="43"/>
        <v>1</v>
      </c>
      <c r="J692" s="2" t="s">
        <v>1403</v>
      </c>
      <c r="K692" s="2" t="s">
        <v>1404</v>
      </c>
    </row>
    <row r="693" spans="1:11" ht="28.5" customHeight="1">
      <c r="A693">
        <v>2020</v>
      </c>
      <c r="B693">
        <v>6</v>
      </c>
      <c r="C693">
        <v>3</v>
      </c>
      <c r="D693" t="s">
        <v>82</v>
      </c>
      <c r="E693" t="str">
        <f t="shared" si="40"/>
        <v>2020-Q6-3</v>
      </c>
      <c r="F693">
        <f t="shared" si="41"/>
        <v>1</v>
      </c>
      <c r="G693" t="s">
        <v>26</v>
      </c>
      <c r="H693">
        <f t="shared" si="42"/>
        <v>1</v>
      </c>
      <c r="I693" s="5">
        <f t="shared" si="43"/>
        <v>1</v>
      </c>
      <c r="J693" s="2" t="s">
        <v>1405</v>
      </c>
      <c r="K693" s="2" t="s">
        <v>1406</v>
      </c>
    </row>
    <row r="694" spans="1:11" ht="28.5" customHeight="1">
      <c r="A694">
        <v>2020</v>
      </c>
      <c r="B694">
        <v>6</v>
      </c>
      <c r="C694">
        <v>4</v>
      </c>
      <c r="D694" t="s">
        <v>82</v>
      </c>
      <c r="E694" t="str">
        <f t="shared" si="40"/>
        <v>2020-Q6-4</v>
      </c>
      <c r="F694">
        <f t="shared" si="41"/>
        <v>1</v>
      </c>
      <c r="G694" t="s">
        <v>26</v>
      </c>
      <c r="H694">
        <f t="shared" si="42"/>
        <v>1</v>
      </c>
      <c r="I694" s="5">
        <f t="shared" si="43"/>
        <v>1</v>
      </c>
      <c r="J694" s="2" t="s">
        <v>1407</v>
      </c>
      <c r="K694" s="2" t="s">
        <v>1408</v>
      </c>
    </row>
    <row r="695" spans="1:11" ht="28.5" customHeight="1">
      <c r="A695">
        <v>2020</v>
      </c>
      <c r="B695">
        <v>7</v>
      </c>
      <c r="C695">
        <v>0</v>
      </c>
      <c r="D695" t="s">
        <v>82</v>
      </c>
      <c r="E695" t="str">
        <f t="shared" si="40"/>
        <v>2020-Q7-0</v>
      </c>
      <c r="F695">
        <f t="shared" si="41"/>
        <v>1</v>
      </c>
      <c r="G695" t="s">
        <v>44</v>
      </c>
      <c r="H695">
        <f t="shared" si="42"/>
        <v>1</v>
      </c>
      <c r="I695" s="5">
        <f t="shared" si="43"/>
        <v>1</v>
      </c>
      <c r="J695" s="2" t="s">
        <v>1409</v>
      </c>
      <c r="K695" s="2" t="s">
        <v>1410</v>
      </c>
    </row>
    <row r="696" spans="1:11">
      <c r="A696">
        <v>2020</v>
      </c>
      <c r="B696">
        <v>7</v>
      </c>
      <c r="C696">
        <v>1</v>
      </c>
      <c r="D696" t="s">
        <v>82</v>
      </c>
      <c r="E696" t="str">
        <f t="shared" si="40"/>
        <v>2020-Q7-1</v>
      </c>
      <c r="F696">
        <f t="shared" si="41"/>
        <v>1</v>
      </c>
      <c r="G696" t="s">
        <v>47</v>
      </c>
      <c r="H696">
        <f t="shared" si="42"/>
        <v>1</v>
      </c>
      <c r="I696" s="5">
        <f t="shared" si="43"/>
        <v>1</v>
      </c>
      <c r="J696" s="2" t="s">
        <v>1411</v>
      </c>
      <c r="K696" s="2" t="s">
        <v>1412</v>
      </c>
    </row>
    <row r="697" spans="1:11">
      <c r="A697">
        <v>2020</v>
      </c>
      <c r="B697">
        <v>7</v>
      </c>
      <c r="C697">
        <v>2</v>
      </c>
      <c r="D697" t="s">
        <v>82</v>
      </c>
      <c r="E697" t="str">
        <f t="shared" si="40"/>
        <v>2020-Q7-2</v>
      </c>
      <c r="F697">
        <f t="shared" si="41"/>
        <v>1</v>
      </c>
      <c r="G697" t="s">
        <v>47</v>
      </c>
      <c r="H697">
        <f t="shared" si="42"/>
        <v>1</v>
      </c>
      <c r="I697" s="5">
        <f t="shared" si="43"/>
        <v>1</v>
      </c>
      <c r="J697" s="2" t="s">
        <v>1413</v>
      </c>
      <c r="K697" s="2" t="s">
        <v>1414</v>
      </c>
    </row>
    <row r="698" spans="1:11" ht="28.5" customHeight="1">
      <c r="A698">
        <v>2020</v>
      </c>
      <c r="B698">
        <v>7</v>
      </c>
      <c r="C698">
        <v>3</v>
      </c>
      <c r="D698" t="s">
        <v>82</v>
      </c>
      <c r="E698" t="str">
        <f t="shared" si="40"/>
        <v>2020-Q7-3</v>
      </c>
      <c r="F698">
        <f t="shared" si="41"/>
        <v>1</v>
      </c>
      <c r="G698" t="s">
        <v>20</v>
      </c>
      <c r="H698">
        <f t="shared" si="42"/>
        <v>2</v>
      </c>
      <c r="I698" s="5">
        <f t="shared" si="43"/>
        <v>0.5</v>
      </c>
      <c r="J698" s="2" t="s">
        <v>1415</v>
      </c>
      <c r="K698" s="2" t="s">
        <v>1416</v>
      </c>
    </row>
    <row r="699" spans="1:11" ht="28.5" customHeight="1">
      <c r="A699">
        <v>2020</v>
      </c>
      <c r="B699">
        <v>7</v>
      </c>
      <c r="C699">
        <v>3</v>
      </c>
      <c r="D699" t="s">
        <v>82</v>
      </c>
      <c r="E699" t="str">
        <f t="shared" si="40"/>
        <v>2020-Q7-3</v>
      </c>
      <c r="F699">
        <f t="shared" si="41"/>
        <v>1</v>
      </c>
      <c r="G699" t="s">
        <v>35</v>
      </c>
      <c r="H699">
        <f t="shared" si="42"/>
        <v>2</v>
      </c>
      <c r="I699" s="5">
        <f t="shared" si="43"/>
        <v>0.5</v>
      </c>
      <c r="J699" s="2" t="s">
        <v>1415</v>
      </c>
      <c r="K699" s="2" t="s">
        <v>1416</v>
      </c>
    </row>
    <row r="700" spans="1:11" ht="28.5" customHeight="1">
      <c r="A700">
        <v>2020</v>
      </c>
      <c r="B700">
        <v>7</v>
      </c>
      <c r="C700">
        <v>4</v>
      </c>
      <c r="D700" t="s">
        <v>82</v>
      </c>
      <c r="E700" t="str">
        <f t="shared" si="40"/>
        <v>2020-Q7-4</v>
      </c>
      <c r="F700">
        <f t="shared" si="41"/>
        <v>1</v>
      </c>
      <c r="G700" t="s">
        <v>44</v>
      </c>
      <c r="H700">
        <f t="shared" si="42"/>
        <v>1</v>
      </c>
      <c r="I700" s="5">
        <f t="shared" si="43"/>
        <v>1</v>
      </c>
      <c r="J700" s="2" t="s">
        <v>1417</v>
      </c>
      <c r="K700" s="2" t="s">
        <v>1418</v>
      </c>
    </row>
    <row r="701" spans="1:11">
      <c r="A701">
        <v>2020</v>
      </c>
      <c r="B701">
        <v>8</v>
      </c>
      <c r="C701">
        <v>0</v>
      </c>
      <c r="D701" t="s">
        <v>82</v>
      </c>
      <c r="E701" t="str">
        <f t="shared" si="40"/>
        <v>2020-Q8-0</v>
      </c>
      <c r="F701">
        <f t="shared" si="41"/>
        <v>1</v>
      </c>
      <c r="G701" t="s">
        <v>32</v>
      </c>
      <c r="H701">
        <f t="shared" si="42"/>
        <v>1</v>
      </c>
      <c r="I701" s="5">
        <f t="shared" si="43"/>
        <v>1</v>
      </c>
      <c r="J701" s="2" t="s">
        <v>1419</v>
      </c>
      <c r="K701" s="2" t="s">
        <v>1420</v>
      </c>
    </row>
    <row r="702" spans="1:11" ht="28.5" customHeight="1">
      <c r="A702">
        <v>2020</v>
      </c>
      <c r="B702">
        <v>8</v>
      </c>
      <c r="C702">
        <v>1</v>
      </c>
      <c r="D702" t="s">
        <v>82</v>
      </c>
      <c r="E702" t="str">
        <f t="shared" si="40"/>
        <v>2020-Q8-1</v>
      </c>
      <c r="F702">
        <f t="shared" si="41"/>
        <v>1</v>
      </c>
      <c r="G702" t="s">
        <v>35</v>
      </c>
      <c r="H702">
        <f t="shared" si="42"/>
        <v>1</v>
      </c>
      <c r="I702" s="5">
        <f t="shared" si="43"/>
        <v>1</v>
      </c>
      <c r="J702" s="2" t="s">
        <v>1421</v>
      </c>
      <c r="K702" s="2" t="s">
        <v>1422</v>
      </c>
    </row>
    <row r="703" spans="1:11">
      <c r="A703">
        <v>2020</v>
      </c>
      <c r="B703">
        <v>8</v>
      </c>
      <c r="C703">
        <v>2</v>
      </c>
      <c r="D703" t="s">
        <v>82</v>
      </c>
      <c r="E703" t="str">
        <f t="shared" si="40"/>
        <v>2020-Q8-2</v>
      </c>
      <c r="F703">
        <f t="shared" si="41"/>
        <v>1</v>
      </c>
      <c r="G703" t="s">
        <v>38</v>
      </c>
      <c r="H703">
        <f t="shared" si="42"/>
        <v>1</v>
      </c>
      <c r="I703" s="5">
        <f t="shared" si="43"/>
        <v>1</v>
      </c>
      <c r="J703" s="2" t="s">
        <v>1423</v>
      </c>
      <c r="K703" s="2" t="s">
        <v>1424</v>
      </c>
    </row>
    <row r="704" spans="1:11" ht="28.5" customHeight="1">
      <c r="A704">
        <v>2020</v>
      </c>
      <c r="B704">
        <v>8</v>
      </c>
      <c r="C704">
        <v>3</v>
      </c>
      <c r="D704" t="s">
        <v>82</v>
      </c>
      <c r="E704" t="str">
        <f t="shared" si="40"/>
        <v>2020-Q8-3</v>
      </c>
      <c r="F704">
        <f t="shared" si="41"/>
        <v>1</v>
      </c>
      <c r="G704" t="s">
        <v>35</v>
      </c>
      <c r="H704">
        <f t="shared" si="42"/>
        <v>1</v>
      </c>
      <c r="I704" s="5">
        <f t="shared" si="43"/>
        <v>1</v>
      </c>
      <c r="J704" s="2" t="s">
        <v>1425</v>
      </c>
      <c r="K704" s="2" t="s">
        <v>1426</v>
      </c>
    </row>
    <row r="705" spans="1:11">
      <c r="A705">
        <v>2020</v>
      </c>
      <c r="B705">
        <v>8</v>
      </c>
      <c r="C705">
        <v>4</v>
      </c>
      <c r="D705" t="s">
        <v>82</v>
      </c>
      <c r="E705" t="str">
        <f t="shared" si="40"/>
        <v>2020-Q8-4</v>
      </c>
      <c r="F705">
        <f t="shared" si="41"/>
        <v>1</v>
      </c>
      <c r="G705" t="s">
        <v>38</v>
      </c>
      <c r="H705">
        <f t="shared" si="42"/>
        <v>1</v>
      </c>
      <c r="I705" s="5">
        <f t="shared" si="43"/>
        <v>1</v>
      </c>
      <c r="J705" s="2" t="s">
        <v>1427</v>
      </c>
      <c r="K705" s="2" t="s">
        <v>1428</v>
      </c>
    </row>
    <row r="706" spans="1:11" ht="28.5" customHeight="1">
      <c r="A706">
        <v>2020</v>
      </c>
      <c r="B706">
        <v>9</v>
      </c>
      <c r="C706">
        <v>0</v>
      </c>
      <c r="D706" t="s">
        <v>82</v>
      </c>
      <c r="E706" t="str">
        <f t="shared" si="40"/>
        <v>2020-Q9-0</v>
      </c>
      <c r="F706">
        <f t="shared" si="41"/>
        <v>1</v>
      </c>
      <c r="G706" t="s">
        <v>41</v>
      </c>
      <c r="H706">
        <f t="shared" si="42"/>
        <v>1</v>
      </c>
      <c r="I706" s="5">
        <f t="shared" si="43"/>
        <v>1</v>
      </c>
      <c r="J706" s="2" t="s">
        <v>1429</v>
      </c>
      <c r="K706" s="2" t="s">
        <v>1430</v>
      </c>
    </row>
    <row r="707" spans="1:11">
      <c r="A707">
        <v>2020</v>
      </c>
      <c r="B707">
        <v>9</v>
      </c>
      <c r="C707">
        <v>1</v>
      </c>
      <c r="D707" t="s">
        <v>82</v>
      </c>
      <c r="E707" t="str">
        <f t="shared" si="40"/>
        <v>2020-Q9-1</v>
      </c>
      <c r="F707">
        <f t="shared" si="41"/>
        <v>1</v>
      </c>
      <c r="G707" t="s">
        <v>41</v>
      </c>
      <c r="H707">
        <f t="shared" si="42"/>
        <v>1</v>
      </c>
      <c r="I707" s="5">
        <f t="shared" si="43"/>
        <v>1</v>
      </c>
      <c r="J707" s="2" t="s">
        <v>1431</v>
      </c>
      <c r="K707" s="2" t="s">
        <v>1432</v>
      </c>
    </row>
    <row r="708" spans="1:11">
      <c r="A708">
        <v>2020</v>
      </c>
      <c r="B708">
        <v>9</v>
      </c>
      <c r="C708">
        <v>2</v>
      </c>
      <c r="D708" t="s">
        <v>82</v>
      </c>
      <c r="E708" t="str">
        <f t="shared" si="40"/>
        <v>2020-Q9-2</v>
      </c>
      <c r="F708">
        <f t="shared" si="41"/>
        <v>1</v>
      </c>
      <c r="G708" t="s">
        <v>41</v>
      </c>
      <c r="H708">
        <f t="shared" si="42"/>
        <v>1</v>
      </c>
      <c r="I708" s="5">
        <f t="shared" si="43"/>
        <v>1</v>
      </c>
      <c r="J708" s="2" t="s">
        <v>1433</v>
      </c>
      <c r="K708" s="2" t="s">
        <v>1434</v>
      </c>
    </row>
    <row r="709" spans="1:11">
      <c r="A709">
        <v>2020</v>
      </c>
      <c r="B709">
        <v>9</v>
      </c>
      <c r="C709">
        <v>3</v>
      </c>
      <c r="D709" t="s">
        <v>82</v>
      </c>
      <c r="E709" t="str">
        <f t="shared" ref="E709:E772" si="44">IF(A709="","",TEXT(A709,"0")&amp;"-Q"&amp;TEXT(B709,"0")&amp;"-"&amp;IF(C709="","ABERTA",C709))</f>
        <v>2020-Q9-3</v>
      </c>
      <c r="F709">
        <f t="shared" ref="F709:F772" si="45">IF(D709="V/F",1,IF(D709="Aberta/numérica",5,""))</f>
        <v>1</v>
      </c>
      <c r="G709" t="s">
        <v>41</v>
      </c>
      <c r="H709">
        <f t="shared" ref="H709:H772" si="46">IF(A709="","",IF(C709="",COUNTIFS($A$5:$A$1504,A709,$B$5:$B$1504,B709,$C$5:$C$1504,"",$D$5:$D$1504,D709),COUNTIFS($A$5:$A$1504,A709,$B$5:$B$1504,B709,$C$5:$C$1504,C709,$D$5:$D$1504,D709)))</f>
        <v>1</v>
      </c>
      <c r="I709" s="5">
        <f t="shared" ref="I709:I772" si="47">IF(OR(F709="",H709="",G709=""),"",F709/H709)</f>
        <v>1</v>
      </c>
      <c r="J709" s="2" t="s">
        <v>1435</v>
      </c>
      <c r="K709" s="2" t="s">
        <v>1436</v>
      </c>
    </row>
    <row r="710" spans="1:11" ht="28.5" customHeight="1">
      <c r="A710">
        <v>2020</v>
      </c>
      <c r="B710">
        <v>9</v>
      </c>
      <c r="C710">
        <v>4</v>
      </c>
      <c r="D710" t="s">
        <v>82</v>
      </c>
      <c r="E710" t="str">
        <f t="shared" si="44"/>
        <v>2020-Q9-4</v>
      </c>
      <c r="F710">
        <f t="shared" si="45"/>
        <v>1</v>
      </c>
      <c r="G710" t="s">
        <v>41</v>
      </c>
      <c r="H710">
        <f t="shared" si="46"/>
        <v>1</v>
      </c>
      <c r="I710" s="5">
        <f t="shared" si="47"/>
        <v>1</v>
      </c>
      <c r="J710" s="2" t="s">
        <v>1437</v>
      </c>
      <c r="K710" s="2" t="s">
        <v>1438</v>
      </c>
    </row>
    <row r="711" spans="1:11" ht="28.5" customHeight="1">
      <c r="A711">
        <v>2020</v>
      </c>
      <c r="B711">
        <v>10</v>
      </c>
      <c r="C711">
        <v>0</v>
      </c>
      <c r="D711" t="s">
        <v>82</v>
      </c>
      <c r="E711" t="str">
        <f t="shared" si="44"/>
        <v>2020-Q10-0</v>
      </c>
      <c r="F711">
        <f t="shared" si="45"/>
        <v>1</v>
      </c>
      <c r="G711" t="s">
        <v>23</v>
      </c>
      <c r="H711">
        <f t="shared" si="46"/>
        <v>1</v>
      </c>
      <c r="I711" s="5">
        <f t="shared" si="47"/>
        <v>1</v>
      </c>
      <c r="J711" s="2" t="s">
        <v>1439</v>
      </c>
      <c r="K711" s="2" t="s">
        <v>1440</v>
      </c>
    </row>
    <row r="712" spans="1:11" ht="28.5" customHeight="1">
      <c r="A712">
        <v>2020</v>
      </c>
      <c r="B712">
        <v>10</v>
      </c>
      <c r="C712">
        <v>1</v>
      </c>
      <c r="D712" t="s">
        <v>82</v>
      </c>
      <c r="E712" t="str">
        <f t="shared" si="44"/>
        <v>2020-Q10-1</v>
      </c>
      <c r="F712">
        <f t="shared" si="45"/>
        <v>1</v>
      </c>
      <c r="G712" t="s">
        <v>23</v>
      </c>
      <c r="H712">
        <f t="shared" si="46"/>
        <v>1</v>
      </c>
      <c r="I712" s="5">
        <f t="shared" si="47"/>
        <v>1</v>
      </c>
      <c r="J712" s="2" t="s">
        <v>1441</v>
      </c>
      <c r="K712" s="2" t="s">
        <v>1442</v>
      </c>
    </row>
    <row r="713" spans="1:11" ht="28.5" customHeight="1">
      <c r="A713">
        <v>2020</v>
      </c>
      <c r="B713">
        <v>10</v>
      </c>
      <c r="C713">
        <v>2</v>
      </c>
      <c r="D713" t="s">
        <v>82</v>
      </c>
      <c r="E713" t="str">
        <f t="shared" si="44"/>
        <v>2020-Q10-2</v>
      </c>
      <c r="F713">
        <f t="shared" si="45"/>
        <v>1</v>
      </c>
      <c r="G713" t="s">
        <v>23</v>
      </c>
      <c r="H713">
        <f t="shared" si="46"/>
        <v>1</v>
      </c>
      <c r="I713" s="5">
        <f t="shared" si="47"/>
        <v>1</v>
      </c>
      <c r="J713" s="2" t="s">
        <v>1443</v>
      </c>
      <c r="K713" s="2" t="s">
        <v>1444</v>
      </c>
    </row>
    <row r="714" spans="1:11" ht="28.5" customHeight="1">
      <c r="A714">
        <v>2020</v>
      </c>
      <c r="B714">
        <v>10</v>
      </c>
      <c r="C714">
        <v>3</v>
      </c>
      <c r="D714" t="s">
        <v>82</v>
      </c>
      <c r="E714" t="str">
        <f t="shared" si="44"/>
        <v>2020-Q10-3</v>
      </c>
      <c r="F714">
        <f t="shared" si="45"/>
        <v>1</v>
      </c>
      <c r="G714" t="s">
        <v>23</v>
      </c>
      <c r="H714">
        <f t="shared" si="46"/>
        <v>1</v>
      </c>
      <c r="I714" s="5">
        <f t="shared" si="47"/>
        <v>1</v>
      </c>
      <c r="J714" s="2" t="s">
        <v>1445</v>
      </c>
      <c r="K714" s="2" t="s">
        <v>1446</v>
      </c>
    </row>
    <row r="715" spans="1:11" ht="28.5" customHeight="1">
      <c r="A715">
        <v>2020</v>
      </c>
      <c r="B715">
        <v>10</v>
      </c>
      <c r="C715">
        <v>4</v>
      </c>
      <c r="D715" t="s">
        <v>82</v>
      </c>
      <c r="E715" t="str">
        <f t="shared" si="44"/>
        <v>2020-Q10-4</v>
      </c>
      <c r="F715">
        <f t="shared" si="45"/>
        <v>1</v>
      </c>
      <c r="G715" t="s">
        <v>23</v>
      </c>
      <c r="H715">
        <f t="shared" si="46"/>
        <v>1</v>
      </c>
      <c r="I715" s="5">
        <f t="shared" si="47"/>
        <v>1</v>
      </c>
      <c r="J715" s="2" t="s">
        <v>1447</v>
      </c>
      <c r="K715" s="2" t="s">
        <v>1448</v>
      </c>
    </row>
    <row r="716" spans="1:11" ht="28.5" customHeight="1">
      <c r="A716">
        <v>2020</v>
      </c>
      <c r="B716">
        <v>11</v>
      </c>
      <c r="C716">
        <v>0</v>
      </c>
      <c r="D716" t="s">
        <v>82</v>
      </c>
      <c r="E716" t="str">
        <f t="shared" si="44"/>
        <v>2020-Q11-0</v>
      </c>
      <c r="F716">
        <f t="shared" si="45"/>
        <v>1</v>
      </c>
      <c r="G716" t="s">
        <v>8</v>
      </c>
      <c r="H716">
        <f t="shared" si="46"/>
        <v>1</v>
      </c>
      <c r="I716" s="5">
        <f t="shared" si="47"/>
        <v>1</v>
      </c>
      <c r="J716" s="2" t="s">
        <v>1449</v>
      </c>
      <c r="K716" s="2" t="s">
        <v>1450</v>
      </c>
    </row>
    <row r="717" spans="1:11" ht="28.5" customHeight="1">
      <c r="A717">
        <v>2020</v>
      </c>
      <c r="B717">
        <v>11</v>
      </c>
      <c r="C717">
        <v>1</v>
      </c>
      <c r="D717" t="s">
        <v>82</v>
      </c>
      <c r="E717" t="str">
        <f t="shared" si="44"/>
        <v>2020-Q11-1</v>
      </c>
      <c r="F717">
        <f t="shared" si="45"/>
        <v>1</v>
      </c>
      <c r="G717" t="s">
        <v>8</v>
      </c>
      <c r="H717">
        <f t="shared" si="46"/>
        <v>1</v>
      </c>
      <c r="I717" s="5">
        <f t="shared" si="47"/>
        <v>1</v>
      </c>
      <c r="J717" s="2" t="s">
        <v>1451</v>
      </c>
      <c r="K717" s="2" t="s">
        <v>1452</v>
      </c>
    </row>
    <row r="718" spans="1:11" ht="28.5" customHeight="1">
      <c r="A718">
        <v>2020</v>
      </c>
      <c r="B718">
        <v>11</v>
      </c>
      <c r="C718">
        <v>2</v>
      </c>
      <c r="D718" t="s">
        <v>82</v>
      </c>
      <c r="E718" t="str">
        <f t="shared" si="44"/>
        <v>2020-Q11-2</v>
      </c>
      <c r="F718">
        <f t="shared" si="45"/>
        <v>1</v>
      </c>
      <c r="G718" t="s">
        <v>8</v>
      </c>
      <c r="H718">
        <f t="shared" si="46"/>
        <v>1</v>
      </c>
      <c r="I718" s="5">
        <f t="shared" si="47"/>
        <v>1</v>
      </c>
      <c r="J718" s="2" t="s">
        <v>1453</v>
      </c>
      <c r="K718" s="2" t="s">
        <v>1454</v>
      </c>
    </row>
    <row r="719" spans="1:11" ht="28.5" customHeight="1">
      <c r="A719">
        <v>2020</v>
      </c>
      <c r="B719">
        <v>11</v>
      </c>
      <c r="C719">
        <v>3</v>
      </c>
      <c r="D719" t="s">
        <v>82</v>
      </c>
      <c r="E719" t="str">
        <f t="shared" si="44"/>
        <v>2020-Q11-3</v>
      </c>
      <c r="F719">
        <f t="shared" si="45"/>
        <v>1</v>
      </c>
      <c r="G719" t="s">
        <v>8</v>
      </c>
      <c r="H719">
        <f t="shared" si="46"/>
        <v>1</v>
      </c>
      <c r="I719" s="5">
        <f t="shared" si="47"/>
        <v>1</v>
      </c>
      <c r="J719" s="2" t="s">
        <v>1455</v>
      </c>
      <c r="K719" s="2" t="s">
        <v>1456</v>
      </c>
    </row>
    <row r="720" spans="1:11" ht="42.75" customHeight="1">
      <c r="A720">
        <v>2020</v>
      </c>
      <c r="B720">
        <v>11</v>
      </c>
      <c r="C720">
        <v>4</v>
      </c>
      <c r="D720" t="s">
        <v>82</v>
      </c>
      <c r="E720" t="str">
        <f t="shared" si="44"/>
        <v>2020-Q11-4</v>
      </c>
      <c r="F720">
        <f t="shared" si="45"/>
        <v>1</v>
      </c>
      <c r="G720" t="s">
        <v>57</v>
      </c>
      <c r="H720">
        <f t="shared" si="46"/>
        <v>1</v>
      </c>
      <c r="I720" s="5">
        <f t="shared" si="47"/>
        <v>1</v>
      </c>
      <c r="J720" s="2" t="s">
        <v>1457</v>
      </c>
      <c r="K720" s="2" t="s">
        <v>1458</v>
      </c>
    </row>
    <row r="721" spans="1:11" ht="28.5" customHeight="1">
      <c r="A721">
        <v>2020</v>
      </c>
      <c r="B721">
        <v>12</v>
      </c>
      <c r="C721">
        <v>0</v>
      </c>
      <c r="D721" t="s">
        <v>82</v>
      </c>
      <c r="E721" t="str">
        <f t="shared" si="44"/>
        <v>2020-Q12-0</v>
      </c>
      <c r="F721">
        <f t="shared" si="45"/>
        <v>1</v>
      </c>
      <c r="G721" t="s">
        <v>32</v>
      </c>
      <c r="H721">
        <f t="shared" si="46"/>
        <v>1</v>
      </c>
      <c r="I721" s="5">
        <f t="shared" si="47"/>
        <v>1</v>
      </c>
      <c r="J721" s="2" t="s">
        <v>1459</v>
      </c>
      <c r="K721" s="2" t="s">
        <v>1460</v>
      </c>
    </row>
    <row r="722" spans="1:11" ht="28.5" customHeight="1">
      <c r="A722">
        <v>2020</v>
      </c>
      <c r="B722">
        <v>12</v>
      </c>
      <c r="C722">
        <v>1</v>
      </c>
      <c r="D722" t="s">
        <v>82</v>
      </c>
      <c r="E722" t="str">
        <f t="shared" si="44"/>
        <v>2020-Q12-1</v>
      </c>
      <c r="F722">
        <f t="shared" si="45"/>
        <v>1</v>
      </c>
      <c r="G722" t="s">
        <v>35</v>
      </c>
      <c r="H722">
        <f t="shared" si="46"/>
        <v>1</v>
      </c>
      <c r="I722" s="5">
        <f t="shared" si="47"/>
        <v>1</v>
      </c>
      <c r="J722" s="2" t="s">
        <v>1461</v>
      </c>
      <c r="K722" s="2" t="s">
        <v>1462</v>
      </c>
    </row>
    <row r="723" spans="1:11" ht="28.5" customHeight="1">
      <c r="A723">
        <v>2020</v>
      </c>
      <c r="B723">
        <v>12</v>
      </c>
      <c r="C723">
        <v>2</v>
      </c>
      <c r="D723" t="s">
        <v>82</v>
      </c>
      <c r="E723" t="str">
        <f t="shared" si="44"/>
        <v>2020-Q12-2</v>
      </c>
      <c r="F723">
        <f t="shared" si="45"/>
        <v>1</v>
      </c>
      <c r="G723" t="s">
        <v>32</v>
      </c>
      <c r="H723">
        <f t="shared" si="46"/>
        <v>1</v>
      </c>
      <c r="I723" s="5">
        <f t="shared" si="47"/>
        <v>1</v>
      </c>
      <c r="J723" s="2" t="s">
        <v>1463</v>
      </c>
      <c r="K723" s="2" t="s">
        <v>1464</v>
      </c>
    </row>
    <row r="724" spans="1:11" ht="28.5" customHeight="1">
      <c r="A724">
        <v>2020</v>
      </c>
      <c r="B724">
        <v>12</v>
      </c>
      <c r="C724">
        <v>3</v>
      </c>
      <c r="D724" t="s">
        <v>82</v>
      </c>
      <c r="E724" t="str">
        <f t="shared" si="44"/>
        <v>2020-Q12-3</v>
      </c>
      <c r="F724">
        <f t="shared" si="45"/>
        <v>1</v>
      </c>
      <c r="G724" t="s">
        <v>32</v>
      </c>
      <c r="H724">
        <f t="shared" si="46"/>
        <v>1</v>
      </c>
      <c r="I724" s="5">
        <f t="shared" si="47"/>
        <v>1</v>
      </c>
      <c r="J724" s="2" t="s">
        <v>1465</v>
      </c>
      <c r="K724" s="2" t="s">
        <v>1466</v>
      </c>
    </row>
    <row r="725" spans="1:11" ht="28.5" customHeight="1">
      <c r="A725">
        <v>2020</v>
      </c>
      <c r="B725">
        <v>12</v>
      </c>
      <c r="C725">
        <v>4</v>
      </c>
      <c r="D725" t="s">
        <v>82</v>
      </c>
      <c r="E725" t="str">
        <f t="shared" si="44"/>
        <v>2020-Q12-4</v>
      </c>
      <c r="F725">
        <f t="shared" si="45"/>
        <v>1</v>
      </c>
      <c r="G725" t="s">
        <v>35</v>
      </c>
      <c r="H725">
        <f t="shared" si="46"/>
        <v>1</v>
      </c>
      <c r="I725" s="5">
        <f t="shared" si="47"/>
        <v>1</v>
      </c>
      <c r="J725" s="2" t="s">
        <v>1467</v>
      </c>
      <c r="K725" s="2" t="s">
        <v>1468</v>
      </c>
    </row>
    <row r="726" spans="1:11" ht="28.5" customHeight="1">
      <c r="A726">
        <v>2020</v>
      </c>
      <c r="B726">
        <v>13</v>
      </c>
      <c r="D726" t="s">
        <v>193</v>
      </c>
      <c r="E726" t="str">
        <f t="shared" si="44"/>
        <v>2020-Q13-ABERTA</v>
      </c>
      <c r="F726">
        <f t="shared" si="45"/>
        <v>5</v>
      </c>
      <c r="G726" t="s">
        <v>44</v>
      </c>
      <c r="H726">
        <f t="shared" si="46"/>
        <v>1</v>
      </c>
      <c r="I726" s="5">
        <f t="shared" si="47"/>
        <v>5</v>
      </c>
      <c r="J726" s="2" t="s">
        <v>1469</v>
      </c>
      <c r="K726" s="2" t="s">
        <v>1470</v>
      </c>
    </row>
    <row r="727" spans="1:11" ht="28.5" customHeight="1">
      <c r="A727">
        <v>2020</v>
      </c>
      <c r="B727">
        <v>14</v>
      </c>
      <c r="D727" t="s">
        <v>193</v>
      </c>
      <c r="E727" t="str">
        <f t="shared" si="44"/>
        <v>2020-Q14-ABERTA</v>
      </c>
      <c r="F727">
        <f t="shared" si="45"/>
        <v>5</v>
      </c>
      <c r="G727" t="s">
        <v>50</v>
      </c>
      <c r="H727">
        <f t="shared" si="46"/>
        <v>1</v>
      </c>
      <c r="I727" s="5">
        <f t="shared" si="47"/>
        <v>5</v>
      </c>
      <c r="J727" s="2" t="s">
        <v>1471</v>
      </c>
      <c r="K727" s="2" t="s">
        <v>1472</v>
      </c>
    </row>
    <row r="728" spans="1:11" ht="28.5" customHeight="1">
      <c r="A728">
        <v>2020</v>
      </c>
      <c r="B728">
        <v>15</v>
      </c>
      <c r="D728" t="s">
        <v>193</v>
      </c>
      <c r="E728" t="str">
        <f t="shared" si="44"/>
        <v>2020-Q15-ABERTA</v>
      </c>
      <c r="F728">
        <f t="shared" si="45"/>
        <v>5</v>
      </c>
      <c r="G728" t="s">
        <v>17</v>
      </c>
      <c r="H728">
        <f t="shared" si="46"/>
        <v>2</v>
      </c>
      <c r="I728" s="5">
        <f t="shared" si="47"/>
        <v>2.5</v>
      </c>
      <c r="J728" s="2" t="s">
        <v>1473</v>
      </c>
      <c r="K728" s="2" t="s">
        <v>1474</v>
      </c>
    </row>
    <row r="729" spans="1:11" ht="28.5" customHeight="1">
      <c r="A729">
        <v>2020</v>
      </c>
      <c r="B729">
        <v>15</v>
      </c>
      <c r="D729" t="s">
        <v>193</v>
      </c>
      <c r="E729" t="str">
        <f t="shared" si="44"/>
        <v>2020-Q15-ABERTA</v>
      </c>
      <c r="F729">
        <f t="shared" si="45"/>
        <v>5</v>
      </c>
      <c r="G729" t="s">
        <v>26</v>
      </c>
      <c r="H729">
        <f t="shared" si="46"/>
        <v>2</v>
      </c>
      <c r="I729" s="5">
        <f t="shared" si="47"/>
        <v>2.5</v>
      </c>
      <c r="J729" s="2" t="s">
        <v>1473</v>
      </c>
      <c r="K729" s="2" t="s">
        <v>1474</v>
      </c>
    </row>
    <row r="730" spans="1:11">
      <c r="A730">
        <v>2021</v>
      </c>
      <c r="B730">
        <v>1</v>
      </c>
      <c r="C730">
        <v>0</v>
      </c>
      <c r="D730" t="s">
        <v>82</v>
      </c>
      <c r="E730" t="str">
        <f t="shared" si="44"/>
        <v>2021-Q1-0</v>
      </c>
      <c r="F730">
        <f t="shared" si="45"/>
        <v>1</v>
      </c>
      <c r="G730" t="s">
        <v>50</v>
      </c>
      <c r="H730">
        <f t="shared" si="46"/>
        <v>1</v>
      </c>
      <c r="I730" s="5">
        <f t="shared" si="47"/>
        <v>1</v>
      </c>
      <c r="J730" s="2" t="s">
        <v>1475</v>
      </c>
      <c r="K730" s="2" t="s">
        <v>1476</v>
      </c>
    </row>
    <row r="731" spans="1:11" ht="28.5" customHeight="1">
      <c r="A731">
        <v>2021</v>
      </c>
      <c r="B731">
        <v>1</v>
      </c>
      <c r="C731">
        <v>1</v>
      </c>
      <c r="D731" t="s">
        <v>82</v>
      </c>
      <c r="E731" t="str">
        <f t="shared" si="44"/>
        <v>2021-Q1-1</v>
      </c>
      <c r="F731">
        <f t="shared" si="45"/>
        <v>1</v>
      </c>
      <c r="G731" t="s">
        <v>11</v>
      </c>
      <c r="H731">
        <f t="shared" si="46"/>
        <v>1</v>
      </c>
      <c r="I731" s="5">
        <f t="shared" si="47"/>
        <v>1</v>
      </c>
      <c r="J731" s="2" t="s">
        <v>1477</v>
      </c>
      <c r="K731" s="2" t="s">
        <v>1478</v>
      </c>
    </row>
    <row r="732" spans="1:11" ht="28.5" customHeight="1">
      <c r="A732">
        <v>2021</v>
      </c>
      <c r="B732">
        <v>1</v>
      </c>
      <c r="C732">
        <v>2</v>
      </c>
      <c r="D732" t="s">
        <v>82</v>
      </c>
      <c r="E732" t="str">
        <f t="shared" si="44"/>
        <v>2021-Q1-2</v>
      </c>
      <c r="F732">
        <f t="shared" si="45"/>
        <v>1</v>
      </c>
      <c r="G732" t="s">
        <v>8</v>
      </c>
      <c r="H732">
        <f t="shared" si="46"/>
        <v>1</v>
      </c>
      <c r="I732" s="5">
        <f t="shared" si="47"/>
        <v>1</v>
      </c>
      <c r="J732" s="2" t="s">
        <v>1479</v>
      </c>
      <c r="K732" s="2" t="s">
        <v>1480</v>
      </c>
    </row>
    <row r="733" spans="1:11" ht="42.75" customHeight="1">
      <c r="A733">
        <v>2021</v>
      </c>
      <c r="B733">
        <v>1</v>
      </c>
      <c r="C733">
        <v>3</v>
      </c>
      <c r="D733" t="s">
        <v>82</v>
      </c>
      <c r="E733" t="str">
        <f t="shared" si="44"/>
        <v>2021-Q1-3</v>
      </c>
      <c r="F733">
        <f t="shared" si="45"/>
        <v>1</v>
      </c>
      <c r="G733" t="s">
        <v>26</v>
      </c>
      <c r="H733">
        <f t="shared" si="46"/>
        <v>1</v>
      </c>
      <c r="I733" s="5">
        <f t="shared" si="47"/>
        <v>1</v>
      </c>
      <c r="J733" s="2" t="s">
        <v>1481</v>
      </c>
      <c r="K733" s="2" t="s">
        <v>1482</v>
      </c>
    </row>
    <row r="734" spans="1:11" ht="28.5" customHeight="1">
      <c r="A734">
        <v>2021</v>
      </c>
      <c r="B734">
        <v>1</v>
      </c>
      <c r="C734">
        <v>4</v>
      </c>
      <c r="D734" t="s">
        <v>82</v>
      </c>
      <c r="E734" t="str">
        <f t="shared" si="44"/>
        <v>2021-Q1-4</v>
      </c>
      <c r="F734">
        <f t="shared" si="45"/>
        <v>1</v>
      </c>
      <c r="G734" t="s">
        <v>8</v>
      </c>
      <c r="H734">
        <f t="shared" si="46"/>
        <v>1</v>
      </c>
      <c r="I734" s="5">
        <f t="shared" si="47"/>
        <v>1</v>
      </c>
      <c r="J734" s="2" t="s">
        <v>1483</v>
      </c>
      <c r="K734" s="2" t="s">
        <v>1484</v>
      </c>
    </row>
    <row r="735" spans="1:11" ht="28.5" customHeight="1">
      <c r="A735">
        <v>2021</v>
      </c>
      <c r="B735">
        <v>2</v>
      </c>
      <c r="C735">
        <v>0</v>
      </c>
      <c r="D735" t="s">
        <v>82</v>
      </c>
      <c r="E735" t="str">
        <f t="shared" si="44"/>
        <v>2021-Q2-0</v>
      </c>
      <c r="F735">
        <f t="shared" si="45"/>
        <v>1</v>
      </c>
      <c r="G735" t="s">
        <v>17</v>
      </c>
      <c r="H735">
        <f t="shared" si="46"/>
        <v>1</v>
      </c>
      <c r="I735" s="5">
        <f t="shared" si="47"/>
        <v>1</v>
      </c>
      <c r="J735" s="2" t="s">
        <v>1485</v>
      </c>
      <c r="K735" s="2" t="s">
        <v>1486</v>
      </c>
    </row>
    <row r="736" spans="1:11" ht="28.5" customHeight="1">
      <c r="A736">
        <v>2021</v>
      </c>
      <c r="B736">
        <v>2</v>
      </c>
      <c r="C736">
        <v>1</v>
      </c>
      <c r="D736" t="s">
        <v>82</v>
      </c>
      <c r="E736" t="str">
        <f t="shared" si="44"/>
        <v>2021-Q2-1</v>
      </c>
      <c r="F736">
        <f t="shared" si="45"/>
        <v>1</v>
      </c>
      <c r="G736" t="s">
        <v>17</v>
      </c>
      <c r="H736">
        <f t="shared" si="46"/>
        <v>1</v>
      </c>
      <c r="I736" s="5">
        <f t="shared" si="47"/>
        <v>1</v>
      </c>
      <c r="J736" s="2" t="s">
        <v>1487</v>
      </c>
      <c r="K736" s="2" t="s">
        <v>1488</v>
      </c>
    </row>
    <row r="737" spans="1:11">
      <c r="A737">
        <v>2021</v>
      </c>
      <c r="B737">
        <v>2</v>
      </c>
      <c r="C737">
        <v>2</v>
      </c>
      <c r="D737" t="s">
        <v>82</v>
      </c>
      <c r="E737" t="str">
        <f t="shared" si="44"/>
        <v>2021-Q2-2</v>
      </c>
      <c r="F737">
        <f t="shared" si="45"/>
        <v>1</v>
      </c>
      <c r="G737" t="s">
        <v>17</v>
      </c>
      <c r="H737">
        <f t="shared" si="46"/>
        <v>1</v>
      </c>
      <c r="I737" s="5">
        <f t="shared" si="47"/>
        <v>1</v>
      </c>
      <c r="J737" s="2" t="s">
        <v>1489</v>
      </c>
      <c r="K737" s="2" t="s">
        <v>1490</v>
      </c>
    </row>
    <row r="738" spans="1:11" ht="28.5" customHeight="1">
      <c r="A738">
        <v>2021</v>
      </c>
      <c r="B738">
        <v>2</v>
      </c>
      <c r="C738">
        <v>3</v>
      </c>
      <c r="D738" t="s">
        <v>82</v>
      </c>
      <c r="E738" t="str">
        <f t="shared" si="44"/>
        <v>2021-Q2-3</v>
      </c>
      <c r="F738">
        <f t="shared" si="45"/>
        <v>1</v>
      </c>
      <c r="G738" t="s">
        <v>17</v>
      </c>
      <c r="H738">
        <f t="shared" si="46"/>
        <v>1</v>
      </c>
      <c r="I738" s="5">
        <f t="shared" si="47"/>
        <v>1</v>
      </c>
      <c r="J738" s="2" t="s">
        <v>1491</v>
      </c>
      <c r="K738" s="2" t="s">
        <v>1492</v>
      </c>
    </row>
    <row r="739" spans="1:11" ht="28.5" customHeight="1">
      <c r="A739">
        <v>2021</v>
      </c>
      <c r="B739">
        <v>2</v>
      </c>
      <c r="C739">
        <v>4</v>
      </c>
      <c r="D739" t="s">
        <v>82</v>
      </c>
      <c r="E739" t="str">
        <f t="shared" si="44"/>
        <v>2021-Q2-4</v>
      </c>
      <c r="F739">
        <f t="shared" si="45"/>
        <v>1</v>
      </c>
      <c r="G739" t="s">
        <v>17</v>
      </c>
      <c r="H739">
        <f t="shared" si="46"/>
        <v>1</v>
      </c>
      <c r="I739" s="5">
        <f t="shared" si="47"/>
        <v>1</v>
      </c>
      <c r="J739" s="2" t="s">
        <v>1493</v>
      </c>
      <c r="K739" s="2" t="s">
        <v>1494</v>
      </c>
    </row>
    <row r="740" spans="1:11" ht="28.5" customHeight="1">
      <c r="A740">
        <v>2021</v>
      </c>
      <c r="B740">
        <v>3</v>
      </c>
      <c r="C740">
        <v>0</v>
      </c>
      <c r="D740" t="s">
        <v>82</v>
      </c>
      <c r="E740" t="str">
        <f t="shared" si="44"/>
        <v>2021-Q3-0</v>
      </c>
      <c r="F740">
        <f t="shared" si="45"/>
        <v>1</v>
      </c>
      <c r="G740" t="s">
        <v>20</v>
      </c>
      <c r="H740">
        <f t="shared" si="46"/>
        <v>2</v>
      </c>
      <c r="I740" s="5">
        <f t="shared" si="47"/>
        <v>0.5</v>
      </c>
      <c r="J740" s="2" t="s">
        <v>763</v>
      </c>
      <c r="K740" s="2" t="s">
        <v>1495</v>
      </c>
    </row>
    <row r="741" spans="1:11" ht="28.5" customHeight="1">
      <c r="A741">
        <v>2021</v>
      </c>
      <c r="B741">
        <v>3</v>
      </c>
      <c r="C741">
        <v>0</v>
      </c>
      <c r="D741" t="s">
        <v>82</v>
      </c>
      <c r="E741" t="str">
        <f t="shared" si="44"/>
        <v>2021-Q3-0</v>
      </c>
      <c r="F741">
        <f t="shared" si="45"/>
        <v>1</v>
      </c>
      <c r="G741" t="s">
        <v>35</v>
      </c>
      <c r="H741">
        <f t="shared" si="46"/>
        <v>2</v>
      </c>
      <c r="I741" s="5">
        <f t="shared" si="47"/>
        <v>0.5</v>
      </c>
      <c r="J741" s="2" t="s">
        <v>763</v>
      </c>
      <c r="K741" s="2" t="s">
        <v>1495</v>
      </c>
    </row>
    <row r="742" spans="1:11" ht="28.5" customHeight="1">
      <c r="A742">
        <v>2021</v>
      </c>
      <c r="B742">
        <v>3</v>
      </c>
      <c r="C742">
        <v>1</v>
      </c>
      <c r="D742" t="s">
        <v>82</v>
      </c>
      <c r="E742" t="str">
        <f t="shared" si="44"/>
        <v>2021-Q3-1</v>
      </c>
      <c r="F742">
        <f t="shared" si="45"/>
        <v>1</v>
      </c>
      <c r="G742" t="s">
        <v>20</v>
      </c>
      <c r="H742">
        <f t="shared" si="46"/>
        <v>2</v>
      </c>
      <c r="I742" s="5">
        <f t="shared" si="47"/>
        <v>0.5</v>
      </c>
      <c r="J742" s="2" t="s">
        <v>1496</v>
      </c>
      <c r="K742" s="2" t="s">
        <v>1497</v>
      </c>
    </row>
    <row r="743" spans="1:11" ht="28.5" customHeight="1">
      <c r="A743">
        <v>2021</v>
      </c>
      <c r="B743">
        <v>3</v>
      </c>
      <c r="C743">
        <v>1</v>
      </c>
      <c r="D743" t="s">
        <v>82</v>
      </c>
      <c r="E743" t="str">
        <f t="shared" si="44"/>
        <v>2021-Q3-1</v>
      </c>
      <c r="F743">
        <f t="shared" si="45"/>
        <v>1</v>
      </c>
      <c r="G743" t="s">
        <v>35</v>
      </c>
      <c r="H743">
        <f t="shared" si="46"/>
        <v>2</v>
      </c>
      <c r="I743" s="5">
        <f t="shared" si="47"/>
        <v>0.5</v>
      </c>
      <c r="J743" s="2" t="s">
        <v>1496</v>
      </c>
      <c r="K743" s="2" t="s">
        <v>1497</v>
      </c>
    </row>
    <row r="744" spans="1:11" ht="28.5" customHeight="1">
      <c r="A744">
        <v>2021</v>
      </c>
      <c r="B744">
        <v>3</v>
      </c>
      <c r="C744">
        <v>2</v>
      </c>
      <c r="D744" t="s">
        <v>82</v>
      </c>
      <c r="E744" t="str">
        <f t="shared" si="44"/>
        <v>2021-Q3-2</v>
      </c>
      <c r="F744">
        <f t="shared" si="45"/>
        <v>1</v>
      </c>
      <c r="G744" t="s">
        <v>20</v>
      </c>
      <c r="H744">
        <f t="shared" si="46"/>
        <v>2</v>
      </c>
      <c r="I744" s="5">
        <f t="shared" si="47"/>
        <v>0.5</v>
      </c>
      <c r="J744" s="2" t="s">
        <v>1498</v>
      </c>
      <c r="K744" s="2" t="s">
        <v>1499</v>
      </c>
    </row>
    <row r="745" spans="1:11" ht="28.5" customHeight="1">
      <c r="A745">
        <v>2021</v>
      </c>
      <c r="B745">
        <v>3</v>
      </c>
      <c r="C745">
        <v>2</v>
      </c>
      <c r="D745" t="s">
        <v>82</v>
      </c>
      <c r="E745" t="str">
        <f t="shared" si="44"/>
        <v>2021-Q3-2</v>
      </c>
      <c r="F745">
        <f t="shared" si="45"/>
        <v>1</v>
      </c>
      <c r="G745" t="s">
        <v>35</v>
      </c>
      <c r="H745">
        <f t="shared" si="46"/>
        <v>2</v>
      </c>
      <c r="I745" s="5">
        <f t="shared" si="47"/>
        <v>0.5</v>
      </c>
      <c r="J745" s="2" t="s">
        <v>1498</v>
      </c>
      <c r="K745" s="2" t="s">
        <v>1499</v>
      </c>
    </row>
    <row r="746" spans="1:11" ht="28.5" customHeight="1">
      <c r="A746">
        <v>2021</v>
      </c>
      <c r="B746">
        <v>3</v>
      </c>
      <c r="C746">
        <v>3</v>
      </c>
      <c r="D746" t="s">
        <v>82</v>
      </c>
      <c r="E746" t="str">
        <f t="shared" si="44"/>
        <v>2021-Q3-3</v>
      </c>
      <c r="F746">
        <f t="shared" si="45"/>
        <v>1</v>
      </c>
      <c r="G746" t="s">
        <v>20</v>
      </c>
      <c r="H746">
        <f t="shared" si="46"/>
        <v>2</v>
      </c>
      <c r="I746" s="5">
        <f t="shared" si="47"/>
        <v>0.5</v>
      </c>
      <c r="J746" s="2" t="s">
        <v>1500</v>
      </c>
      <c r="K746" s="2" t="s">
        <v>1501</v>
      </c>
    </row>
    <row r="747" spans="1:11" ht="28.5" customHeight="1">
      <c r="A747">
        <v>2021</v>
      </c>
      <c r="B747">
        <v>3</v>
      </c>
      <c r="C747">
        <v>3</v>
      </c>
      <c r="D747" t="s">
        <v>82</v>
      </c>
      <c r="E747" t="str">
        <f t="shared" si="44"/>
        <v>2021-Q3-3</v>
      </c>
      <c r="F747">
        <f t="shared" si="45"/>
        <v>1</v>
      </c>
      <c r="G747" t="s">
        <v>35</v>
      </c>
      <c r="H747">
        <f t="shared" si="46"/>
        <v>2</v>
      </c>
      <c r="I747" s="5">
        <f t="shared" si="47"/>
        <v>0.5</v>
      </c>
      <c r="J747" s="2" t="s">
        <v>1500</v>
      </c>
      <c r="K747" s="2" t="s">
        <v>1501</v>
      </c>
    </row>
    <row r="748" spans="1:11" ht="28.5" customHeight="1">
      <c r="A748">
        <v>2021</v>
      </c>
      <c r="B748">
        <v>3</v>
      </c>
      <c r="C748">
        <v>4</v>
      </c>
      <c r="D748" t="s">
        <v>82</v>
      </c>
      <c r="E748" t="str">
        <f t="shared" si="44"/>
        <v>2021-Q3-4</v>
      </c>
      <c r="F748">
        <f t="shared" si="45"/>
        <v>1</v>
      </c>
      <c r="G748" t="s">
        <v>20</v>
      </c>
      <c r="H748">
        <f t="shared" si="46"/>
        <v>2</v>
      </c>
      <c r="I748" s="5">
        <f t="shared" si="47"/>
        <v>0.5</v>
      </c>
      <c r="J748" s="2" t="s">
        <v>1502</v>
      </c>
      <c r="K748" s="2" t="s">
        <v>1503</v>
      </c>
    </row>
    <row r="749" spans="1:11" ht="28.5" customHeight="1">
      <c r="A749">
        <v>2021</v>
      </c>
      <c r="B749">
        <v>3</v>
      </c>
      <c r="C749">
        <v>4</v>
      </c>
      <c r="D749" t="s">
        <v>82</v>
      </c>
      <c r="E749" t="str">
        <f t="shared" si="44"/>
        <v>2021-Q3-4</v>
      </c>
      <c r="F749">
        <f t="shared" si="45"/>
        <v>1</v>
      </c>
      <c r="G749" t="s">
        <v>35</v>
      </c>
      <c r="H749">
        <f t="shared" si="46"/>
        <v>2</v>
      </c>
      <c r="I749" s="5">
        <f t="shared" si="47"/>
        <v>0.5</v>
      </c>
      <c r="J749" s="2" t="s">
        <v>1502</v>
      </c>
      <c r="K749" s="2" t="s">
        <v>1503</v>
      </c>
    </row>
    <row r="750" spans="1:11" ht="28.5" customHeight="1">
      <c r="A750">
        <v>2021</v>
      </c>
      <c r="B750">
        <v>4</v>
      </c>
      <c r="C750">
        <v>0</v>
      </c>
      <c r="D750" t="s">
        <v>82</v>
      </c>
      <c r="E750" t="str">
        <f t="shared" si="44"/>
        <v>2021-Q4-0</v>
      </c>
      <c r="F750">
        <f t="shared" si="45"/>
        <v>1</v>
      </c>
      <c r="G750" t="s">
        <v>35</v>
      </c>
      <c r="H750">
        <f t="shared" si="46"/>
        <v>1</v>
      </c>
      <c r="I750" s="5">
        <f t="shared" si="47"/>
        <v>1</v>
      </c>
      <c r="J750" s="2" t="s">
        <v>1504</v>
      </c>
      <c r="K750" s="2" t="s">
        <v>1505</v>
      </c>
    </row>
    <row r="751" spans="1:11" ht="28.5" customHeight="1">
      <c r="A751">
        <v>2021</v>
      </c>
      <c r="B751">
        <v>4</v>
      </c>
      <c r="C751">
        <v>1</v>
      </c>
      <c r="D751" t="s">
        <v>82</v>
      </c>
      <c r="E751" t="str">
        <f t="shared" si="44"/>
        <v>2021-Q4-1</v>
      </c>
      <c r="F751">
        <f t="shared" si="45"/>
        <v>1</v>
      </c>
      <c r="G751" t="s">
        <v>35</v>
      </c>
      <c r="H751">
        <f t="shared" si="46"/>
        <v>1</v>
      </c>
      <c r="I751" s="5">
        <f t="shared" si="47"/>
        <v>1</v>
      </c>
      <c r="J751" s="2" t="s">
        <v>1506</v>
      </c>
      <c r="K751" s="2" t="s">
        <v>1507</v>
      </c>
    </row>
    <row r="752" spans="1:11" ht="28.5" customHeight="1">
      <c r="A752">
        <v>2021</v>
      </c>
      <c r="B752">
        <v>4</v>
      </c>
      <c r="C752">
        <v>2</v>
      </c>
      <c r="D752" t="s">
        <v>82</v>
      </c>
      <c r="E752" t="str">
        <f t="shared" si="44"/>
        <v>2021-Q4-2</v>
      </c>
      <c r="F752">
        <f t="shared" si="45"/>
        <v>1</v>
      </c>
      <c r="G752" t="s">
        <v>29</v>
      </c>
      <c r="H752">
        <f t="shared" si="46"/>
        <v>1</v>
      </c>
      <c r="I752" s="5">
        <f t="shared" si="47"/>
        <v>1</v>
      </c>
      <c r="J752" s="2" t="s">
        <v>1508</v>
      </c>
      <c r="K752" s="2" t="s">
        <v>1509</v>
      </c>
    </row>
    <row r="753" spans="1:11" ht="28.5" customHeight="1">
      <c r="A753">
        <v>2021</v>
      </c>
      <c r="B753">
        <v>4</v>
      </c>
      <c r="C753">
        <v>3</v>
      </c>
      <c r="D753" t="s">
        <v>82</v>
      </c>
      <c r="E753" t="str">
        <f t="shared" si="44"/>
        <v>2021-Q4-3</v>
      </c>
      <c r="F753">
        <f t="shared" si="45"/>
        <v>1</v>
      </c>
      <c r="G753" t="s">
        <v>29</v>
      </c>
      <c r="H753">
        <f t="shared" si="46"/>
        <v>1</v>
      </c>
      <c r="I753" s="5">
        <f t="shared" si="47"/>
        <v>1</v>
      </c>
      <c r="J753" s="2" t="s">
        <v>1510</v>
      </c>
      <c r="K753" s="2" t="s">
        <v>1511</v>
      </c>
    </row>
    <row r="754" spans="1:11" ht="28.5" customHeight="1">
      <c r="A754">
        <v>2021</v>
      </c>
      <c r="B754">
        <v>4</v>
      </c>
      <c r="C754">
        <v>4</v>
      </c>
      <c r="D754" t="s">
        <v>82</v>
      </c>
      <c r="E754" t="str">
        <f t="shared" si="44"/>
        <v>2021-Q4-4</v>
      </c>
      <c r="F754">
        <f t="shared" si="45"/>
        <v>1</v>
      </c>
      <c r="G754" t="s">
        <v>35</v>
      </c>
      <c r="H754">
        <f t="shared" si="46"/>
        <v>1</v>
      </c>
      <c r="I754" s="5">
        <f t="shared" si="47"/>
        <v>1</v>
      </c>
      <c r="J754" s="2" t="s">
        <v>1512</v>
      </c>
      <c r="K754" s="2" t="s">
        <v>1513</v>
      </c>
    </row>
    <row r="755" spans="1:11" ht="28.5" customHeight="1">
      <c r="A755">
        <v>2021</v>
      </c>
      <c r="B755">
        <v>5</v>
      </c>
      <c r="C755">
        <v>0</v>
      </c>
      <c r="D755" t="s">
        <v>82</v>
      </c>
      <c r="E755" t="str">
        <f t="shared" si="44"/>
        <v>2021-Q5-0</v>
      </c>
      <c r="F755">
        <f t="shared" si="45"/>
        <v>1</v>
      </c>
      <c r="G755" t="s">
        <v>41</v>
      </c>
      <c r="H755">
        <f t="shared" si="46"/>
        <v>1</v>
      </c>
      <c r="I755" s="5">
        <f t="shared" si="47"/>
        <v>1</v>
      </c>
      <c r="J755" s="2" t="s">
        <v>1514</v>
      </c>
      <c r="K755" s="2" t="s">
        <v>1515</v>
      </c>
    </row>
    <row r="756" spans="1:11">
      <c r="A756">
        <v>2021</v>
      </c>
      <c r="B756">
        <v>5</v>
      </c>
      <c r="C756">
        <v>1</v>
      </c>
      <c r="D756" t="s">
        <v>82</v>
      </c>
      <c r="E756" t="str">
        <f t="shared" si="44"/>
        <v>2021-Q5-1</v>
      </c>
      <c r="F756">
        <f t="shared" si="45"/>
        <v>1</v>
      </c>
      <c r="G756" t="s">
        <v>41</v>
      </c>
      <c r="H756">
        <f t="shared" si="46"/>
        <v>1</v>
      </c>
      <c r="I756" s="5">
        <f t="shared" si="47"/>
        <v>1</v>
      </c>
      <c r="J756" s="2" t="s">
        <v>1516</v>
      </c>
      <c r="K756" s="2" t="s">
        <v>1517</v>
      </c>
    </row>
    <row r="757" spans="1:11">
      <c r="A757">
        <v>2021</v>
      </c>
      <c r="B757">
        <v>5</v>
      </c>
      <c r="C757">
        <v>2</v>
      </c>
      <c r="D757" t="s">
        <v>82</v>
      </c>
      <c r="E757" t="str">
        <f t="shared" si="44"/>
        <v>2021-Q5-2</v>
      </c>
      <c r="F757">
        <f t="shared" si="45"/>
        <v>1</v>
      </c>
      <c r="G757" t="s">
        <v>41</v>
      </c>
      <c r="H757">
        <f t="shared" si="46"/>
        <v>1</v>
      </c>
      <c r="I757" s="5">
        <f t="shared" si="47"/>
        <v>1</v>
      </c>
      <c r="J757" s="2" t="s">
        <v>1518</v>
      </c>
      <c r="K757" s="2" t="s">
        <v>1519</v>
      </c>
    </row>
    <row r="758" spans="1:11">
      <c r="A758">
        <v>2021</v>
      </c>
      <c r="B758">
        <v>5</v>
      </c>
      <c r="C758">
        <v>3</v>
      </c>
      <c r="D758" t="s">
        <v>82</v>
      </c>
      <c r="E758" t="str">
        <f t="shared" si="44"/>
        <v>2021-Q5-3</v>
      </c>
      <c r="F758">
        <f t="shared" si="45"/>
        <v>1</v>
      </c>
      <c r="G758" t="s">
        <v>41</v>
      </c>
      <c r="H758">
        <f t="shared" si="46"/>
        <v>1</v>
      </c>
      <c r="I758" s="5">
        <f t="shared" si="47"/>
        <v>1</v>
      </c>
      <c r="J758" s="2" t="s">
        <v>1520</v>
      </c>
      <c r="K758" s="2" t="s">
        <v>1521</v>
      </c>
    </row>
    <row r="759" spans="1:11" ht="28.5" customHeight="1">
      <c r="A759">
        <v>2021</v>
      </c>
      <c r="B759">
        <v>5</v>
      </c>
      <c r="C759">
        <v>4</v>
      </c>
      <c r="D759" t="s">
        <v>82</v>
      </c>
      <c r="E759" t="str">
        <f t="shared" si="44"/>
        <v>2021-Q5-4</v>
      </c>
      <c r="F759">
        <f t="shared" si="45"/>
        <v>1</v>
      </c>
      <c r="G759" t="s">
        <v>41</v>
      </c>
      <c r="H759">
        <f t="shared" si="46"/>
        <v>1</v>
      </c>
      <c r="I759" s="5">
        <f t="shared" si="47"/>
        <v>1</v>
      </c>
      <c r="J759" s="2" t="s">
        <v>1522</v>
      </c>
      <c r="K759" s="2" t="s">
        <v>1523</v>
      </c>
    </row>
    <row r="760" spans="1:11">
      <c r="A760">
        <v>2021</v>
      </c>
      <c r="B760">
        <v>6</v>
      </c>
      <c r="C760">
        <v>0</v>
      </c>
      <c r="D760" t="s">
        <v>82</v>
      </c>
      <c r="E760" t="str">
        <f t="shared" si="44"/>
        <v>2021-Q6-0</v>
      </c>
      <c r="F760">
        <f t="shared" si="45"/>
        <v>1</v>
      </c>
      <c r="G760" t="s">
        <v>26</v>
      </c>
      <c r="H760">
        <f t="shared" si="46"/>
        <v>1</v>
      </c>
      <c r="I760" s="5">
        <f t="shared" si="47"/>
        <v>1</v>
      </c>
      <c r="J760" s="2" t="s">
        <v>1524</v>
      </c>
      <c r="K760" s="2" t="s">
        <v>1525</v>
      </c>
    </row>
    <row r="761" spans="1:11">
      <c r="A761">
        <v>2021</v>
      </c>
      <c r="B761">
        <v>6</v>
      </c>
      <c r="C761">
        <v>1</v>
      </c>
      <c r="D761" t="s">
        <v>82</v>
      </c>
      <c r="E761" t="str">
        <f t="shared" si="44"/>
        <v>2021-Q6-1</v>
      </c>
      <c r="F761">
        <f t="shared" si="45"/>
        <v>1</v>
      </c>
      <c r="G761" t="s">
        <v>26</v>
      </c>
      <c r="H761">
        <f t="shared" si="46"/>
        <v>1</v>
      </c>
      <c r="I761" s="5">
        <f t="shared" si="47"/>
        <v>1</v>
      </c>
      <c r="J761" s="2" t="s">
        <v>1526</v>
      </c>
      <c r="K761" s="2" t="s">
        <v>1527</v>
      </c>
    </row>
    <row r="762" spans="1:11">
      <c r="A762">
        <v>2021</v>
      </c>
      <c r="B762">
        <v>6</v>
      </c>
      <c r="C762">
        <v>2</v>
      </c>
      <c r="D762" t="s">
        <v>82</v>
      </c>
      <c r="E762" t="str">
        <f t="shared" si="44"/>
        <v>2021-Q6-2</v>
      </c>
      <c r="F762">
        <f t="shared" si="45"/>
        <v>1</v>
      </c>
      <c r="G762" t="s">
        <v>26</v>
      </c>
      <c r="H762">
        <f t="shared" si="46"/>
        <v>1</v>
      </c>
      <c r="I762" s="5">
        <f t="shared" si="47"/>
        <v>1</v>
      </c>
      <c r="J762" s="2" t="s">
        <v>1528</v>
      </c>
      <c r="K762" s="2" t="s">
        <v>1529</v>
      </c>
    </row>
    <row r="763" spans="1:11">
      <c r="A763">
        <v>2021</v>
      </c>
      <c r="B763">
        <v>6</v>
      </c>
      <c r="C763">
        <v>3</v>
      </c>
      <c r="D763" t="s">
        <v>82</v>
      </c>
      <c r="E763" t="str">
        <f t="shared" si="44"/>
        <v>2021-Q6-3</v>
      </c>
      <c r="F763">
        <f t="shared" si="45"/>
        <v>1</v>
      </c>
      <c r="G763" t="s">
        <v>26</v>
      </c>
      <c r="H763">
        <f t="shared" si="46"/>
        <v>1</v>
      </c>
      <c r="I763" s="5">
        <f t="shared" si="47"/>
        <v>1</v>
      </c>
      <c r="J763" s="2" t="s">
        <v>1530</v>
      </c>
      <c r="K763" s="2" t="s">
        <v>1531</v>
      </c>
    </row>
    <row r="764" spans="1:11" ht="28.5" customHeight="1">
      <c r="A764">
        <v>2021</v>
      </c>
      <c r="B764">
        <v>6</v>
      </c>
      <c r="C764">
        <v>4</v>
      </c>
      <c r="D764" t="s">
        <v>82</v>
      </c>
      <c r="E764" t="str">
        <f t="shared" si="44"/>
        <v>2021-Q6-4</v>
      </c>
      <c r="F764">
        <f t="shared" si="45"/>
        <v>1</v>
      </c>
      <c r="G764" t="s">
        <v>26</v>
      </c>
      <c r="H764">
        <f t="shared" si="46"/>
        <v>1</v>
      </c>
      <c r="I764" s="5">
        <f t="shared" si="47"/>
        <v>1</v>
      </c>
      <c r="J764" s="2" t="s">
        <v>1532</v>
      </c>
      <c r="K764" s="2" t="s">
        <v>1533</v>
      </c>
    </row>
    <row r="765" spans="1:11">
      <c r="A765">
        <v>2021</v>
      </c>
      <c r="B765">
        <v>7</v>
      </c>
      <c r="C765">
        <v>0</v>
      </c>
      <c r="D765" t="s">
        <v>82</v>
      </c>
      <c r="E765" t="str">
        <f t="shared" si="44"/>
        <v>2021-Q7-0</v>
      </c>
      <c r="F765">
        <f t="shared" si="45"/>
        <v>1</v>
      </c>
      <c r="G765" t="s">
        <v>44</v>
      </c>
      <c r="H765">
        <f t="shared" si="46"/>
        <v>1</v>
      </c>
      <c r="I765" s="5">
        <f t="shared" si="47"/>
        <v>1</v>
      </c>
      <c r="J765" s="2" t="s">
        <v>693</v>
      </c>
      <c r="K765" s="2" t="s">
        <v>1534</v>
      </c>
    </row>
    <row r="766" spans="1:11">
      <c r="A766">
        <v>2021</v>
      </c>
      <c r="B766">
        <v>7</v>
      </c>
      <c r="C766">
        <v>1</v>
      </c>
      <c r="D766" t="s">
        <v>82</v>
      </c>
      <c r="E766" t="str">
        <f t="shared" si="44"/>
        <v>2021-Q7-1</v>
      </c>
      <c r="F766">
        <f t="shared" si="45"/>
        <v>1</v>
      </c>
      <c r="G766" t="s">
        <v>44</v>
      </c>
      <c r="H766">
        <f t="shared" si="46"/>
        <v>1</v>
      </c>
      <c r="I766" s="5">
        <f t="shared" si="47"/>
        <v>1</v>
      </c>
      <c r="J766" s="2" t="s">
        <v>1535</v>
      </c>
      <c r="K766" s="2" t="s">
        <v>1536</v>
      </c>
    </row>
    <row r="767" spans="1:11">
      <c r="A767">
        <v>2021</v>
      </c>
      <c r="B767">
        <v>7</v>
      </c>
      <c r="C767">
        <v>2</v>
      </c>
      <c r="D767" t="s">
        <v>82</v>
      </c>
      <c r="E767" t="str">
        <f t="shared" si="44"/>
        <v>2021-Q7-2</v>
      </c>
      <c r="F767">
        <f t="shared" si="45"/>
        <v>1</v>
      </c>
      <c r="G767" t="s">
        <v>44</v>
      </c>
      <c r="H767">
        <f t="shared" si="46"/>
        <v>1</v>
      </c>
      <c r="I767" s="5">
        <f t="shared" si="47"/>
        <v>1</v>
      </c>
      <c r="J767" s="2" t="s">
        <v>1537</v>
      </c>
      <c r="K767" s="2" t="s">
        <v>1538</v>
      </c>
    </row>
    <row r="768" spans="1:11">
      <c r="A768">
        <v>2021</v>
      </c>
      <c r="B768">
        <v>7</v>
      </c>
      <c r="C768">
        <v>3</v>
      </c>
      <c r="D768" t="s">
        <v>82</v>
      </c>
      <c r="E768" t="str">
        <f t="shared" si="44"/>
        <v>2021-Q7-3</v>
      </c>
      <c r="F768">
        <f t="shared" si="45"/>
        <v>1</v>
      </c>
      <c r="G768" t="s">
        <v>47</v>
      </c>
      <c r="H768">
        <f t="shared" si="46"/>
        <v>1</v>
      </c>
      <c r="I768" s="5">
        <f t="shared" si="47"/>
        <v>1</v>
      </c>
      <c r="J768" s="2" t="s">
        <v>1539</v>
      </c>
      <c r="K768" s="2" t="s">
        <v>1540</v>
      </c>
    </row>
    <row r="769" spans="1:11" ht="28.5" customHeight="1">
      <c r="A769">
        <v>2021</v>
      </c>
      <c r="B769">
        <v>7</v>
      </c>
      <c r="C769">
        <v>4</v>
      </c>
      <c r="D769" t="s">
        <v>82</v>
      </c>
      <c r="E769" t="str">
        <f t="shared" si="44"/>
        <v>2021-Q7-4</v>
      </c>
      <c r="F769">
        <f t="shared" si="45"/>
        <v>1</v>
      </c>
      <c r="G769" t="s">
        <v>47</v>
      </c>
      <c r="H769">
        <f t="shared" si="46"/>
        <v>1</v>
      </c>
      <c r="I769" s="5">
        <f t="shared" si="47"/>
        <v>1</v>
      </c>
      <c r="J769" s="2" t="s">
        <v>1541</v>
      </c>
      <c r="K769" s="2" t="s">
        <v>1542</v>
      </c>
    </row>
    <row r="770" spans="1:11" ht="28.5" customHeight="1">
      <c r="A770">
        <v>2021</v>
      </c>
      <c r="B770">
        <v>8</v>
      </c>
      <c r="D770" t="s">
        <v>193</v>
      </c>
      <c r="E770" t="str">
        <f t="shared" si="44"/>
        <v>2021-Q8-ABERTA</v>
      </c>
      <c r="F770">
        <f t="shared" si="45"/>
        <v>5</v>
      </c>
      <c r="G770" t="s">
        <v>41</v>
      </c>
      <c r="H770">
        <f t="shared" si="46"/>
        <v>1</v>
      </c>
      <c r="I770" s="5">
        <f t="shared" si="47"/>
        <v>5</v>
      </c>
      <c r="J770" s="2" t="s">
        <v>1543</v>
      </c>
      <c r="K770" s="2" t="s">
        <v>1544</v>
      </c>
    </row>
    <row r="771" spans="1:11">
      <c r="A771">
        <v>2021</v>
      </c>
      <c r="B771">
        <v>9</v>
      </c>
      <c r="C771">
        <v>0</v>
      </c>
      <c r="D771" t="s">
        <v>82</v>
      </c>
      <c r="E771" t="str">
        <f t="shared" si="44"/>
        <v>2021-Q9-0</v>
      </c>
      <c r="F771">
        <f t="shared" si="45"/>
        <v>1</v>
      </c>
      <c r="G771" t="s">
        <v>35</v>
      </c>
      <c r="H771">
        <f t="shared" si="46"/>
        <v>1</v>
      </c>
      <c r="I771" s="5">
        <f t="shared" si="47"/>
        <v>1</v>
      </c>
      <c r="J771" s="2" t="s">
        <v>1545</v>
      </c>
      <c r="K771" s="2" t="s">
        <v>1546</v>
      </c>
    </row>
    <row r="772" spans="1:11" ht="28.5" customHeight="1">
      <c r="A772">
        <v>2021</v>
      </c>
      <c r="B772">
        <v>9</v>
      </c>
      <c r="C772">
        <v>1</v>
      </c>
      <c r="D772" t="s">
        <v>82</v>
      </c>
      <c r="E772" t="str">
        <f t="shared" si="44"/>
        <v>2021-Q9-1</v>
      </c>
      <c r="F772">
        <f t="shared" si="45"/>
        <v>1</v>
      </c>
      <c r="G772" t="s">
        <v>35</v>
      </c>
      <c r="H772">
        <f t="shared" si="46"/>
        <v>1</v>
      </c>
      <c r="I772" s="5">
        <f t="shared" si="47"/>
        <v>1</v>
      </c>
      <c r="J772" s="2" t="s">
        <v>1547</v>
      </c>
      <c r="K772" s="2" t="s">
        <v>1548</v>
      </c>
    </row>
    <row r="773" spans="1:11">
      <c r="A773">
        <v>2021</v>
      </c>
      <c r="B773">
        <v>9</v>
      </c>
      <c r="C773">
        <v>2</v>
      </c>
      <c r="D773" t="s">
        <v>82</v>
      </c>
      <c r="E773" t="str">
        <f t="shared" ref="E773:E836" si="48">IF(A773="","",TEXT(A773,"0")&amp;"-Q"&amp;TEXT(B773,"0")&amp;"-"&amp;IF(C773="","ABERTA",C773))</f>
        <v>2021-Q9-2</v>
      </c>
      <c r="F773">
        <f t="shared" ref="F773:F836" si="49">IF(D773="V/F",1,IF(D773="Aberta/numérica",5,""))</f>
        <v>1</v>
      </c>
      <c r="G773" t="s">
        <v>35</v>
      </c>
      <c r="H773">
        <f t="shared" ref="H773:H836" si="50">IF(A773="","",IF(C773="",COUNTIFS($A$5:$A$1504,A773,$B$5:$B$1504,B773,$C$5:$C$1504,"",$D$5:$D$1504,D773),COUNTIFS($A$5:$A$1504,A773,$B$5:$B$1504,B773,$C$5:$C$1504,C773,$D$5:$D$1504,D773)))</f>
        <v>1</v>
      </c>
      <c r="I773" s="5">
        <f t="shared" ref="I773:I836" si="51">IF(OR(F773="",H773="",G773=""),"",F773/H773)</f>
        <v>1</v>
      </c>
      <c r="J773" s="2" t="s">
        <v>1549</v>
      </c>
      <c r="K773" s="2" t="s">
        <v>1550</v>
      </c>
    </row>
    <row r="774" spans="1:11" ht="28.5" customHeight="1">
      <c r="A774">
        <v>2021</v>
      </c>
      <c r="B774">
        <v>9</v>
      </c>
      <c r="C774">
        <v>3</v>
      </c>
      <c r="D774" t="s">
        <v>82</v>
      </c>
      <c r="E774" t="str">
        <f t="shared" si="48"/>
        <v>2021-Q9-3</v>
      </c>
      <c r="F774">
        <f t="shared" si="49"/>
        <v>1</v>
      </c>
      <c r="G774" t="s">
        <v>35</v>
      </c>
      <c r="H774">
        <f t="shared" si="50"/>
        <v>1</v>
      </c>
      <c r="I774" s="5">
        <f t="shared" si="51"/>
        <v>1</v>
      </c>
      <c r="J774" s="2" t="s">
        <v>1551</v>
      </c>
      <c r="K774" s="2" t="s">
        <v>1552</v>
      </c>
    </row>
    <row r="775" spans="1:11" ht="28.5" customHeight="1">
      <c r="A775">
        <v>2021</v>
      </c>
      <c r="B775">
        <v>9</v>
      </c>
      <c r="C775">
        <v>4</v>
      </c>
      <c r="D775" t="s">
        <v>82</v>
      </c>
      <c r="E775" t="str">
        <f t="shared" si="48"/>
        <v>2021-Q9-4</v>
      </c>
      <c r="F775">
        <f t="shared" si="49"/>
        <v>1</v>
      </c>
      <c r="G775" t="s">
        <v>35</v>
      </c>
      <c r="H775">
        <f t="shared" si="50"/>
        <v>1</v>
      </c>
      <c r="I775" s="5">
        <f t="shared" si="51"/>
        <v>1</v>
      </c>
      <c r="J775" s="2" t="s">
        <v>805</v>
      </c>
      <c r="K775" s="2" t="s">
        <v>1553</v>
      </c>
    </row>
    <row r="776" spans="1:11" ht="28.5" customHeight="1">
      <c r="A776">
        <v>2021</v>
      </c>
      <c r="B776">
        <v>10</v>
      </c>
      <c r="C776">
        <v>0</v>
      </c>
      <c r="D776" t="s">
        <v>82</v>
      </c>
      <c r="E776" t="str">
        <f t="shared" si="48"/>
        <v>2021-Q10-0</v>
      </c>
      <c r="F776">
        <f t="shared" si="49"/>
        <v>1</v>
      </c>
      <c r="G776" t="s">
        <v>8</v>
      </c>
      <c r="H776">
        <f t="shared" si="50"/>
        <v>1</v>
      </c>
      <c r="I776" s="5">
        <f t="shared" si="51"/>
        <v>1</v>
      </c>
      <c r="J776" s="2" t="s">
        <v>1554</v>
      </c>
      <c r="K776" s="2" t="s">
        <v>1555</v>
      </c>
    </row>
    <row r="777" spans="1:11" ht="28.5" customHeight="1">
      <c r="A777">
        <v>2021</v>
      </c>
      <c r="B777">
        <v>10</v>
      </c>
      <c r="C777">
        <v>1</v>
      </c>
      <c r="D777" t="s">
        <v>82</v>
      </c>
      <c r="E777" t="str">
        <f t="shared" si="48"/>
        <v>2021-Q10-1</v>
      </c>
      <c r="F777">
        <f t="shared" si="49"/>
        <v>1</v>
      </c>
      <c r="G777" t="s">
        <v>8</v>
      </c>
      <c r="H777">
        <f t="shared" si="50"/>
        <v>1</v>
      </c>
      <c r="I777" s="5">
        <f t="shared" si="51"/>
        <v>1</v>
      </c>
      <c r="J777" s="2" t="s">
        <v>1556</v>
      </c>
      <c r="K777" s="2" t="s">
        <v>1557</v>
      </c>
    </row>
    <row r="778" spans="1:11" ht="28.5" customHeight="1">
      <c r="A778">
        <v>2021</v>
      </c>
      <c r="B778">
        <v>10</v>
      </c>
      <c r="C778">
        <v>2</v>
      </c>
      <c r="D778" t="s">
        <v>82</v>
      </c>
      <c r="E778" t="str">
        <f t="shared" si="48"/>
        <v>2021-Q10-2</v>
      </c>
      <c r="F778">
        <f t="shared" si="49"/>
        <v>1</v>
      </c>
      <c r="G778" t="s">
        <v>14</v>
      </c>
      <c r="H778">
        <f t="shared" si="50"/>
        <v>1</v>
      </c>
      <c r="I778" s="5">
        <f t="shared" si="51"/>
        <v>1</v>
      </c>
      <c r="J778" s="2" t="s">
        <v>1558</v>
      </c>
      <c r="K778" s="2" t="s">
        <v>1559</v>
      </c>
    </row>
    <row r="779" spans="1:11" ht="28.5" customHeight="1">
      <c r="A779">
        <v>2021</v>
      </c>
      <c r="B779">
        <v>10</v>
      </c>
      <c r="C779">
        <v>3</v>
      </c>
      <c r="D779" t="s">
        <v>82</v>
      </c>
      <c r="E779" t="str">
        <f t="shared" si="48"/>
        <v>2021-Q10-3</v>
      </c>
      <c r="F779">
        <f t="shared" si="49"/>
        <v>1</v>
      </c>
      <c r="G779" t="s">
        <v>17</v>
      </c>
      <c r="H779">
        <f t="shared" si="50"/>
        <v>1</v>
      </c>
      <c r="I779" s="5">
        <f t="shared" si="51"/>
        <v>1</v>
      </c>
      <c r="J779" s="2" t="s">
        <v>1560</v>
      </c>
      <c r="K779" s="2" t="s">
        <v>1561</v>
      </c>
    </row>
    <row r="780" spans="1:11" ht="28.5" customHeight="1">
      <c r="A780">
        <v>2021</v>
      </c>
      <c r="B780">
        <v>10</v>
      </c>
      <c r="C780">
        <v>4</v>
      </c>
      <c r="D780" t="s">
        <v>82</v>
      </c>
      <c r="E780" t="str">
        <f t="shared" si="48"/>
        <v>2021-Q10-4</v>
      </c>
      <c r="F780">
        <f t="shared" si="49"/>
        <v>1</v>
      </c>
      <c r="G780" t="s">
        <v>8</v>
      </c>
      <c r="H780">
        <f t="shared" si="50"/>
        <v>1</v>
      </c>
      <c r="I780" s="5">
        <f t="shared" si="51"/>
        <v>1</v>
      </c>
      <c r="J780" s="2" t="s">
        <v>1562</v>
      </c>
      <c r="K780" s="2" t="s">
        <v>1563</v>
      </c>
    </row>
    <row r="781" spans="1:11" ht="28.5" customHeight="1">
      <c r="A781">
        <v>2021</v>
      </c>
      <c r="B781">
        <v>11</v>
      </c>
      <c r="C781">
        <v>0</v>
      </c>
      <c r="D781" t="s">
        <v>82</v>
      </c>
      <c r="E781" t="str">
        <f t="shared" si="48"/>
        <v>2021-Q11-0</v>
      </c>
      <c r="F781">
        <f t="shared" si="49"/>
        <v>1</v>
      </c>
      <c r="G781" t="s">
        <v>23</v>
      </c>
      <c r="H781">
        <f t="shared" si="50"/>
        <v>1</v>
      </c>
      <c r="I781" s="5">
        <f t="shared" si="51"/>
        <v>1</v>
      </c>
      <c r="J781" s="2" t="s">
        <v>1564</v>
      </c>
      <c r="K781" s="2" t="s">
        <v>1565</v>
      </c>
    </row>
    <row r="782" spans="1:11" ht="28.5" customHeight="1">
      <c r="A782">
        <v>2021</v>
      </c>
      <c r="B782">
        <v>11</v>
      </c>
      <c r="C782">
        <v>1</v>
      </c>
      <c r="D782" t="s">
        <v>82</v>
      </c>
      <c r="E782" t="str">
        <f t="shared" si="48"/>
        <v>2021-Q11-1</v>
      </c>
      <c r="F782">
        <f t="shared" si="49"/>
        <v>1</v>
      </c>
      <c r="G782" t="s">
        <v>23</v>
      </c>
      <c r="H782">
        <f t="shared" si="50"/>
        <v>1</v>
      </c>
      <c r="I782" s="5">
        <f t="shared" si="51"/>
        <v>1</v>
      </c>
      <c r="J782" s="2" t="s">
        <v>1566</v>
      </c>
      <c r="K782" s="2" t="s">
        <v>1567</v>
      </c>
    </row>
    <row r="783" spans="1:11" ht="28.5" customHeight="1">
      <c r="A783">
        <v>2021</v>
      </c>
      <c r="B783">
        <v>11</v>
      </c>
      <c r="C783">
        <v>2</v>
      </c>
      <c r="D783" t="s">
        <v>82</v>
      </c>
      <c r="E783" t="str">
        <f t="shared" si="48"/>
        <v>2021-Q11-2</v>
      </c>
      <c r="F783">
        <f t="shared" si="49"/>
        <v>1</v>
      </c>
      <c r="G783" t="s">
        <v>23</v>
      </c>
      <c r="H783">
        <f t="shared" si="50"/>
        <v>1</v>
      </c>
      <c r="I783" s="5">
        <f t="shared" si="51"/>
        <v>1</v>
      </c>
      <c r="J783" s="2" t="s">
        <v>1568</v>
      </c>
      <c r="K783" s="2" t="s">
        <v>1569</v>
      </c>
    </row>
    <row r="784" spans="1:11" ht="28.5" customHeight="1">
      <c r="A784">
        <v>2021</v>
      </c>
      <c r="B784">
        <v>11</v>
      </c>
      <c r="C784">
        <v>3</v>
      </c>
      <c r="D784" t="s">
        <v>82</v>
      </c>
      <c r="E784" t="str">
        <f t="shared" si="48"/>
        <v>2021-Q11-3</v>
      </c>
      <c r="F784">
        <f t="shared" si="49"/>
        <v>1</v>
      </c>
      <c r="G784" t="s">
        <v>23</v>
      </c>
      <c r="H784">
        <f t="shared" si="50"/>
        <v>1</v>
      </c>
      <c r="I784" s="5">
        <f t="shared" si="51"/>
        <v>1</v>
      </c>
      <c r="J784" s="2" t="s">
        <v>1570</v>
      </c>
      <c r="K784" s="2" t="s">
        <v>1571</v>
      </c>
    </row>
    <row r="785" spans="1:11" ht="28.5" customHeight="1">
      <c r="A785">
        <v>2021</v>
      </c>
      <c r="B785">
        <v>11</v>
      </c>
      <c r="C785">
        <v>4</v>
      </c>
      <c r="D785" t="s">
        <v>82</v>
      </c>
      <c r="E785" t="str">
        <f t="shared" si="48"/>
        <v>2021-Q11-4</v>
      </c>
      <c r="F785">
        <f t="shared" si="49"/>
        <v>1</v>
      </c>
      <c r="G785" t="s">
        <v>23</v>
      </c>
      <c r="H785">
        <f t="shared" si="50"/>
        <v>1</v>
      </c>
      <c r="I785" s="5">
        <f t="shared" si="51"/>
        <v>1</v>
      </c>
      <c r="J785" s="2" t="s">
        <v>1572</v>
      </c>
      <c r="K785" s="2" t="s">
        <v>1573</v>
      </c>
    </row>
    <row r="786" spans="1:11" ht="28.5" customHeight="1">
      <c r="A786">
        <v>2021</v>
      </c>
      <c r="B786">
        <v>12</v>
      </c>
      <c r="D786" t="s">
        <v>193</v>
      </c>
      <c r="E786" t="str">
        <f t="shared" si="48"/>
        <v>2021-Q12-ABERTA</v>
      </c>
      <c r="F786">
        <f t="shared" si="49"/>
        <v>5</v>
      </c>
      <c r="G786" t="s">
        <v>8</v>
      </c>
      <c r="H786">
        <f t="shared" si="50"/>
        <v>1</v>
      </c>
      <c r="I786" s="5">
        <f t="shared" si="51"/>
        <v>5</v>
      </c>
      <c r="J786" s="2" t="s">
        <v>1574</v>
      </c>
      <c r="K786" s="2" t="s">
        <v>1575</v>
      </c>
    </row>
    <row r="787" spans="1:11" ht="28.5" customHeight="1">
      <c r="A787">
        <v>2021</v>
      </c>
      <c r="B787">
        <v>13</v>
      </c>
      <c r="C787">
        <v>0</v>
      </c>
      <c r="D787" t="s">
        <v>82</v>
      </c>
      <c r="E787" t="str">
        <f t="shared" si="48"/>
        <v>2021-Q13-0</v>
      </c>
      <c r="F787">
        <f t="shared" si="49"/>
        <v>1</v>
      </c>
      <c r="G787" t="s">
        <v>23</v>
      </c>
      <c r="H787">
        <f t="shared" si="50"/>
        <v>1</v>
      </c>
      <c r="I787" s="5">
        <f t="shared" si="51"/>
        <v>1</v>
      </c>
      <c r="J787" s="2" t="s">
        <v>1576</v>
      </c>
      <c r="K787" s="2" t="s">
        <v>1577</v>
      </c>
    </row>
    <row r="788" spans="1:11" ht="28.5" customHeight="1">
      <c r="A788">
        <v>2021</v>
      </c>
      <c r="B788">
        <v>13</v>
      </c>
      <c r="C788">
        <v>1</v>
      </c>
      <c r="D788" t="s">
        <v>82</v>
      </c>
      <c r="E788" t="str">
        <f t="shared" si="48"/>
        <v>2021-Q13-1</v>
      </c>
      <c r="F788">
        <f t="shared" si="49"/>
        <v>1</v>
      </c>
      <c r="G788" t="s">
        <v>23</v>
      </c>
      <c r="H788">
        <f t="shared" si="50"/>
        <v>1</v>
      </c>
      <c r="I788" s="5">
        <f t="shared" si="51"/>
        <v>1</v>
      </c>
      <c r="J788" s="2" t="s">
        <v>1578</v>
      </c>
      <c r="K788" s="2" t="s">
        <v>1579</v>
      </c>
    </row>
    <row r="789" spans="1:11" ht="28.5" customHeight="1">
      <c r="A789">
        <v>2021</v>
      </c>
      <c r="B789">
        <v>13</v>
      </c>
      <c r="C789">
        <v>2</v>
      </c>
      <c r="D789" t="s">
        <v>82</v>
      </c>
      <c r="E789" t="str">
        <f t="shared" si="48"/>
        <v>2021-Q13-2</v>
      </c>
      <c r="F789">
        <f t="shared" si="49"/>
        <v>1</v>
      </c>
      <c r="G789" t="s">
        <v>23</v>
      </c>
      <c r="H789">
        <f t="shared" si="50"/>
        <v>1</v>
      </c>
      <c r="I789" s="5">
        <f t="shared" si="51"/>
        <v>1</v>
      </c>
      <c r="J789" s="2" t="s">
        <v>1580</v>
      </c>
      <c r="K789" s="2" t="s">
        <v>1581</v>
      </c>
    </row>
    <row r="790" spans="1:11" ht="28.5" customHeight="1">
      <c r="A790">
        <v>2021</v>
      </c>
      <c r="B790">
        <v>13</v>
      </c>
      <c r="C790">
        <v>3</v>
      </c>
      <c r="D790" t="s">
        <v>82</v>
      </c>
      <c r="E790" t="str">
        <f t="shared" si="48"/>
        <v>2021-Q13-3</v>
      </c>
      <c r="F790">
        <f t="shared" si="49"/>
        <v>1</v>
      </c>
      <c r="G790" t="s">
        <v>23</v>
      </c>
      <c r="H790">
        <f t="shared" si="50"/>
        <v>1</v>
      </c>
      <c r="I790" s="5">
        <f t="shared" si="51"/>
        <v>1</v>
      </c>
      <c r="J790" s="2" t="s">
        <v>1582</v>
      </c>
      <c r="K790" s="2" t="s">
        <v>1583</v>
      </c>
    </row>
    <row r="791" spans="1:11" ht="28.5" customHeight="1">
      <c r="A791">
        <v>2021</v>
      </c>
      <c r="B791">
        <v>13</v>
      </c>
      <c r="C791">
        <v>4</v>
      </c>
      <c r="D791" t="s">
        <v>82</v>
      </c>
      <c r="E791" t="str">
        <f t="shared" si="48"/>
        <v>2021-Q13-4</v>
      </c>
      <c r="F791">
        <f t="shared" si="49"/>
        <v>1</v>
      </c>
      <c r="G791" t="s">
        <v>23</v>
      </c>
      <c r="H791">
        <f t="shared" si="50"/>
        <v>1</v>
      </c>
      <c r="I791" s="5">
        <f t="shared" si="51"/>
        <v>1</v>
      </c>
      <c r="J791" s="2" t="s">
        <v>1584</v>
      </c>
      <c r="K791" s="2" t="s">
        <v>1585</v>
      </c>
    </row>
    <row r="792" spans="1:11" ht="28.5" customHeight="1">
      <c r="A792">
        <v>2021</v>
      </c>
      <c r="B792">
        <v>14</v>
      </c>
      <c r="D792" t="s">
        <v>193</v>
      </c>
      <c r="E792" t="str">
        <f t="shared" si="48"/>
        <v>2021-Q14-ABERTA</v>
      </c>
      <c r="F792">
        <f t="shared" si="49"/>
        <v>5</v>
      </c>
      <c r="G792" t="s">
        <v>29</v>
      </c>
      <c r="H792">
        <f t="shared" si="50"/>
        <v>1</v>
      </c>
      <c r="I792" s="5">
        <f t="shared" si="51"/>
        <v>5</v>
      </c>
      <c r="J792" s="2" t="s">
        <v>1586</v>
      </c>
      <c r="K792" s="2" t="s">
        <v>1587</v>
      </c>
    </row>
    <row r="793" spans="1:11" ht="28.5" customHeight="1">
      <c r="A793">
        <v>2021</v>
      </c>
      <c r="B793">
        <v>15</v>
      </c>
      <c r="D793" t="s">
        <v>193</v>
      </c>
      <c r="E793" t="str">
        <f t="shared" si="48"/>
        <v>2021-Q15-ABERTA</v>
      </c>
      <c r="F793">
        <f t="shared" si="49"/>
        <v>5</v>
      </c>
      <c r="G793" t="s">
        <v>41</v>
      </c>
      <c r="H793">
        <f t="shared" si="50"/>
        <v>1</v>
      </c>
      <c r="I793" s="5">
        <f t="shared" si="51"/>
        <v>5</v>
      </c>
      <c r="J793" s="2" t="s">
        <v>1588</v>
      </c>
      <c r="K793" s="2" t="s">
        <v>1589</v>
      </c>
    </row>
    <row r="794" spans="1:11" ht="28.5" customHeight="1">
      <c r="A794">
        <v>2022</v>
      </c>
      <c r="B794">
        <v>1</v>
      </c>
      <c r="C794">
        <v>0</v>
      </c>
      <c r="D794" t="s">
        <v>82</v>
      </c>
      <c r="E794" t="str">
        <f t="shared" si="48"/>
        <v>2022-Q1-0</v>
      </c>
      <c r="F794">
        <f t="shared" si="49"/>
        <v>1</v>
      </c>
      <c r="G794" t="s">
        <v>11</v>
      </c>
      <c r="H794">
        <f t="shared" si="50"/>
        <v>1</v>
      </c>
      <c r="I794" s="5">
        <f t="shared" si="51"/>
        <v>1</v>
      </c>
      <c r="J794" s="2" t="s">
        <v>1590</v>
      </c>
      <c r="K794" s="2" t="s">
        <v>1591</v>
      </c>
    </row>
    <row r="795" spans="1:11" ht="28.5" customHeight="1">
      <c r="A795">
        <v>2022</v>
      </c>
      <c r="B795">
        <v>1</v>
      </c>
      <c r="C795">
        <v>1</v>
      </c>
      <c r="D795" t="s">
        <v>82</v>
      </c>
      <c r="E795" t="str">
        <f t="shared" si="48"/>
        <v>2022-Q1-1</v>
      </c>
      <c r="F795">
        <f t="shared" si="49"/>
        <v>1</v>
      </c>
      <c r="G795" t="s">
        <v>11</v>
      </c>
      <c r="H795">
        <f t="shared" si="50"/>
        <v>1</v>
      </c>
      <c r="I795" s="5">
        <f t="shared" si="51"/>
        <v>1</v>
      </c>
      <c r="J795" s="2" t="s">
        <v>1592</v>
      </c>
      <c r="K795" s="2" t="s">
        <v>1593</v>
      </c>
    </row>
    <row r="796" spans="1:11">
      <c r="A796">
        <v>2022</v>
      </c>
      <c r="B796">
        <v>1</v>
      </c>
      <c r="C796">
        <v>2</v>
      </c>
      <c r="D796" t="s">
        <v>82</v>
      </c>
      <c r="E796" t="str">
        <f t="shared" si="48"/>
        <v>2022-Q1-2</v>
      </c>
      <c r="F796">
        <f t="shared" si="49"/>
        <v>1</v>
      </c>
      <c r="G796" t="s">
        <v>11</v>
      </c>
      <c r="H796">
        <f t="shared" si="50"/>
        <v>1</v>
      </c>
      <c r="I796" s="5">
        <f t="shared" si="51"/>
        <v>1</v>
      </c>
      <c r="J796" s="2" t="s">
        <v>1594</v>
      </c>
      <c r="K796" s="2" t="s">
        <v>1595</v>
      </c>
    </row>
    <row r="797" spans="1:11" ht="28.5" customHeight="1">
      <c r="A797">
        <v>2022</v>
      </c>
      <c r="B797">
        <v>1</v>
      </c>
      <c r="C797">
        <v>3</v>
      </c>
      <c r="D797" t="s">
        <v>82</v>
      </c>
      <c r="E797" t="str">
        <f t="shared" si="48"/>
        <v>2022-Q1-3</v>
      </c>
      <c r="F797">
        <f t="shared" si="49"/>
        <v>1</v>
      </c>
      <c r="G797" t="s">
        <v>8</v>
      </c>
      <c r="H797">
        <f t="shared" si="50"/>
        <v>2</v>
      </c>
      <c r="I797" s="5">
        <f t="shared" si="51"/>
        <v>0.5</v>
      </c>
      <c r="J797" s="2" t="s">
        <v>1596</v>
      </c>
      <c r="K797" s="2" t="s">
        <v>1597</v>
      </c>
    </row>
    <row r="798" spans="1:11" ht="28.5" customHeight="1">
      <c r="A798">
        <v>2022</v>
      </c>
      <c r="B798">
        <v>1</v>
      </c>
      <c r="C798">
        <v>3</v>
      </c>
      <c r="D798" t="s">
        <v>82</v>
      </c>
      <c r="E798" t="str">
        <f t="shared" si="48"/>
        <v>2022-Q1-3</v>
      </c>
      <c r="F798">
        <f t="shared" si="49"/>
        <v>1</v>
      </c>
      <c r="G798" t="s">
        <v>11</v>
      </c>
      <c r="H798">
        <f t="shared" si="50"/>
        <v>2</v>
      </c>
      <c r="I798" s="5">
        <f t="shared" si="51"/>
        <v>0.5</v>
      </c>
      <c r="J798" s="2" t="s">
        <v>1596</v>
      </c>
      <c r="K798" s="2" t="s">
        <v>1597</v>
      </c>
    </row>
    <row r="799" spans="1:11">
      <c r="A799">
        <v>2022</v>
      </c>
      <c r="B799">
        <v>1</v>
      </c>
      <c r="C799">
        <v>4</v>
      </c>
      <c r="D799" t="s">
        <v>82</v>
      </c>
      <c r="E799" t="str">
        <f t="shared" si="48"/>
        <v>2022-Q1-4</v>
      </c>
      <c r="F799">
        <f t="shared" si="49"/>
        <v>1</v>
      </c>
      <c r="G799" t="s">
        <v>11</v>
      </c>
      <c r="H799">
        <f t="shared" si="50"/>
        <v>1</v>
      </c>
      <c r="I799" s="5">
        <f t="shared" si="51"/>
        <v>1</v>
      </c>
      <c r="J799" s="2" t="s">
        <v>1598</v>
      </c>
      <c r="K799" s="2" t="s">
        <v>1599</v>
      </c>
    </row>
    <row r="800" spans="1:11" ht="28.5" customHeight="1">
      <c r="A800">
        <v>2022</v>
      </c>
      <c r="B800">
        <v>2</v>
      </c>
      <c r="C800">
        <v>0</v>
      </c>
      <c r="D800" t="s">
        <v>82</v>
      </c>
      <c r="E800" t="str">
        <f t="shared" si="48"/>
        <v>2022-Q2-0</v>
      </c>
      <c r="F800">
        <f t="shared" si="49"/>
        <v>1</v>
      </c>
      <c r="G800" t="s">
        <v>32</v>
      </c>
      <c r="H800">
        <f t="shared" si="50"/>
        <v>1</v>
      </c>
      <c r="I800" s="5">
        <f t="shared" si="51"/>
        <v>1</v>
      </c>
      <c r="J800" s="2" t="s">
        <v>1600</v>
      </c>
      <c r="K800" s="2" t="s">
        <v>1601</v>
      </c>
    </row>
    <row r="801" spans="1:11" ht="28.5" customHeight="1">
      <c r="A801">
        <v>2022</v>
      </c>
      <c r="B801">
        <v>2</v>
      </c>
      <c r="C801">
        <v>1</v>
      </c>
      <c r="D801" t="s">
        <v>82</v>
      </c>
      <c r="E801" t="str">
        <f t="shared" si="48"/>
        <v>2022-Q2-1</v>
      </c>
      <c r="F801">
        <f t="shared" si="49"/>
        <v>1</v>
      </c>
      <c r="G801" t="s">
        <v>32</v>
      </c>
      <c r="H801">
        <f t="shared" si="50"/>
        <v>1</v>
      </c>
      <c r="I801" s="5">
        <f t="shared" si="51"/>
        <v>1</v>
      </c>
      <c r="J801" s="2" t="s">
        <v>1602</v>
      </c>
      <c r="K801" s="2" t="s">
        <v>1603</v>
      </c>
    </row>
    <row r="802" spans="1:11" ht="28.5" customHeight="1">
      <c r="A802">
        <v>2022</v>
      </c>
      <c r="B802">
        <v>2</v>
      </c>
      <c r="C802">
        <v>2</v>
      </c>
      <c r="D802" t="s">
        <v>82</v>
      </c>
      <c r="E802" t="str">
        <f t="shared" si="48"/>
        <v>2022-Q2-2</v>
      </c>
      <c r="F802">
        <f t="shared" si="49"/>
        <v>1</v>
      </c>
      <c r="G802" t="s">
        <v>32</v>
      </c>
      <c r="H802">
        <f t="shared" si="50"/>
        <v>1</v>
      </c>
      <c r="I802" s="5">
        <f t="shared" si="51"/>
        <v>1</v>
      </c>
      <c r="J802" s="2" t="s">
        <v>1604</v>
      </c>
      <c r="K802" s="2" t="s">
        <v>1605</v>
      </c>
    </row>
    <row r="803" spans="1:11" ht="28.5" customHeight="1">
      <c r="A803">
        <v>2022</v>
      </c>
      <c r="B803">
        <v>2</v>
      </c>
      <c r="C803">
        <v>3</v>
      </c>
      <c r="D803" t="s">
        <v>82</v>
      </c>
      <c r="E803" t="str">
        <f t="shared" si="48"/>
        <v>2022-Q2-3</v>
      </c>
      <c r="F803">
        <f t="shared" si="49"/>
        <v>1</v>
      </c>
      <c r="G803" t="s">
        <v>44</v>
      </c>
      <c r="H803">
        <f t="shared" si="50"/>
        <v>1</v>
      </c>
      <c r="I803" s="5">
        <f t="shared" si="51"/>
        <v>1</v>
      </c>
      <c r="J803" s="2" t="s">
        <v>1606</v>
      </c>
      <c r="K803" s="2" t="s">
        <v>1607</v>
      </c>
    </row>
    <row r="804" spans="1:11" ht="28.5" customHeight="1">
      <c r="A804">
        <v>2022</v>
      </c>
      <c r="B804">
        <v>2</v>
      </c>
      <c r="C804">
        <v>4</v>
      </c>
      <c r="D804" t="s">
        <v>82</v>
      </c>
      <c r="E804" t="str">
        <f t="shared" si="48"/>
        <v>2022-Q2-4</v>
      </c>
      <c r="F804">
        <f t="shared" si="49"/>
        <v>1</v>
      </c>
      <c r="G804" t="s">
        <v>44</v>
      </c>
      <c r="H804">
        <f t="shared" si="50"/>
        <v>1</v>
      </c>
      <c r="I804" s="5">
        <f t="shared" si="51"/>
        <v>1</v>
      </c>
      <c r="J804" s="2" t="s">
        <v>1608</v>
      </c>
      <c r="K804" s="2" t="s">
        <v>1609</v>
      </c>
    </row>
    <row r="805" spans="1:11" ht="28.5" customHeight="1">
      <c r="A805">
        <v>2022</v>
      </c>
      <c r="B805">
        <v>3</v>
      </c>
      <c r="C805">
        <v>0</v>
      </c>
      <c r="D805" t="s">
        <v>82</v>
      </c>
      <c r="E805" t="str">
        <f t="shared" si="48"/>
        <v>2022-Q3-0</v>
      </c>
      <c r="F805">
        <f t="shared" si="49"/>
        <v>1</v>
      </c>
      <c r="G805" t="s">
        <v>26</v>
      </c>
      <c r="H805">
        <f t="shared" si="50"/>
        <v>1</v>
      </c>
      <c r="I805" s="5">
        <f t="shared" si="51"/>
        <v>1</v>
      </c>
      <c r="J805" s="2" t="s">
        <v>1610</v>
      </c>
      <c r="K805" s="2" t="s">
        <v>1611</v>
      </c>
    </row>
    <row r="806" spans="1:11" ht="28.5" customHeight="1">
      <c r="A806">
        <v>2022</v>
      </c>
      <c r="B806">
        <v>3</v>
      </c>
      <c r="C806">
        <v>1</v>
      </c>
      <c r="D806" t="s">
        <v>82</v>
      </c>
      <c r="E806" t="str">
        <f t="shared" si="48"/>
        <v>2022-Q3-1</v>
      </c>
      <c r="F806">
        <f t="shared" si="49"/>
        <v>1</v>
      </c>
      <c r="G806" t="s">
        <v>23</v>
      </c>
      <c r="H806">
        <f t="shared" si="50"/>
        <v>1</v>
      </c>
      <c r="I806" s="5">
        <f t="shared" si="51"/>
        <v>1</v>
      </c>
      <c r="J806" s="2" t="s">
        <v>1612</v>
      </c>
      <c r="K806" s="2" t="s">
        <v>1613</v>
      </c>
    </row>
    <row r="807" spans="1:11">
      <c r="A807">
        <v>2022</v>
      </c>
      <c r="B807">
        <v>3</v>
      </c>
      <c r="C807">
        <v>2</v>
      </c>
      <c r="D807" t="s">
        <v>82</v>
      </c>
      <c r="E807" t="str">
        <f t="shared" si="48"/>
        <v>2022-Q3-2</v>
      </c>
      <c r="F807">
        <f t="shared" si="49"/>
        <v>1</v>
      </c>
      <c r="G807" t="s">
        <v>20</v>
      </c>
      <c r="H807">
        <f t="shared" si="50"/>
        <v>1</v>
      </c>
      <c r="I807" s="5">
        <f t="shared" si="51"/>
        <v>1</v>
      </c>
      <c r="J807" s="2" t="s">
        <v>1614</v>
      </c>
      <c r="K807" s="2" t="s">
        <v>1615</v>
      </c>
    </row>
    <row r="808" spans="1:11" ht="28.5" customHeight="1">
      <c r="A808">
        <v>2022</v>
      </c>
      <c r="B808">
        <v>3</v>
      </c>
      <c r="C808">
        <v>3</v>
      </c>
      <c r="D808" t="s">
        <v>82</v>
      </c>
      <c r="E808" t="str">
        <f t="shared" si="48"/>
        <v>2022-Q3-3</v>
      </c>
      <c r="F808">
        <f t="shared" si="49"/>
        <v>1</v>
      </c>
      <c r="G808" t="s">
        <v>32</v>
      </c>
      <c r="H808">
        <f t="shared" si="50"/>
        <v>1</v>
      </c>
      <c r="I808" s="5">
        <f t="shared" si="51"/>
        <v>1</v>
      </c>
      <c r="J808" s="2" t="s">
        <v>1616</v>
      </c>
      <c r="K808" s="2" t="s">
        <v>1617</v>
      </c>
    </row>
    <row r="809" spans="1:11" ht="28.5" customHeight="1">
      <c r="A809">
        <v>2022</v>
      </c>
      <c r="B809">
        <v>3</v>
      </c>
      <c r="C809">
        <v>4</v>
      </c>
      <c r="D809" t="s">
        <v>82</v>
      </c>
      <c r="E809" t="str">
        <f t="shared" si="48"/>
        <v>2022-Q3-4</v>
      </c>
      <c r="F809">
        <f t="shared" si="49"/>
        <v>1</v>
      </c>
      <c r="G809" t="s">
        <v>23</v>
      </c>
      <c r="H809">
        <f t="shared" si="50"/>
        <v>1</v>
      </c>
      <c r="I809" s="5">
        <f t="shared" si="51"/>
        <v>1</v>
      </c>
      <c r="J809" s="2" t="s">
        <v>1618</v>
      </c>
      <c r="K809" s="2" t="s">
        <v>1619</v>
      </c>
    </row>
    <row r="810" spans="1:11" ht="28.5" customHeight="1">
      <c r="A810">
        <v>2022</v>
      </c>
      <c r="B810">
        <v>4</v>
      </c>
      <c r="C810">
        <v>0</v>
      </c>
      <c r="D810" t="s">
        <v>82</v>
      </c>
      <c r="E810" t="str">
        <f t="shared" si="48"/>
        <v>2022-Q4-0</v>
      </c>
      <c r="F810">
        <f t="shared" si="49"/>
        <v>1</v>
      </c>
      <c r="G810" t="s">
        <v>35</v>
      </c>
      <c r="H810">
        <f t="shared" si="50"/>
        <v>1</v>
      </c>
      <c r="I810" s="5">
        <f t="shared" si="51"/>
        <v>1</v>
      </c>
      <c r="J810" s="2" t="s">
        <v>408</v>
      </c>
      <c r="K810" s="2" t="s">
        <v>1620</v>
      </c>
    </row>
    <row r="811" spans="1:11" ht="28.5" customHeight="1">
      <c r="A811">
        <v>2022</v>
      </c>
      <c r="B811">
        <v>4</v>
      </c>
      <c r="C811">
        <v>1</v>
      </c>
      <c r="D811" t="s">
        <v>82</v>
      </c>
      <c r="E811" t="str">
        <f t="shared" si="48"/>
        <v>2022-Q4-1</v>
      </c>
      <c r="F811">
        <f t="shared" si="49"/>
        <v>1</v>
      </c>
      <c r="G811" t="s">
        <v>35</v>
      </c>
      <c r="H811">
        <f t="shared" si="50"/>
        <v>1</v>
      </c>
      <c r="I811" s="5">
        <f t="shared" si="51"/>
        <v>1</v>
      </c>
      <c r="J811" s="2" t="s">
        <v>1621</v>
      </c>
      <c r="K811" s="2" t="s">
        <v>1622</v>
      </c>
    </row>
    <row r="812" spans="1:11" ht="28.5" customHeight="1">
      <c r="A812">
        <v>2022</v>
      </c>
      <c r="B812">
        <v>4</v>
      </c>
      <c r="C812">
        <v>2</v>
      </c>
      <c r="D812" t="s">
        <v>82</v>
      </c>
      <c r="E812" t="str">
        <f t="shared" si="48"/>
        <v>2022-Q4-2</v>
      </c>
      <c r="F812">
        <f t="shared" si="49"/>
        <v>1</v>
      </c>
      <c r="G812" t="s">
        <v>35</v>
      </c>
      <c r="H812">
        <f t="shared" si="50"/>
        <v>1</v>
      </c>
      <c r="I812" s="5">
        <f t="shared" si="51"/>
        <v>1</v>
      </c>
      <c r="J812" s="2" t="s">
        <v>1623</v>
      </c>
      <c r="K812" s="2" t="s">
        <v>1624</v>
      </c>
    </row>
    <row r="813" spans="1:11">
      <c r="A813">
        <v>2022</v>
      </c>
      <c r="B813">
        <v>4</v>
      </c>
      <c r="C813">
        <v>3</v>
      </c>
      <c r="D813" t="s">
        <v>82</v>
      </c>
      <c r="E813" t="str">
        <f t="shared" si="48"/>
        <v>2022-Q4-3</v>
      </c>
      <c r="F813">
        <f t="shared" si="49"/>
        <v>1</v>
      </c>
      <c r="G813" t="s">
        <v>29</v>
      </c>
      <c r="H813">
        <f t="shared" si="50"/>
        <v>1</v>
      </c>
      <c r="I813" s="5">
        <f t="shared" si="51"/>
        <v>1</v>
      </c>
      <c r="J813" s="2" t="s">
        <v>1625</v>
      </c>
      <c r="K813" s="2" t="s">
        <v>1626</v>
      </c>
    </row>
    <row r="814" spans="1:11" ht="28.5" customHeight="1">
      <c r="A814">
        <v>2022</v>
      </c>
      <c r="B814">
        <v>4</v>
      </c>
      <c r="C814">
        <v>4</v>
      </c>
      <c r="D814" t="s">
        <v>82</v>
      </c>
      <c r="E814" t="str">
        <f t="shared" si="48"/>
        <v>2022-Q4-4</v>
      </c>
      <c r="F814">
        <f t="shared" si="49"/>
        <v>1</v>
      </c>
      <c r="G814" t="s">
        <v>35</v>
      </c>
      <c r="H814">
        <f t="shared" si="50"/>
        <v>1</v>
      </c>
      <c r="I814" s="5">
        <f t="shared" si="51"/>
        <v>1</v>
      </c>
      <c r="J814" s="2" t="s">
        <v>1627</v>
      </c>
      <c r="K814" s="2" t="s">
        <v>1628</v>
      </c>
    </row>
    <row r="815" spans="1:11" ht="28.5" customHeight="1">
      <c r="A815">
        <v>2022</v>
      </c>
      <c r="B815">
        <v>5</v>
      </c>
      <c r="D815" t="s">
        <v>193</v>
      </c>
      <c r="E815" t="str">
        <f t="shared" si="48"/>
        <v>2022-Q5-ABERTA</v>
      </c>
      <c r="F815">
        <f t="shared" si="49"/>
        <v>5</v>
      </c>
      <c r="G815" t="s">
        <v>41</v>
      </c>
      <c r="H815">
        <f t="shared" si="50"/>
        <v>1</v>
      </c>
      <c r="I815" s="5">
        <f t="shared" si="51"/>
        <v>5</v>
      </c>
      <c r="J815" s="2" t="s">
        <v>1629</v>
      </c>
      <c r="K815" s="2" t="s">
        <v>1630</v>
      </c>
    </row>
    <row r="816" spans="1:11" ht="28.5" customHeight="1">
      <c r="A816">
        <v>2022</v>
      </c>
      <c r="B816">
        <v>6</v>
      </c>
      <c r="C816">
        <v>0</v>
      </c>
      <c r="D816" t="s">
        <v>82</v>
      </c>
      <c r="E816" t="str">
        <f t="shared" si="48"/>
        <v>2022-Q6-0</v>
      </c>
      <c r="F816">
        <f t="shared" si="49"/>
        <v>1</v>
      </c>
      <c r="G816" t="s">
        <v>26</v>
      </c>
      <c r="H816">
        <f t="shared" si="50"/>
        <v>1</v>
      </c>
      <c r="I816" s="5">
        <f t="shared" si="51"/>
        <v>1</v>
      </c>
      <c r="J816" s="2" t="s">
        <v>1631</v>
      </c>
      <c r="K816" s="2" t="s">
        <v>1632</v>
      </c>
    </row>
    <row r="817" spans="1:11">
      <c r="A817">
        <v>2022</v>
      </c>
      <c r="B817">
        <v>6</v>
      </c>
      <c r="C817">
        <v>1</v>
      </c>
      <c r="D817" t="s">
        <v>82</v>
      </c>
      <c r="E817" t="str">
        <f t="shared" si="48"/>
        <v>2022-Q6-1</v>
      </c>
      <c r="F817">
        <f t="shared" si="49"/>
        <v>1</v>
      </c>
      <c r="G817" t="s">
        <v>26</v>
      </c>
      <c r="H817">
        <f t="shared" si="50"/>
        <v>1</v>
      </c>
      <c r="I817" s="5">
        <f t="shared" si="51"/>
        <v>1</v>
      </c>
      <c r="J817" s="2" t="s">
        <v>1633</v>
      </c>
      <c r="K817" s="2" t="s">
        <v>1634</v>
      </c>
    </row>
    <row r="818" spans="1:11">
      <c r="A818">
        <v>2022</v>
      </c>
      <c r="B818">
        <v>6</v>
      </c>
      <c r="C818">
        <v>2</v>
      </c>
      <c r="D818" t="s">
        <v>82</v>
      </c>
      <c r="E818" t="str">
        <f t="shared" si="48"/>
        <v>2022-Q6-2</v>
      </c>
      <c r="F818">
        <f t="shared" si="49"/>
        <v>1</v>
      </c>
      <c r="G818" t="s">
        <v>26</v>
      </c>
      <c r="H818">
        <f t="shared" si="50"/>
        <v>1</v>
      </c>
      <c r="I818" s="5">
        <f t="shared" si="51"/>
        <v>1</v>
      </c>
      <c r="J818" s="2" t="s">
        <v>1635</v>
      </c>
      <c r="K818" s="2" t="s">
        <v>1636</v>
      </c>
    </row>
    <row r="819" spans="1:11">
      <c r="A819">
        <v>2022</v>
      </c>
      <c r="B819">
        <v>6</v>
      </c>
      <c r="C819">
        <v>3</v>
      </c>
      <c r="D819" t="s">
        <v>82</v>
      </c>
      <c r="E819" t="str">
        <f t="shared" si="48"/>
        <v>2022-Q6-3</v>
      </c>
      <c r="F819">
        <f t="shared" si="49"/>
        <v>1</v>
      </c>
      <c r="G819" t="s">
        <v>26</v>
      </c>
      <c r="H819">
        <f t="shared" si="50"/>
        <v>1</v>
      </c>
      <c r="I819" s="5">
        <f t="shared" si="51"/>
        <v>1</v>
      </c>
      <c r="J819" s="2" t="s">
        <v>1637</v>
      </c>
      <c r="K819" s="2" t="s">
        <v>1638</v>
      </c>
    </row>
    <row r="820" spans="1:11" ht="28.5" customHeight="1">
      <c r="A820">
        <v>2022</v>
      </c>
      <c r="B820">
        <v>6</v>
      </c>
      <c r="C820">
        <v>4</v>
      </c>
      <c r="D820" t="s">
        <v>82</v>
      </c>
      <c r="E820" t="str">
        <f t="shared" si="48"/>
        <v>2022-Q6-4</v>
      </c>
      <c r="F820">
        <f t="shared" si="49"/>
        <v>1</v>
      </c>
      <c r="G820" t="s">
        <v>26</v>
      </c>
      <c r="H820">
        <f t="shared" si="50"/>
        <v>1</v>
      </c>
      <c r="I820" s="5">
        <f t="shared" si="51"/>
        <v>1</v>
      </c>
      <c r="J820" s="2" t="s">
        <v>1639</v>
      </c>
      <c r="K820" s="2" t="s">
        <v>1640</v>
      </c>
    </row>
    <row r="821" spans="1:11" ht="28.5" customHeight="1">
      <c r="A821">
        <v>2022</v>
      </c>
      <c r="B821">
        <v>7</v>
      </c>
      <c r="D821" t="s">
        <v>193</v>
      </c>
      <c r="E821" t="str">
        <f t="shared" si="48"/>
        <v>2022-Q7-ABERTA</v>
      </c>
      <c r="F821">
        <f t="shared" si="49"/>
        <v>5</v>
      </c>
      <c r="G821" t="s">
        <v>44</v>
      </c>
      <c r="H821">
        <f t="shared" si="50"/>
        <v>1</v>
      </c>
      <c r="I821" s="5">
        <f t="shared" si="51"/>
        <v>5</v>
      </c>
      <c r="J821" s="2" t="s">
        <v>1641</v>
      </c>
      <c r="K821" s="2" t="s">
        <v>1642</v>
      </c>
    </row>
    <row r="822" spans="1:11" ht="28.5" customHeight="1">
      <c r="A822">
        <v>2022</v>
      </c>
      <c r="B822">
        <v>8</v>
      </c>
      <c r="C822">
        <v>0</v>
      </c>
      <c r="D822" t="s">
        <v>82</v>
      </c>
      <c r="E822" t="str">
        <f t="shared" si="48"/>
        <v>2022-Q8-0</v>
      </c>
      <c r="F822">
        <f t="shared" si="49"/>
        <v>1</v>
      </c>
      <c r="G822" t="s">
        <v>29</v>
      </c>
      <c r="H822">
        <f t="shared" si="50"/>
        <v>1</v>
      </c>
      <c r="I822" s="5">
        <f t="shared" si="51"/>
        <v>1</v>
      </c>
      <c r="J822" s="2" t="s">
        <v>1643</v>
      </c>
      <c r="K822" s="2" t="s">
        <v>1644</v>
      </c>
    </row>
    <row r="823" spans="1:11" ht="28.5" customHeight="1">
      <c r="A823">
        <v>2022</v>
      </c>
      <c r="B823">
        <v>8</v>
      </c>
      <c r="C823">
        <v>1</v>
      </c>
      <c r="D823" t="s">
        <v>82</v>
      </c>
      <c r="E823" t="str">
        <f t="shared" si="48"/>
        <v>2022-Q8-1</v>
      </c>
      <c r="F823">
        <f t="shared" si="49"/>
        <v>1</v>
      </c>
      <c r="G823" t="s">
        <v>29</v>
      </c>
      <c r="H823">
        <f t="shared" si="50"/>
        <v>1</v>
      </c>
      <c r="I823" s="5">
        <f t="shared" si="51"/>
        <v>1</v>
      </c>
      <c r="J823" s="2" t="s">
        <v>1645</v>
      </c>
      <c r="K823" s="2" t="s">
        <v>1646</v>
      </c>
    </row>
    <row r="824" spans="1:11" ht="28.5" customHeight="1">
      <c r="A824">
        <v>2022</v>
      </c>
      <c r="B824">
        <v>8</v>
      </c>
      <c r="C824">
        <v>2</v>
      </c>
      <c r="D824" t="s">
        <v>82</v>
      </c>
      <c r="E824" t="str">
        <f t="shared" si="48"/>
        <v>2022-Q8-2</v>
      </c>
      <c r="F824">
        <f t="shared" si="49"/>
        <v>1</v>
      </c>
      <c r="G824" t="s">
        <v>35</v>
      </c>
      <c r="H824">
        <f t="shared" si="50"/>
        <v>1</v>
      </c>
      <c r="I824" s="5">
        <f t="shared" si="51"/>
        <v>1</v>
      </c>
      <c r="J824" s="2" t="s">
        <v>1647</v>
      </c>
      <c r="K824" s="2" t="s">
        <v>1648</v>
      </c>
    </row>
    <row r="825" spans="1:11" ht="42.75" customHeight="1">
      <c r="A825">
        <v>2022</v>
      </c>
      <c r="B825">
        <v>8</v>
      </c>
      <c r="C825">
        <v>3</v>
      </c>
      <c r="D825" t="s">
        <v>82</v>
      </c>
      <c r="E825" t="str">
        <f t="shared" si="48"/>
        <v>2022-Q8-3</v>
      </c>
      <c r="F825">
        <f t="shared" si="49"/>
        <v>1</v>
      </c>
      <c r="G825" t="s">
        <v>35</v>
      </c>
      <c r="H825">
        <f t="shared" si="50"/>
        <v>2</v>
      </c>
      <c r="I825" s="5">
        <f t="shared" si="51"/>
        <v>0.5</v>
      </c>
      <c r="J825" s="2" t="s">
        <v>1649</v>
      </c>
      <c r="K825" s="2" t="s">
        <v>1650</v>
      </c>
    </row>
    <row r="826" spans="1:11" ht="42.75" customHeight="1">
      <c r="A826">
        <v>2022</v>
      </c>
      <c r="B826">
        <v>8</v>
      </c>
      <c r="C826">
        <v>3</v>
      </c>
      <c r="D826" t="s">
        <v>82</v>
      </c>
      <c r="E826" t="str">
        <f t="shared" si="48"/>
        <v>2022-Q8-3</v>
      </c>
      <c r="F826">
        <f t="shared" si="49"/>
        <v>1</v>
      </c>
      <c r="G826" t="s">
        <v>38</v>
      </c>
      <c r="H826">
        <f t="shared" si="50"/>
        <v>2</v>
      </c>
      <c r="I826" s="5">
        <f t="shared" si="51"/>
        <v>0.5</v>
      </c>
      <c r="J826" s="2" t="s">
        <v>1649</v>
      </c>
      <c r="K826" s="2" t="s">
        <v>1650</v>
      </c>
    </row>
    <row r="827" spans="1:11" ht="28.5" customHeight="1">
      <c r="A827">
        <v>2022</v>
      </c>
      <c r="B827">
        <v>8</v>
      </c>
      <c r="C827">
        <v>4</v>
      </c>
      <c r="D827" t="s">
        <v>82</v>
      </c>
      <c r="E827" t="str">
        <f t="shared" si="48"/>
        <v>2022-Q8-4</v>
      </c>
      <c r="F827">
        <f t="shared" si="49"/>
        <v>1</v>
      </c>
      <c r="G827" t="s">
        <v>38</v>
      </c>
      <c r="H827">
        <f t="shared" si="50"/>
        <v>1</v>
      </c>
      <c r="I827" s="5">
        <f t="shared" si="51"/>
        <v>1</v>
      </c>
      <c r="J827" s="2" t="s">
        <v>1059</v>
      </c>
      <c r="K827" s="2" t="s">
        <v>1651</v>
      </c>
    </row>
    <row r="828" spans="1:11" ht="28.5" customHeight="1">
      <c r="A828">
        <v>2022</v>
      </c>
      <c r="B828">
        <v>9</v>
      </c>
      <c r="C828">
        <v>0</v>
      </c>
      <c r="D828" t="s">
        <v>82</v>
      </c>
      <c r="E828" t="str">
        <f t="shared" si="48"/>
        <v>2022-Q9-0</v>
      </c>
      <c r="F828">
        <f t="shared" si="49"/>
        <v>1</v>
      </c>
      <c r="G828" t="s">
        <v>44</v>
      </c>
      <c r="H828">
        <f t="shared" si="50"/>
        <v>1</v>
      </c>
      <c r="I828" s="5">
        <f t="shared" si="51"/>
        <v>1</v>
      </c>
      <c r="J828" s="2" t="s">
        <v>1652</v>
      </c>
      <c r="K828" s="2" t="s">
        <v>1653</v>
      </c>
    </row>
    <row r="829" spans="1:11" ht="28.5" customHeight="1">
      <c r="A829">
        <v>2022</v>
      </c>
      <c r="B829">
        <v>9</v>
      </c>
      <c r="C829">
        <v>1</v>
      </c>
      <c r="D829" t="s">
        <v>82</v>
      </c>
      <c r="E829" t="str">
        <f t="shared" si="48"/>
        <v>2022-Q9-1</v>
      </c>
      <c r="F829">
        <f t="shared" si="49"/>
        <v>1</v>
      </c>
      <c r="G829" t="s">
        <v>44</v>
      </c>
      <c r="H829">
        <f t="shared" si="50"/>
        <v>1</v>
      </c>
      <c r="I829" s="5">
        <f t="shared" si="51"/>
        <v>1</v>
      </c>
      <c r="J829" s="2" t="s">
        <v>1654</v>
      </c>
      <c r="K829" s="2" t="s">
        <v>1655</v>
      </c>
    </row>
    <row r="830" spans="1:11" ht="28.5" customHeight="1">
      <c r="A830">
        <v>2022</v>
      </c>
      <c r="B830">
        <v>9</v>
      </c>
      <c r="C830">
        <v>2</v>
      </c>
      <c r="D830" t="s">
        <v>82</v>
      </c>
      <c r="E830" t="str">
        <f t="shared" si="48"/>
        <v>2022-Q9-2</v>
      </c>
      <c r="F830">
        <f t="shared" si="49"/>
        <v>1</v>
      </c>
      <c r="G830" t="s">
        <v>44</v>
      </c>
      <c r="H830">
        <f t="shared" si="50"/>
        <v>1</v>
      </c>
      <c r="I830" s="5">
        <f t="shared" si="51"/>
        <v>1</v>
      </c>
      <c r="J830" s="2" t="s">
        <v>1656</v>
      </c>
      <c r="K830" s="2" t="s">
        <v>1657</v>
      </c>
    </row>
    <row r="831" spans="1:11" ht="28.5" customHeight="1">
      <c r="A831">
        <v>2022</v>
      </c>
      <c r="B831">
        <v>9</v>
      </c>
      <c r="C831">
        <v>3</v>
      </c>
      <c r="D831" t="s">
        <v>82</v>
      </c>
      <c r="E831" t="str">
        <f t="shared" si="48"/>
        <v>2022-Q9-3</v>
      </c>
      <c r="F831">
        <f t="shared" si="49"/>
        <v>1</v>
      </c>
      <c r="G831" t="s">
        <v>44</v>
      </c>
      <c r="H831">
        <f t="shared" si="50"/>
        <v>1</v>
      </c>
      <c r="I831" s="5">
        <f t="shared" si="51"/>
        <v>1</v>
      </c>
      <c r="J831" s="2" t="s">
        <v>1658</v>
      </c>
      <c r="K831" s="2" t="s">
        <v>1659</v>
      </c>
    </row>
    <row r="832" spans="1:11" ht="28.5" customHeight="1">
      <c r="A832">
        <v>2022</v>
      </c>
      <c r="B832">
        <v>9</v>
      </c>
      <c r="C832">
        <v>4</v>
      </c>
      <c r="D832" t="s">
        <v>82</v>
      </c>
      <c r="E832" t="str">
        <f t="shared" si="48"/>
        <v>2022-Q9-4</v>
      </c>
      <c r="F832">
        <f t="shared" si="49"/>
        <v>1</v>
      </c>
      <c r="G832" t="s">
        <v>44</v>
      </c>
      <c r="H832">
        <f t="shared" si="50"/>
        <v>1</v>
      </c>
      <c r="I832" s="5">
        <f t="shared" si="51"/>
        <v>1</v>
      </c>
      <c r="J832" s="2" t="s">
        <v>1660</v>
      </c>
      <c r="K832" s="2" t="s">
        <v>1661</v>
      </c>
    </row>
    <row r="833" spans="1:11" ht="28.5" customHeight="1">
      <c r="A833">
        <v>2022</v>
      </c>
      <c r="B833">
        <v>10</v>
      </c>
      <c r="C833">
        <v>0</v>
      </c>
      <c r="D833" t="s">
        <v>82</v>
      </c>
      <c r="E833" t="str">
        <f t="shared" si="48"/>
        <v>2022-Q10-0</v>
      </c>
      <c r="F833">
        <f t="shared" si="49"/>
        <v>1</v>
      </c>
      <c r="G833" t="s">
        <v>26</v>
      </c>
      <c r="H833">
        <f t="shared" si="50"/>
        <v>1</v>
      </c>
      <c r="I833" s="5">
        <f t="shared" si="51"/>
        <v>1</v>
      </c>
      <c r="J833" s="2" t="s">
        <v>1662</v>
      </c>
      <c r="K833" s="2" t="s">
        <v>1663</v>
      </c>
    </row>
    <row r="834" spans="1:11" ht="28.5" customHeight="1">
      <c r="A834">
        <v>2022</v>
      </c>
      <c r="B834">
        <v>10</v>
      </c>
      <c r="C834">
        <v>1</v>
      </c>
      <c r="D834" t="s">
        <v>82</v>
      </c>
      <c r="E834" t="str">
        <f t="shared" si="48"/>
        <v>2022-Q10-1</v>
      </c>
      <c r="F834">
        <f t="shared" si="49"/>
        <v>1</v>
      </c>
      <c r="G834" t="s">
        <v>26</v>
      </c>
      <c r="H834">
        <f t="shared" si="50"/>
        <v>1</v>
      </c>
      <c r="I834" s="5">
        <f t="shared" si="51"/>
        <v>1</v>
      </c>
      <c r="J834" s="2" t="s">
        <v>1664</v>
      </c>
      <c r="K834" s="2" t="s">
        <v>1665</v>
      </c>
    </row>
    <row r="835" spans="1:11" ht="28.5" customHeight="1">
      <c r="A835">
        <v>2022</v>
      </c>
      <c r="B835">
        <v>10</v>
      </c>
      <c r="C835">
        <v>2</v>
      </c>
      <c r="D835" t="s">
        <v>82</v>
      </c>
      <c r="E835" t="str">
        <f t="shared" si="48"/>
        <v>2022-Q10-2</v>
      </c>
      <c r="F835">
        <f t="shared" si="49"/>
        <v>1</v>
      </c>
      <c r="G835" t="s">
        <v>23</v>
      </c>
      <c r="H835">
        <f t="shared" si="50"/>
        <v>1</v>
      </c>
      <c r="I835" s="5">
        <f t="shared" si="51"/>
        <v>1</v>
      </c>
      <c r="J835" s="2" t="s">
        <v>1666</v>
      </c>
      <c r="K835" s="2" t="s">
        <v>1667</v>
      </c>
    </row>
    <row r="836" spans="1:11" ht="28.5" customHeight="1">
      <c r="A836">
        <v>2022</v>
      </c>
      <c r="B836">
        <v>10</v>
      </c>
      <c r="C836">
        <v>3</v>
      </c>
      <c r="D836" t="s">
        <v>82</v>
      </c>
      <c r="E836" t="str">
        <f t="shared" si="48"/>
        <v>2022-Q10-3</v>
      </c>
      <c r="F836">
        <f t="shared" si="49"/>
        <v>1</v>
      </c>
      <c r="G836" t="s">
        <v>26</v>
      </c>
      <c r="H836">
        <f t="shared" si="50"/>
        <v>1</v>
      </c>
      <c r="I836" s="5">
        <f t="shared" si="51"/>
        <v>1</v>
      </c>
      <c r="J836" s="2" t="s">
        <v>1668</v>
      </c>
      <c r="K836" s="2" t="s">
        <v>1669</v>
      </c>
    </row>
    <row r="837" spans="1:11" ht="28.5" customHeight="1">
      <c r="A837">
        <v>2022</v>
      </c>
      <c r="B837">
        <v>10</v>
      </c>
      <c r="C837">
        <v>4</v>
      </c>
      <c r="D837" t="s">
        <v>82</v>
      </c>
      <c r="E837" t="str">
        <f t="shared" ref="E837:E900" si="52">IF(A837="","",TEXT(A837,"0")&amp;"-Q"&amp;TEXT(B837,"0")&amp;"-"&amp;IF(C837="","ABERTA",C837))</f>
        <v>2022-Q10-4</v>
      </c>
      <c r="F837">
        <f t="shared" ref="F837:F900" si="53">IF(D837="V/F",1,IF(D837="Aberta/numérica",5,""))</f>
        <v>1</v>
      </c>
      <c r="G837" t="s">
        <v>26</v>
      </c>
      <c r="H837">
        <f t="shared" ref="H837:H900" si="54">IF(A837="","",IF(C837="",COUNTIFS($A$5:$A$1504,A837,$B$5:$B$1504,B837,$C$5:$C$1504,"",$D$5:$D$1504,D837),COUNTIFS($A$5:$A$1504,A837,$B$5:$B$1504,B837,$C$5:$C$1504,C837,$D$5:$D$1504,D837)))</f>
        <v>1</v>
      </c>
      <c r="I837" s="5">
        <f t="shared" ref="I837:I900" si="55">IF(OR(F837="",H837="",G837=""),"",F837/H837)</f>
        <v>1</v>
      </c>
      <c r="J837" s="2" t="s">
        <v>1670</v>
      </c>
      <c r="K837" s="2" t="s">
        <v>1671</v>
      </c>
    </row>
    <row r="838" spans="1:11" ht="28.5" customHeight="1">
      <c r="A838">
        <v>2022</v>
      </c>
      <c r="B838">
        <v>11</v>
      </c>
      <c r="C838">
        <v>0</v>
      </c>
      <c r="D838" t="s">
        <v>82</v>
      </c>
      <c r="E838" t="str">
        <f t="shared" si="52"/>
        <v>2022-Q11-0</v>
      </c>
      <c r="F838">
        <f t="shared" si="53"/>
        <v>1</v>
      </c>
      <c r="G838" t="s">
        <v>23</v>
      </c>
      <c r="H838">
        <f t="shared" si="54"/>
        <v>1</v>
      </c>
      <c r="I838" s="5">
        <f t="shared" si="55"/>
        <v>1</v>
      </c>
      <c r="J838" s="2" t="s">
        <v>1672</v>
      </c>
      <c r="K838" s="2" t="s">
        <v>1673</v>
      </c>
    </row>
    <row r="839" spans="1:11" ht="28.5" customHeight="1">
      <c r="A839">
        <v>2022</v>
      </c>
      <c r="B839">
        <v>11</v>
      </c>
      <c r="C839">
        <v>1</v>
      </c>
      <c r="D839" t="s">
        <v>82</v>
      </c>
      <c r="E839" t="str">
        <f t="shared" si="52"/>
        <v>2022-Q11-1</v>
      </c>
      <c r="F839">
        <f t="shared" si="53"/>
        <v>1</v>
      </c>
      <c r="G839" t="s">
        <v>23</v>
      </c>
      <c r="H839">
        <f t="shared" si="54"/>
        <v>1</v>
      </c>
      <c r="I839" s="5">
        <f t="shared" si="55"/>
        <v>1</v>
      </c>
      <c r="J839" s="2" t="s">
        <v>1674</v>
      </c>
      <c r="K839" s="2" t="s">
        <v>1675</v>
      </c>
    </row>
    <row r="840" spans="1:11" ht="28.5" customHeight="1">
      <c r="A840">
        <v>2022</v>
      </c>
      <c r="B840">
        <v>11</v>
      </c>
      <c r="C840">
        <v>2</v>
      </c>
      <c r="D840" t="s">
        <v>82</v>
      </c>
      <c r="E840" t="str">
        <f t="shared" si="52"/>
        <v>2022-Q11-2</v>
      </c>
      <c r="F840">
        <f t="shared" si="53"/>
        <v>1</v>
      </c>
      <c r="G840" t="s">
        <v>23</v>
      </c>
      <c r="H840">
        <f t="shared" si="54"/>
        <v>1</v>
      </c>
      <c r="I840" s="5">
        <f t="shared" si="55"/>
        <v>1</v>
      </c>
      <c r="J840" s="2" t="s">
        <v>1676</v>
      </c>
      <c r="K840" s="2" t="s">
        <v>1677</v>
      </c>
    </row>
    <row r="841" spans="1:11" ht="28.5" customHeight="1">
      <c r="A841">
        <v>2022</v>
      </c>
      <c r="B841">
        <v>11</v>
      </c>
      <c r="C841">
        <v>3</v>
      </c>
      <c r="D841" t="s">
        <v>82</v>
      </c>
      <c r="E841" t="str">
        <f t="shared" si="52"/>
        <v>2022-Q11-3</v>
      </c>
      <c r="F841">
        <f t="shared" si="53"/>
        <v>1</v>
      </c>
      <c r="G841" t="s">
        <v>23</v>
      </c>
      <c r="H841">
        <f t="shared" si="54"/>
        <v>1</v>
      </c>
      <c r="I841" s="5">
        <f t="shared" si="55"/>
        <v>1</v>
      </c>
      <c r="J841" s="2" t="s">
        <v>1678</v>
      </c>
      <c r="K841" s="2" t="s">
        <v>1679</v>
      </c>
    </row>
    <row r="842" spans="1:11" ht="28.5" customHeight="1">
      <c r="A842">
        <v>2022</v>
      </c>
      <c r="B842">
        <v>11</v>
      </c>
      <c r="C842">
        <v>4</v>
      </c>
      <c r="D842" t="s">
        <v>82</v>
      </c>
      <c r="E842" t="str">
        <f t="shared" si="52"/>
        <v>2022-Q11-4</v>
      </c>
      <c r="F842">
        <f t="shared" si="53"/>
        <v>1</v>
      </c>
      <c r="G842" t="s">
        <v>23</v>
      </c>
      <c r="H842">
        <f t="shared" si="54"/>
        <v>1</v>
      </c>
      <c r="I842" s="5">
        <f t="shared" si="55"/>
        <v>1</v>
      </c>
      <c r="J842" s="2" t="s">
        <v>1680</v>
      </c>
      <c r="K842" s="2" t="s">
        <v>1681</v>
      </c>
    </row>
    <row r="843" spans="1:11" ht="28.5" customHeight="1">
      <c r="A843">
        <v>2022</v>
      </c>
      <c r="B843">
        <v>12</v>
      </c>
      <c r="C843">
        <v>0</v>
      </c>
      <c r="D843" t="s">
        <v>82</v>
      </c>
      <c r="E843" t="str">
        <f t="shared" si="52"/>
        <v>2022-Q12-0</v>
      </c>
      <c r="F843">
        <f t="shared" si="53"/>
        <v>1</v>
      </c>
      <c r="G843" t="s">
        <v>8</v>
      </c>
      <c r="H843">
        <f t="shared" si="54"/>
        <v>1</v>
      </c>
      <c r="I843" s="5">
        <f t="shared" si="55"/>
        <v>1</v>
      </c>
      <c r="J843" s="2" t="s">
        <v>1682</v>
      </c>
      <c r="K843" s="2" t="s">
        <v>1683</v>
      </c>
    </row>
    <row r="844" spans="1:11" ht="28.5" customHeight="1">
      <c r="A844">
        <v>2022</v>
      </c>
      <c r="B844">
        <v>12</v>
      </c>
      <c r="C844">
        <v>1</v>
      </c>
      <c r="D844" t="s">
        <v>82</v>
      </c>
      <c r="E844" t="str">
        <f t="shared" si="52"/>
        <v>2022-Q12-1</v>
      </c>
      <c r="F844">
        <f t="shared" si="53"/>
        <v>1</v>
      </c>
      <c r="G844" t="s">
        <v>8</v>
      </c>
      <c r="H844">
        <f t="shared" si="54"/>
        <v>1</v>
      </c>
      <c r="I844" s="5">
        <f t="shared" si="55"/>
        <v>1</v>
      </c>
      <c r="J844" s="2" t="s">
        <v>103</v>
      </c>
      <c r="K844" s="2" t="s">
        <v>1684</v>
      </c>
    </row>
    <row r="845" spans="1:11" ht="28.5" customHeight="1">
      <c r="A845">
        <v>2022</v>
      </c>
      <c r="B845">
        <v>12</v>
      </c>
      <c r="C845">
        <v>2</v>
      </c>
      <c r="D845" t="s">
        <v>82</v>
      </c>
      <c r="E845" t="str">
        <f t="shared" si="52"/>
        <v>2022-Q12-2</v>
      </c>
      <c r="F845">
        <f t="shared" si="53"/>
        <v>1</v>
      </c>
      <c r="G845" t="s">
        <v>8</v>
      </c>
      <c r="H845">
        <f t="shared" si="54"/>
        <v>1</v>
      </c>
      <c r="I845" s="5">
        <f t="shared" si="55"/>
        <v>1</v>
      </c>
      <c r="J845" s="2" t="s">
        <v>1685</v>
      </c>
      <c r="K845" s="2" t="s">
        <v>1686</v>
      </c>
    </row>
    <row r="846" spans="1:11" ht="28.5" customHeight="1">
      <c r="A846">
        <v>2022</v>
      </c>
      <c r="B846">
        <v>12</v>
      </c>
      <c r="C846">
        <v>3</v>
      </c>
      <c r="D846" t="s">
        <v>82</v>
      </c>
      <c r="E846" t="str">
        <f t="shared" si="52"/>
        <v>2022-Q12-3</v>
      </c>
      <c r="F846">
        <f t="shared" si="53"/>
        <v>1</v>
      </c>
      <c r="G846" t="s">
        <v>8</v>
      </c>
      <c r="H846">
        <f t="shared" si="54"/>
        <v>1</v>
      </c>
      <c r="I846" s="5">
        <f t="shared" si="55"/>
        <v>1</v>
      </c>
      <c r="J846" s="2" t="s">
        <v>107</v>
      </c>
      <c r="K846" s="2" t="s">
        <v>1687</v>
      </c>
    </row>
    <row r="847" spans="1:11" ht="28.5" customHeight="1">
      <c r="A847">
        <v>2022</v>
      </c>
      <c r="B847">
        <v>12</v>
      </c>
      <c r="C847">
        <v>4</v>
      </c>
      <c r="D847" t="s">
        <v>82</v>
      </c>
      <c r="E847" t="str">
        <f t="shared" si="52"/>
        <v>2022-Q12-4</v>
      </c>
      <c r="F847">
        <f t="shared" si="53"/>
        <v>1</v>
      </c>
      <c r="G847" t="s">
        <v>8</v>
      </c>
      <c r="H847">
        <f t="shared" si="54"/>
        <v>1</v>
      </c>
      <c r="I847" s="5">
        <f t="shared" si="55"/>
        <v>1</v>
      </c>
      <c r="J847" s="2" t="s">
        <v>109</v>
      </c>
      <c r="K847" s="2" t="s">
        <v>1688</v>
      </c>
    </row>
    <row r="848" spans="1:11" ht="28.5" customHeight="1">
      <c r="A848">
        <v>2022</v>
      </c>
      <c r="B848">
        <v>13</v>
      </c>
      <c r="D848" t="s">
        <v>193</v>
      </c>
      <c r="E848" t="str">
        <f t="shared" si="52"/>
        <v>2022-Q13-ABERTA</v>
      </c>
      <c r="F848">
        <f t="shared" si="53"/>
        <v>5</v>
      </c>
      <c r="G848" t="s">
        <v>14</v>
      </c>
      <c r="H848">
        <f t="shared" si="54"/>
        <v>1</v>
      </c>
      <c r="I848" s="5">
        <f t="shared" si="55"/>
        <v>5</v>
      </c>
      <c r="J848" s="2" t="s">
        <v>1689</v>
      </c>
      <c r="K848" s="2" t="s">
        <v>1690</v>
      </c>
    </row>
    <row r="849" spans="1:11" ht="28.5" customHeight="1">
      <c r="A849">
        <v>2022</v>
      </c>
      <c r="B849">
        <v>14</v>
      </c>
      <c r="C849">
        <v>0</v>
      </c>
      <c r="D849" t="s">
        <v>82</v>
      </c>
      <c r="E849" t="str">
        <f t="shared" si="52"/>
        <v>2022-Q14-0</v>
      </c>
      <c r="F849">
        <f t="shared" si="53"/>
        <v>1</v>
      </c>
      <c r="G849" t="s">
        <v>32</v>
      </c>
      <c r="H849">
        <f t="shared" si="54"/>
        <v>1</v>
      </c>
      <c r="I849" s="5">
        <f t="shared" si="55"/>
        <v>1</v>
      </c>
      <c r="J849" s="2" t="s">
        <v>1691</v>
      </c>
      <c r="K849" s="2" t="s">
        <v>1692</v>
      </c>
    </row>
    <row r="850" spans="1:11" ht="28.5" customHeight="1">
      <c r="A850">
        <v>2022</v>
      </c>
      <c r="B850">
        <v>14</v>
      </c>
      <c r="C850">
        <v>1</v>
      </c>
      <c r="D850" t="s">
        <v>82</v>
      </c>
      <c r="E850" t="str">
        <f t="shared" si="52"/>
        <v>2022-Q14-1</v>
      </c>
      <c r="F850">
        <f t="shared" si="53"/>
        <v>1</v>
      </c>
      <c r="G850" t="s">
        <v>32</v>
      </c>
      <c r="H850">
        <f t="shared" si="54"/>
        <v>1</v>
      </c>
      <c r="I850" s="5">
        <f t="shared" si="55"/>
        <v>1</v>
      </c>
      <c r="J850" s="2" t="s">
        <v>155</v>
      </c>
      <c r="K850" s="2" t="s">
        <v>1693</v>
      </c>
    </row>
    <row r="851" spans="1:11" ht="28.5" customHeight="1">
      <c r="A851">
        <v>2022</v>
      </c>
      <c r="B851">
        <v>14</v>
      </c>
      <c r="C851">
        <v>2</v>
      </c>
      <c r="D851" t="s">
        <v>82</v>
      </c>
      <c r="E851" t="str">
        <f t="shared" si="52"/>
        <v>2022-Q14-2</v>
      </c>
      <c r="F851">
        <f t="shared" si="53"/>
        <v>1</v>
      </c>
      <c r="G851" t="s">
        <v>32</v>
      </c>
      <c r="H851">
        <f t="shared" si="54"/>
        <v>1</v>
      </c>
      <c r="I851" s="5">
        <f t="shared" si="55"/>
        <v>1</v>
      </c>
      <c r="J851" s="2" t="s">
        <v>1694</v>
      </c>
      <c r="K851" s="2" t="s">
        <v>1695</v>
      </c>
    </row>
    <row r="852" spans="1:11" ht="28.5" customHeight="1">
      <c r="A852">
        <v>2022</v>
      </c>
      <c r="B852">
        <v>14</v>
      </c>
      <c r="C852">
        <v>3</v>
      </c>
      <c r="D852" t="s">
        <v>82</v>
      </c>
      <c r="E852" t="str">
        <f t="shared" si="52"/>
        <v>2022-Q14-3</v>
      </c>
      <c r="F852">
        <f t="shared" si="53"/>
        <v>1</v>
      </c>
      <c r="G852" t="s">
        <v>35</v>
      </c>
      <c r="H852">
        <f t="shared" si="54"/>
        <v>1</v>
      </c>
      <c r="I852" s="5">
        <f t="shared" si="55"/>
        <v>1</v>
      </c>
      <c r="J852" s="2" t="s">
        <v>1696</v>
      </c>
      <c r="K852" s="2" t="s">
        <v>1697</v>
      </c>
    </row>
    <row r="853" spans="1:11" ht="28.5" customHeight="1">
      <c r="A853">
        <v>2022</v>
      </c>
      <c r="B853">
        <v>14</v>
      </c>
      <c r="C853">
        <v>4</v>
      </c>
      <c r="D853" t="s">
        <v>82</v>
      </c>
      <c r="E853" t="str">
        <f t="shared" si="52"/>
        <v>2022-Q14-4</v>
      </c>
      <c r="F853">
        <f t="shared" si="53"/>
        <v>1</v>
      </c>
      <c r="G853" t="s">
        <v>32</v>
      </c>
      <c r="H853">
        <f t="shared" si="54"/>
        <v>1</v>
      </c>
      <c r="I853" s="5">
        <f t="shared" si="55"/>
        <v>1</v>
      </c>
      <c r="J853" s="2" t="s">
        <v>1698</v>
      </c>
      <c r="K853" s="2" t="s">
        <v>1699</v>
      </c>
    </row>
    <row r="854" spans="1:11" ht="28.5" customHeight="1">
      <c r="A854">
        <v>2022</v>
      </c>
      <c r="B854">
        <v>15</v>
      </c>
      <c r="D854" t="s">
        <v>193</v>
      </c>
      <c r="E854" t="str">
        <f t="shared" si="52"/>
        <v>2022-Q15-ABERTA</v>
      </c>
      <c r="F854">
        <f t="shared" si="53"/>
        <v>5</v>
      </c>
      <c r="G854" t="s">
        <v>26</v>
      </c>
      <c r="H854">
        <f t="shared" si="54"/>
        <v>1</v>
      </c>
      <c r="I854" s="5">
        <f t="shared" si="55"/>
        <v>5</v>
      </c>
      <c r="J854" s="2" t="s">
        <v>1700</v>
      </c>
      <c r="K854" s="2" t="s">
        <v>1701</v>
      </c>
    </row>
    <row r="855" spans="1:11" ht="28.5" customHeight="1">
      <c r="A855">
        <v>2023</v>
      </c>
      <c r="B855">
        <v>1</v>
      </c>
      <c r="C855">
        <v>0</v>
      </c>
      <c r="D855" t="s">
        <v>82</v>
      </c>
      <c r="E855" t="str">
        <f t="shared" si="52"/>
        <v>2023-Q1-0</v>
      </c>
      <c r="F855">
        <f t="shared" si="53"/>
        <v>1</v>
      </c>
      <c r="G855" t="s">
        <v>23</v>
      </c>
      <c r="H855">
        <f t="shared" si="54"/>
        <v>1</v>
      </c>
      <c r="I855" s="5">
        <f t="shared" si="55"/>
        <v>1</v>
      </c>
      <c r="J855" s="2" t="s">
        <v>1702</v>
      </c>
      <c r="K855" s="2" t="s">
        <v>1703</v>
      </c>
    </row>
    <row r="856" spans="1:11">
      <c r="A856">
        <v>2023</v>
      </c>
      <c r="B856">
        <v>1</v>
      </c>
      <c r="C856">
        <v>1</v>
      </c>
      <c r="D856" t="s">
        <v>82</v>
      </c>
      <c r="E856" t="str">
        <f t="shared" si="52"/>
        <v>2023-Q1-1</v>
      </c>
      <c r="F856">
        <f t="shared" si="53"/>
        <v>1</v>
      </c>
      <c r="G856" t="s">
        <v>23</v>
      </c>
      <c r="H856">
        <f t="shared" si="54"/>
        <v>1</v>
      </c>
      <c r="I856" s="5">
        <f t="shared" si="55"/>
        <v>1</v>
      </c>
      <c r="J856" s="2" t="s">
        <v>1704</v>
      </c>
      <c r="K856" s="2" t="s">
        <v>1705</v>
      </c>
    </row>
    <row r="857" spans="1:11" ht="28.5" customHeight="1">
      <c r="A857">
        <v>2023</v>
      </c>
      <c r="B857">
        <v>1</v>
      </c>
      <c r="C857">
        <v>2</v>
      </c>
      <c r="D857" t="s">
        <v>82</v>
      </c>
      <c r="E857" t="str">
        <f t="shared" si="52"/>
        <v>2023-Q1-2</v>
      </c>
      <c r="F857">
        <f t="shared" si="53"/>
        <v>1</v>
      </c>
      <c r="G857" t="s">
        <v>23</v>
      </c>
      <c r="H857">
        <f t="shared" si="54"/>
        <v>1</v>
      </c>
      <c r="I857" s="5">
        <f t="shared" si="55"/>
        <v>1</v>
      </c>
      <c r="J857" s="2" t="s">
        <v>1706</v>
      </c>
      <c r="K857" s="2" t="s">
        <v>1707</v>
      </c>
    </row>
    <row r="858" spans="1:11">
      <c r="A858">
        <v>2023</v>
      </c>
      <c r="B858">
        <v>1</v>
      </c>
      <c r="C858">
        <v>3</v>
      </c>
      <c r="D858" t="s">
        <v>82</v>
      </c>
      <c r="E858" t="str">
        <f t="shared" si="52"/>
        <v>2023-Q1-3</v>
      </c>
      <c r="F858">
        <f t="shared" si="53"/>
        <v>1</v>
      </c>
      <c r="G858" t="s">
        <v>26</v>
      </c>
      <c r="H858">
        <f t="shared" si="54"/>
        <v>1</v>
      </c>
      <c r="I858" s="5">
        <f t="shared" si="55"/>
        <v>1</v>
      </c>
      <c r="J858" s="2" t="s">
        <v>1530</v>
      </c>
      <c r="K858" s="2" t="s">
        <v>1708</v>
      </c>
    </row>
    <row r="859" spans="1:11" ht="28.5" customHeight="1">
      <c r="A859">
        <v>2023</v>
      </c>
      <c r="B859">
        <v>1</v>
      </c>
      <c r="C859">
        <v>4</v>
      </c>
      <c r="D859" t="s">
        <v>82</v>
      </c>
      <c r="E859" t="str">
        <f t="shared" si="52"/>
        <v>2023-Q1-4</v>
      </c>
      <c r="F859">
        <f t="shared" si="53"/>
        <v>1</v>
      </c>
      <c r="G859" t="s">
        <v>26</v>
      </c>
      <c r="H859">
        <f t="shared" si="54"/>
        <v>1</v>
      </c>
      <c r="I859" s="5">
        <f t="shared" si="55"/>
        <v>1</v>
      </c>
      <c r="J859" s="2" t="s">
        <v>1709</v>
      </c>
      <c r="K859" s="2" t="s">
        <v>1710</v>
      </c>
    </row>
    <row r="860" spans="1:11" ht="28.5" customHeight="1">
      <c r="A860">
        <v>2023</v>
      </c>
      <c r="B860">
        <v>2</v>
      </c>
      <c r="D860" t="s">
        <v>193</v>
      </c>
      <c r="E860" t="str">
        <f t="shared" si="52"/>
        <v>2023-Q2-ABERTA</v>
      </c>
      <c r="F860">
        <f t="shared" si="53"/>
        <v>5</v>
      </c>
      <c r="G860" t="s">
        <v>50</v>
      </c>
      <c r="H860">
        <f t="shared" si="54"/>
        <v>1</v>
      </c>
      <c r="I860" s="5">
        <f t="shared" si="55"/>
        <v>5</v>
      </c>
      <c r="J860" s="2" t="s">
        <v>701</v>
      </c>
      <c r="K860" s="2" t="s">
        <v>1711</v>
      </c>
    </row>
    <row r="861" spans="1:11" ht="28.5" customHeight="1">
      <c r="A861">
        <v>2023</v>
      </c>
      <c r="B861">
        <v>3</v>
      </c>
      <c r="D861" t="s">
        <v>193</v>
      </c>
      <c r="E861" t="str">
        <f t="shared" si="52"/>
        <v>2023-Q3-ABERTA</v>
      </c>
      <c r="F861">
        <f t="shared" si="53"/>
        <v>5</v>
      </c>
      <c r="G861" t="s">
        <v>32</v>
      </c>
      <c r="H861">
        <f t="shared" si="54"/>
        <v>1</v>
      </c>
      <c r="I861" s="5">
        <f t="shared" si="55"/>
        <v>5</v>
      </c>
      <c r="J861" s="2" t="s">
        <v>840</v>
      </c>
      <c r="K861" s="2" t="s">
        <v>1712</v>
      </c>
    </row>
    <row r="862" spans="1:11" ht="28.5" customHeight="1">
      <c r="A862">
        <v>2023</v>
      </c>
      <c r="B862">
        <v>4</v>
      </c>
      <c r="C862">
        <v>0</v>
      </c>
      <c r="D862" t="s">
        <v>82</v>
      </c>
      <c r="E862" t="str">
        <f t="shared" si="52"/>
        <v>2023-Q4-0</v>
      </c>
      <c r="F862">
        <f t="shared" si="53"/>
        <v>1</v>
      </c>
      <c r="G862" t="s">
        <v>23</v>
      </c>
      <c r="H862">
        <f t="shared" si="54"/>
        <v>1</v>
      </c>
      <c r="I862" s="5">
        <f t="shared" si="55"/>
        <v>1</v>
      </c>
      <c r="J862" s="2" t="s">
        <v>1713</v>
      </c>
      <c r="K862" s="2" t="s">
        <v>1714</v>
      </c>
    </row>
    <row r="863" spans="1:11">
      <c r="A863">
        <v>2023</v>
      </c>
      <c r="B863">
        <v>4</v>
      </c>
      <c r="C863">
        <v>1</v>
      </c>
      <c r="D863" t="s">
        <v>82</v>
      </c>
      <c r="E863" t="str">
        <f t="shared" si="52"/>
        <v>2023-Q4-1</v>
      </c>
      <c r="F863">
        <f t="shared" si="53"/>
        <v>1</v>
      </c>
      <c r="G863" t="s">
        <v>23</v>
      </c>
      <c r="H863">
        <f t="shared" si="54"/>
        <v>1</v>
      </c>
      <c r="I863" s="5">
        <f t="shared" si="55"/>
        <v>1</v>
      </c>
      <c r="J863" s="2" t="s">
        <v>1715</v>
      </c>
      <c r="K863" s="2" t="s">
        <v>1716</v>
      </c>
    </row>
    <row r="864" spans="1:11">
      <c r="A864">
        <v>2023</v>
      </c>
      <c r="B864">
        <v>4</v>
      </c>
      <c r="C864">
        <v>2</v>
      </c>
      <c r="D864" t="s">
        <v>82</v>
      </c>
      <c r="E864" t="str">
        <f t="shared" si="52"/>
        <v>2023-Q4-2</v>
      </c>
      <c r="F864">
        <f t="shared" si="53"/>
        <v>1</v>
      </c>
      <c r="G864" t="s">
        <v>26</v>
      </c>
      <c r="H864">
        <f t="shared" si="54"/>
        <v>1</v>
      </c>
      <c r="I864" s="5">
        <f t="shared" si="55"/>
        <v>1</v>
      </c>
      <c r="J864" s="2" t="s">
        <v>719</v>
      </c>
      <c r="K864" s="2" t="s">
        <v>1717</v>
      </c>
    </row>
    <row r="865" spans="1:11" ht="28.5" customHeight="1">
      <c r="A865">
        <v>2023</v>
      </c>
      <c r="B865">
        <v>4</v>
      </c>
      <c r="C865">
        <v>3</v>
      </c>
      <c r="D865" t="s">
        <v>82</v>
      </c>
      <c r="E865" t="str">
        <f t="shared" si="52"/>
        <v>2023-Q4-3</v>
      </c>
      <c r="F865">
        <f t="shared" si="53"/>
        <v>1</v>
      </c>
      <c r="G865" t="s">
        <v>14</v>
      </c>
      <c r="H865">
        <f t="shared" si="54"/>
        <v>1</v>
      </c>
      <c r="I865" s="5">
        <f t="shared" si="55"/>
        <v>1</v>
      </c>
      <c r="J865" s="2" t="s">
        <v>1718</v>
      </c>
      <c r="K865" s="2" t="s">
        <v>1719</v>
      </c>
    </row>
    <row r="866" spans="1:11" ht="28.5" customHeight="1">
      <c r="A866">
        <v>2023</v>
      </c>
      <c r="B866">
        <v>4</v>
      </c>
      <c r="C866">
        <v>4</v>
      </c>
      <c r="D866" t="s">
        <v>82</v>
      </c>
      <c r="E866" t="str">
        <f t="shared" si="52"/>
        <v>2023-Q4-4</v>
      </c>
      <c r="F866">
        <f t="shared" si="53"/>
        <v>1</v>
      </c>
      <c r="G866" t="s">
        <v>17</v>
      </c>
      <c r="H866">
        <f t="shared" si="54"/>
        <v>1</v>
      </c>
      <c r="I866" s="5">
        <f t="shared" si="55"/>
        <v>1</v>
      </c>
      <c r="J866" s="2" t="s">
        <v>1720</v>
      </c>
      <c r="K866" s="2" t="s">
        <v>1721</v>
      </c>
    </row>
    <row r="867" spans="1:11" ht="28.5" customHeight="1">
      <c r="A867">
        <v>2023</v>
      </c>
      <c r="B867">
        <v>5</v>
      </c>
      <c r="D867" t="s">
        <v>193</v>
      </c>
      <c r="E867" t="str">
        <f t="shared" si="52"/>
        <v>2023-Q5-ABERTA</v>
      </c>
      <c r="F867">
        <f t="shared" si="53"/>
        <v>5</v>
      </c>
      <c r="G867" t="s">
        <v>26</v>
      </c>
      <c r="H867">
        <f t="shared" si="54"/>
        <v>1</v>
      </c>
      <c r="I867" s="5">
        <f t="shared" si="55"/>
        <v>5</v>
      </c>
      <c r="J867" s="2" t="s">
        <v>1722</v>
      </c>
      <c r="K867" s="2" t="s">
        <v>1723</v>
      </c>
    </row>
    <row r="868" spans="1:11">
      <c r="A868">
        <v>2023</v>
      </c>
      <c r="B868">
        <v>6</v>
      </c>
      <c r="C868">
        <v>0</v>
      </c>
      <c r="D868" t="s">
        <v>82</v>
      </c>
      <c r="E868" t="str">
        <f t="shared" si="52"/>
        <v>2023-Q6-0</v>
      </c>
      <c r="F868">
        <f t="shared" si="53"/>
        <v>1</v>
      </c>
      <c r="G868" t="s">
        <v>8</v>
      </c>
      <c r="H868">
        <f t="shared" si="54"/>
        <v>1</v>
      </c>
      <c r="I868" s="5">
        <f t="shared" si="55"/>
        <v>1</v>
      </c>
      <c r="J868" s="2" t="s">
        <v>1724</v>
      </c>
      <c r="K868" s="2" t="s">
        <v>1725</v>
      </c>
    </row>
    <row r="869" spans="1:11">
      <c r="A869">
        <v>2023</v>
      </c>
      <c r="B869">
        <v>6</v>
      </c>
      <c r="C869">
        <v>1</v>
      </c>
      <c r="D869" t="s">
        <v>82</v>
      </c>
      <c r="E869" t="str">
        <f t="shared" si="52"/>
        <v>2023-Q6-1</v>
      </c>
      <c r="F869">
        <f t="shared" si="53"/>
        <v>1</v>
      </c>
      <c r="G869" t="s">
        <v>8</v>
      </c>
      <c r="H869">
        <f t="shared" si="54"/>
        <v>1</v>
      </c>
      <c r="I869" s="5">
        <f t="shared" si="55"/>
        <v>1</v>
      </c>
      <c r="J869" s="2" t="s">
        <v>1726</v>
      </c>
      <c r="K869" s="2" t="s">
        <v>1727</v>
      </c>
    </row>
    <row r="870" spans="1:11">
      <c r="A870">
        <v>2023</v>
      </c>
      <c r="B870">
        <v>6</v>
      </c>
      <c r="C870">
        <v>2</v>
      </c>
      <c r="D870" t="s">
        <v>82</v>
      </c>
      <c r="E870" t="str">
        <f t="shared" si="52"/>
        <v>2023-Q6-2</v>
      </c>
      <c r="F870">
        <f t="shared" si="53"/>
        <v>1</v>
      </c>
      <c r="G870" t="s">
        <v>11</v>
      </c>
      <c r="H870">
        <f t="shared" si="54"/>
        <v>1</v>
      </c>
      <c r="I870" s="5">
        <f t="shared" si="55"/>
        <v>1</v>
      </c>
      <c r="J870" s="2" t="s">
        <v>1728</v>
      </c>
      <c r="K870" s="2" t="s">
        <v>1729</v>
      </c>
    </row>
    <row r="871" spans="1:11" ht="28.5" customHeight="1">
      <c r="A871">
        <v>2023</v>
      </c>
      <c r="B871">
        <v>6</v>
      </c>
      <c r="C871">
        <v>3</v>
      </c>
      <c r="D871" t="s">
        <v>82</v>
      </c>
      <c r="E871" t="str">
        <f t="shared" si="52"/>
        <v>2023-Q6-3</v>
      </c>
      <c r="F871">
        <f t="shared" si="53"/>
        <v>1</v>
      </c>
      <c r="G871" t="s">
        <v>11</v>
      </c>
      <c r="H871">
        <f t="shared" si="54"/>
        <v>1</v>
      </c>
      <c r="I871" s="5">
        <f t="shared" si="55"/>
        <v>1</v>
      </c>
      <c r="J871" s="2" t="s">
        <v>1730</v>
      </c>
      <c r="K871" s="2" t="s">
        <v>1731</v>
      </c>
    </row>
    <row r="872" spans="1:11" ht="28.5" customHeight="1">
      <c r="A872">
        <v>2023</v>
      </c>
      <c r="B872">
        <v>6</v>
      </c>
      <c r="C872">
        <v>4</v>
      </c>
      <c r="D872" t="s">
        <v>82</v>
      </c>
      <c r="E872" t="str">
        <f t="shared" si="52"/>
        <v>2023-Q6-4</v>
      </c>
      <c r="F872">
        <f t="shared" si="53"/>
        <v>1</v>
      </c>
      <c r="G872" t="s">
        <v>11</v>
      </c>
      <c r="H872">
        <f t="shared" si="54"/>
        <v>1</v>
      </c>
      <c r="I872" s="5">
        <f t="shared" si="55"/>
        <v>1</v>
      </c>
      <c r="J872" s="2" t="s">
        <v>1732</v>
      </c>
      <c r="K872" s="2" t="s">
        <v>1733</v>
      </c>
    </row>
    <row r="873" spans="1:11" ht="28.5" customHeight="1">
      <c r="A873">
        <v>2023</v>
      </c>
      <c r="B873">
        <v>7</v>
      </c>
      <c r="C873">
        <v>0</v>
      </c>
      <c r="D873" t="s">
        <v>82</v>
      </c>
      <c r="E873" t="str">
        <f t="shared" si="52"/>
        <v>2023-Q7-0</v>
      </c>
      <c r="F873">
        <f t="shared" si="53"/>
        <v>1</v>
      </c>
      <c r="G873" t="s">
        <v>14</v>
      </c>
      <c r="H873">
        <f t="shared" si="54"/>
        <v>1</v>
      </c>
      <c r="I873" s="5">
        <f t="shared" si="55"/>
        <v>1</v>
      </c>
      <c r="J873" s="2" t="s">
        <v>1734</v>
      </c>
      <c r="K873" s="2" t="s">
        <v>1735</v>
      </c>
    </row>
    <row r="874" spans="1:11" ht="28.5" customHeight="1">
      <c r="A874">
        <v>2023</v>
      </c>
      <c r="B874">
        <v>7</v>
      </c>
      <c r="C874">
        <v>1</v>
      </c>
      <c r="D874" t="s">
        <v>82</v>
      </c>
      <c r="E874" t="str">
        <f t="shared" si="52"/>
        <v>2023-Q7-1</v>
      </c>
      <c r="F874">
        <f t="shared" si="53"/>
        <v>1</v>
      </c>
      <c r="G874" t="s">
        <v>14</v>
      </c>
      <c r="H874">
        <f t="shared" si="54"/>
        <v>1</v>
      </c>
      <c r="I874" s="5">
        <f t="shared" si="55"/>
        <v>1</v>
      </c>
      <c r="J874" s="2" t="s">
        <v>1736</v>
      </c>
      <c r="K874" s="2" t="s">
        <v>1737</v>
      </c>
    </row>
    <row r="875" spans="1:11" ht="28.5" customHeight="1">
      <c r="A875">
        <v>2023</v>
      </c>
      <c r="B875">
        <v>7</v>
      </c>
      <c r="C875">
        <v>2</v>
      </c>
      <c r="D875" t="s">
        <v>82</v>
      </c>
      <c r="E875" t="str">
        <f t="shared" si="52"/>
        <v>2023-Q7-2</v>
      </c>
      <c r="F875">
        <f t="shared" si="53"/>
        <v>1</v>
      </c>
      <c r="G875" t="s">
        <v>14</v>
      </c>
      <c r="H875">
        <f t="shared" si="54"/>
        <v>1</v>
      </c>
      <c r="I875" s="5">
        <f t="shared" si="55"/>
        <v>1</v>
      </c>
      <c r="J875" s="2" t="s">
        <v>1738</v>
      </c>
      <c r="K875" s="2" t="s">
        <v>1739</v>
      </c>
    </row>
    <row r="876" spans="1:11" ht="28.5" customHeight="1">
      <c r="A876">
        <v>2023</v>
      </c>
      <c r="B876">
        <v>7</v>
      </c>
      <c r="C876">
        <v>3</v>
      </c>
      <c r="D876" t="s">
        <v>82</v>
      </c>
      <c r="E876" t="str">
        <f t="shared" si="52"/>
        <v>2023-Q7-3</v>
      </c>
      <c r="F876">
        <f t="shared" si="53"/>
        <v>1</v>
      </c>
      <c r="G876" t="s">
        <v>14</v>
      </c>
      <c r="H876">
        <f t="shared" si="54"/>
        <v>1</v>
      </c>
      <c r="I876" s="5">
        <f t="shared" si="55"/>
        <v>1</v>
      </c>
      <c r="J876" s="2" t="s">
        <v>1740</v>
      </c>
      <c r="K876" s="2" t="s">
        <v>1741</v>
      </c>
    </row>
    <row r="877" spans="1:11" ht="28.5" customHeight="1">
      <c r="A877">
        <v>2023</v>
      </c>
      <c r="B877">
        <v>7</v>
      </c>
      <c r="C877">
        <v>4</v>
      </c>
      <c r="D877" t="s">
        <v>82</v>
      </c>
      <c r="E877" t="str">
        <f t="shared" si="52"/>
        <v>2023-Q7-4</v>
      </c>
      <c r="F877">
        <f t="shared" si="53"/>
        <v>1</v>
      </c>
      <c r="G877" t="s">
        <v>14</v>
      </c>
      <c r="H877">
        <f t="shared" si="54"/>
        <v>1</v>
      </c>
      <c r="I877" s="5">
        <f t="shared" si="55"/>
        <v>1</v>
      </c>
      <c r="J877" s="2" t="s">
        <v>1742</v>
      </c>
      <c r="K877" s="2" t="s">
        <v>1743</v>
      </c>
    </row>
    <row r="878" spans="1:11" ht="28.5" customHeight="1">
      <c r="A878">
        <v>2023</v>
      </c>
      <c r="B878">
        <v>8</v>
      </c>
      <c r="C878">
        <v>0</v>
      </c>
      <c r="D878" t="s">
        <v>82</v>
      </c>
      <c r="E878" t="str">
        <f t="shared" si="52"/>
        <v>2023-Q8-0</v>
      </c>
      <c r="F878">
        <f t="shared" si="53"/>
        <v>1</v>
      </c>
      <c r="G878" t="s">
        <v>23</v>
      </c>
      <c r="H878">
        <f t="shared" si="54"/>
        <v>1</v>
      </c>
      <c r="I878" s="5">
        <f t="shared" si="55"/>
        <v>1</v>
      </c>
      <c r="J878" s="2" t="s">
        <v>1744</v>
      </c>
      <c r="K878" s="2" t="s">
        <v>1745</v>
      </c>
    </row>
    <row r="879" spans="1:11" ht="28.5" customHeight="1">
      <c r="A879">
        <v>2023</v>
      </c>
      <c r="B879">
        <v>8</v>
      </c>
      <c r="C879">
        <v>1</v>
      </c>
      <c r="D879" t="s">
        <v>82</v>
      </c>
      <c r="E879" t="str">
        <f t="shared" si="52"/>
        <v>2023-Q8-1</v>
      </c>
      <c r="F879">
        <f t="shared" si="53"/>
        <v>1</v>
      </c>
      <c r="G879" t="s">
        <v>23</v>
      </c>
      <c r="H879">
        <f t="shared" si="54"/>
        <v>1</v>
      </c>
      <c r="I879" s="5">
        <f t="shared" si="55"/>
        <v>1</v>
      </c>
      <c r="J879" s="2" t="s">
        <v>1746</v>
      </c>
      <c r="K879" s="2" t="s">
        <v>1747</v>
      </c>
    </row>
    <row r="880" spans="1:11" ht="28.5" customHeight="1">
      <c r="A880">
        <v>2023</v>
      </c>
      <c r="B880">
        <v>8</v>
      </c>
      <c r="C880">
        <v>2</v>
      </c>
      <c r="D880" t="s">
        <v>82</v>
      </c>
      <c r="E880" t="str">
        <f t="shared" si="52"/>
        <v>2023-Q8-2</v>
      </c>
      <c r="F880">
        <f t="shared" si="53"/>
        <v>1</v>
      </c>
      <c r="G880" t="s">
        <v>23</v>
      </c>
      <c r="H880">
        <f t="shared" si="54"/>
        <v>1</v>
      </c>
      <c r="I880" s="5">
        <f t="shared" si="55"/>
        <v>1</v>
      </c>
      <c r="J880" s="2" t="s">
        <v>1748</v>
      </c>
      <c r="K880" s="2" t="s">
        <v>1749</v>
      </c>
    </row>
    <row r="881" spans="1:11" ht="28.5" customHeight="1">
      <c r="A881">
        <v>2023</v>
      </c>
      <c r="B881">
        <v>8</v>
      </c>
      <c r="C881">
        <v>3</v>
      </c>
      <c r="D881" t="s">
        <v>82</v>
      </c>
      <c r="E881" t="str">
        <f t="shared" si="52"/>
        <v>2023-Q8-3</v>
      </c>
      <c r="F881">
        <f t="shared" si="53"/>
        <v>1</v>
      </c>
      <c r="G881" t="s">
        <v>23</v>
      </c>
      <c r="H881">
        <f t="shared" si="54"/>
        <v>1</v>
      </c>
      <c r="I881" s="5">
        <f t="shared" si="55"/>
        <v>1</v>
      </c>
      <c r="J881" s="2" t="s">
        <v>1750</v>
      </c>
      <c r="K881" s="2" t="s">
        <v>1751</v>
      </c>
    </row>
    <row r="882" spans="1:11" ht="28.5" customHeight="1">
      <c r="A882">
        <v>2023</v>
      </c>
      <c r="B882">
        <v>8</v>
      </c>
      <c r="C882">
        <v>4</v>
      </c>
      <c r="D882" t="s">
        <v>82</v>
      </c>
      <c r="E882" t="str">
        <f t="shared" si="52"/>
        <v>2023-Q8-4</v>
      </c>
      <c r="F882">
        <f t="shared" si="53"/>
        <v>1</v>
      </c>
      <c r="G882" t="s">
        <v>23</v>
      </c>
      <c r="H882">
        <f t="shared" si="54"/>
        <v>1</v>
      </c>
      <c r="I882" s="5">
        <f t="shared" si="55"/>
        <v>1</v>
      </c>
      <c r="J882" s="2" t="s">
        <v>1752</v>
      </c>
      <c r="K882" s="2" t="s">
        <v>1753</v>
      </c>
    </row>
    <row r="883" spans="1:11" ht="28.5" customHeight="1">
      <c r="A883">
        <v>2023</v>
      </c>
      <c r="B883">
        <v>9</v>
      </c>
      <c r="C883">
        <v>0</v>
      </c>
      <c r="D883" t="s">
        <v>82</v>
      </c>
      <c r="E883" t="str">
        <f t="shared" si="52"/>
        <v>2023-Q9-0</v>
      </c>
      <c r="F883">
        <f t="shared" si="53"/>
        <v>1</v>
      </c>
      <c r="G883" t="s">
        <v>32</v>
      </c>
      <c r="H883">
        <f t="shared" si="54"/>
        <v>1</v>
      </c>
      <c r="I883" s="5">
        <f t="shared" si="55"/>
        <v>1</v>
      </c>
      <c r="J883" s="2" t="s">
        <v>1754</v>
      </c>
      <c r="K883" s="2" t="s">
        <v>1755</v>
      </c>
    </row>
    <row r="884" spans="1:11" ht="28.5" customHeight="1">
      <c r="A884">
        <v>2023</v>
      </c>
      <c r="B884">
        <v>9</v>
      </c>
      <c r="C884">
        <v>1</v>
      </c>
      <c r="D884" t="s">
        <v>82</v>
      </c>
      <c r="E884" t="str">
        <f t="shared" si="52"/>
        <v>2023-Q9-1</v>
      </c>
      <c r="F884">
        <f t="shared" si="53"/>
        <v>1</v>
      </c>
      <c r="G884" t="s">
        <v>32</v>
      </c>
      <c r="H884">
        <f t="shared" si="54"/>
        <v>1</v>
      </c>
      <c r="I884" s="5">
        <f t="shared" si="55"/>
        <v>1</v>
      </c>
      <c r="J884" s="2" t="s">
        <v>1756</v>
      </c>
      <c r="K884" s="2" t="s">
        <v>1757</v>
      </c>
    </row>
    <row r="885" spans="1:11" ht="28.5" customHeight="1">
      <c r="A885">
        <v>2023</v>
      </c>
      <c r="B885">
        <v>9</v>
      </c>
      <c r="C885">
        <v>2</v>
      </c>
      <c r="D885" t="s">
        <v>82</v>
      </c>
      <c r="E885" t="str">
        <f t="shared" si="52"/>
        <v>2023-Q9-2</v>
      </c>
      <c r="F885">
        <f t="shared" si="53"/>
        <v>1</v>
      </c>
      <c r="G885" t="s">
        <v>32</v>
      </c>
      <c r="H885">
        <f t="shared" si="54"/>
        <v>1</v>
      </c>
      <c r="I885" s="5">
        <f t="shared" si="55"/>
        <v>1</v>
      </c>
      <c r="J885" s="2" t="s">
        <v>1758</v>
      </c>
      <c r="K885" s="2" t="s">
        <v>1759</v>
      </c>
    </row>
    <row r="886" spans="1:11" ht="28.5" customHeight="1">
      <c r="A886">
        <v>2023</v>
      </c>
      <c r="B886">
        <v>9</v>
      </c>
      <c r="C886">
        <v>3</v>
      </c>
      <c r="D886" t="s">
        <v>82</v>
      </c>
      <c r="E886" t="str">
        <f t="shared" si="52"/>
        <v>2023-Q9-3</v>
      </c>
      <c r="F886">
        <f t="shared" si="53"/>
        <v>1</v>
      </c>
      <c r="G886" t="s">
        <v>32</v>
      </c>
      <c r="H886">
        <f t="shared" si="54"/>
        <v>1</v>
      </c>
      <c r="I886" s="5">
        <f t="shared" si="55"/>
        <v>1</v>
      </c>
      <c r="J886" s="2" t="s">
        <v>1760</v>
      </c>
      <c r="K886" s="2" t="s">
        <v>1761</v>
      </c>
    </row>
    <row r="887" spans="1:11" ht="28.5" customHeight="1">
      <c r="A887">
        <v>2023</v>
      </c>
      <c r="B887">
        <v>9</v>
      </c>
      <c r="C887">
        <v>4</v>
      </c>
      <c r="D887" t="s">
        <v>82</v>
      </c>
      <c r="E887" t="str">
        <f t="shared" si="52"/>
        <v>2023-Q9-4</v>
      </c>
      <c r="F887">
        <f t="shared" si="53"/>
        <v>1</v>
      </c>
      <c r="G887" t="s">
        <v>32</v>
      </c>
      <c r="H887">
        <f t="shared" si="54"/>
        <v>1</v>
      </c>
      <c r="I887" s="5">
        <f t="shared" si="55"/>
        <v>1</v>
      </c>
      <c r="J887" s="2" t="s">
        <v>1762</v>
      </c>
      <c r="K887" s="2" t="s">
        <v>1763</v>
      </c>
    </row>
    <row r="888" spans="1:11" ht="28.5" customHeight="1">
      <c r="A888">
        <v>2023</v>
      </c>
      <c r="B888">
        <v>10</v>
      </c>
      <c r="C888">
        <v>0</v>
      </c>
      <c r="D888" t="s">
        <v>82</v>
      </c>
      <c r="E888" t="str">
        <f t="shared" si="52"/>
        <v>2023-Q10-0</v>
      </c>
      <c r="F888">
        <f t="shared" si="53"/>
        <v>1</v>
      </c>
      <c r="G888" t="s">
        <v>26</v>
      </c>
      <c r="H888">
        <f t="shared" si="54"/>
        <v>1</v>
      </c>
      <c r="I888" s="5">
        <f t="shared" si="55"/>
        <v>1</v>
      </c>
      <c r="J888" s="2" t="s">
        <v>1764</v>
      </c>
      <c r="K888" s="2" t="s">
        <v>1765</v>
      </c>
    </row>
    <row r="889" spans="1:11" ht="28.5" customHeight="1">
      <c r="A889">
        <v>2023</v>
      </c>
      <c r="B889">
        <v>10</v>
      </c>
      <c r="C889">
        <v>1</v>
      </c>
      <c r="D889" t="s">
        <v>82</v>
      </c>
      <c r="E889" t="str">
        <f t="shared" si="52"/>
        <v>2023-Q10-1</v>
      </c>
      <c r="F889">
        <f t="shared" si="53"/>
        <v>1</v>
      </c>
      <c r="G889" t="s">
        <v>26</v>
      </c>
      <c r="H889">
        <f t="shared" si="54"/>
        <v>1</v>
      </c>
      <c r="I889" s="5">
        <f t="shared" si="55"/>
        <v>1</v>
      </c>
      <c r="J889" s="2" t="s">
        <v>1766</v>
      </c>
      <c r="K889" s="2" t="s">
        <v>1767</v>
      </c>
    </row>
    <row r="890" spans="1:11" ht="28.5" customHeight="1">
      <c r="A890">
        <v>2023</v>
      </c>
      <c r="B890">
        <v>10</v>
      </c>
      <c r="C890">
        <v>2</v>
      </c>
      <c r="D890" t="s">
        <v>82</v>
      </c>
      <c r="E890" t="str">
        <f t="shared" si="52"/>
        <v>2023-Q10-2</v>
      </c>
      <c r="F890">
        <f t="shared" si="53"/>
        <v>1</v>
      </c>
      <c r="G890" t="s">
        <v>26</v>
      </c>
      <c r="H890">
        <f t="shared" si="54"/>
        <v>1</v>
      </c>
      <c r="I890" s="5">
        <f t="shared" si="55"/>
        <v>1</v>
      </c>
      <c r="J890" s="2" t="s">
        <v>1768</v>
      </c>
      <c r="K890" s="2" t="s">
        <v>1769</v>
      </c>
    </row>
    <row r="891" spans="1:11" ht="28.5" customHeight="1">
      <c r="A891">
        <v>2023</v>
      </c>
      <c r="B891">
        <v>10</v>
      </c>
      <c r="C891">
        <v>3</v>
      </c>
      <c r="D891" t="s">
        <v>82</v>
      </c>
      <c r="E891" t="str">
        <f t="shared" si="52"/>
        <v>2023-Q10-3</v>
      </c>
      <c r="F891">
        <f t="shared" si="53"/>
        <v>1</v>
      </c>
      <c r="G891" t="s">
        <v>26</v>
      </c>
      <c r="H891">
        <f t="shared" si="54"/>
        <v>1</v>
      </c>
      <c r="I891" s="5">
        <f t="shared" si="55"/>
        <v>1</v>
      </c>
      <c r="J891" s="2" t="s">
        <v>1770</v>
      </c>
      <c r="K891" s="2" t="s">
        <v>1771</v>
      </c>
    </row>
    <row r="892" spans="1:11" ht="28.5" customHeight="1">
      <c r="A892">
        <v>2023</v>
      </c>
      <c r="B892">
        <v>10</v>
      </c>
      <c r="C892">
        <v>4</v>
      </c>
      <c r="D892" t="s">
        <v>82</v>
      </c>
      <c r="E892" t="str">
        <f t="shared" si="52"/>
        <v>2023-Q10-4</v>
      </c>
      <c r="F892">
        <f t="shared" si="53"/>
        <v>1</v>
      </c>
      <c r="G892" t="s">
        <v>26</v>
      </c>
      <c r="H892">
        <f t="shared" si="54"/>
        <v>1</v>
      </c>
      <c r="I892" s="5">
        <f t="shared" si="55"/>
        <v>1</v>
      </c>
      <c r="J892" s="2" t="s">
        <v>1772</v>
      </c>
      <c r="K892" s="2" t="s">
        <v>1773</v>
      </c>
    </row>
    <row r="893" spans="1:11" ht="28.5" customHeight="1">
      <c r="A893">
        <v>2023</v>
      </c>
      <c r="B893">
        <v>11</v>
      </c>
      <c r="C893">
        <v>0</v>
      </c>
      <c r="D893" t="s">
        <v>82</v>
      </c>
      <c r="E893" t="str">
        <f t="shared" si="52"/>
        <v>2023-Q11-0</v>
      </c>
      <c r="F893">
        <f t="shared" si="53"/>
        <v>1</v>
      </c>
      <c r="G893" t="s">
        <v>35</v>
      </c>
      <c r="H893">
        <f t="shared" si="54"/>
        <v>1</v>
      </c>
      <c r="I893" s="5">
        <f t="shared" si="55"/>
        <v>1</v>
      </c>
      <c r="J893" s="2" t="s">
        <v>1774</v>
      </c>
      <c r="K893" s="2" t="s">
        <v>1775</v>
      </c>
    </row>
    <row r="894" spans="1:11" ht="28.5" customHeight="1">
      <c r="A894">
        <v>2023</v>
      </c>
      <c r="B894">
        <v>11</v>
      </c>
      <c r="C894">
        <v>1</v>
      </c>
      <c r="D894" t="s">
        <v>82</v>
      </c>
      <c r="E894" t="str">
        <f t="shared" si="52"/>
        <v>2023-Q11-1</v>
      </c>
      <c r="F894">
        <f t="shared" si="53"/>
        <v>1</v>
      </c>
      <c r="G894" t="s">
        <v>35</v>
      </c>
      <c r="H894">
        <f t="shared" si="54"/>
        <v>1</v>
      </c>
      <c r="I894" s="5">
        <f t="shared" si="55"/>
        <v>1</v>
      </c>
      <c r="J894" s="2" t="s">
        <v>1776</v>
      </c>
      <c r="K894" s="2" t="s">
        <v>1777</v>
      </c>
    </row>
    <row r="895" spans="1:11" ht="28.5" customHeight="1">
      <c r="A895">
        <v>2023</v>
      </c>
      <c r="B895">
        <v>11</v>
      </c>
      <c r="C895">
        <v>2</v>
      </c>
      <c r="D895" t="s">
        <v>82</v>
      </c>
      <c r="E895" t="str">
        <f t="shared" si="52"/>
        <v>2023-Q11-2</v>
      </c>
      <c r="F895">
        <f t="shared" si="53"/>
        <v>1</v>
      </c>
      <c r="G895" t="s">
        <v>35</v>
      </c>
      <c r="H895">
        <f t="shared" si="54"/>
        <v>1</v>
      </c>
      <c r="I895" s="5">
        <f t="shared" si="55"/>
        <v>1</v>
      </c>
      <c r="J895" s="2" t="s">
        <v>1778</v>
      </c>
      <c r="K895" s="2" t="s">
        <v>1779</v>
      </c>
    </row>
    <row r="896" spans="1:11" ht="28.5" customHeight="1">
      <c r="A896">
        <v>2023</v>
      </c>
      <c r="B896">
        <v>11</v>
      </c>
      <c r="C896">
        <v>3</v>
      </c>
      <c r="D896" t="s">
        <v>82</v>
      </c>
      <c r="E896" t="str">
        <f t="shared" si="52"/>
        <v>2023-Q11-3</v>
      </c>
      <c r="F896">
        <f t="shared" si="53"/>
        <v>1</v>
      </c>
      <c r="G896" t="s">
        <v>35</v>
      </c>
      <c r="H896">
        <f t="shared" si="54"/>
        <v>1</v>
      </c>
      <c r="I896" s="5">
        <f t="shared" si="55"/>
        <v>1</v>
      </c>
      <c r="J896" s="2" t="s">
        <v>1780</v>
      </c>
      <c r="K896" s="2" t="s">
        <v>1781</v>
      </c>
    </row>
    <row r="897" spans="1:11" ht="28.5" customHeight="1">
      <c r="A897">
        <v>2023</v>
      </c>
      <c r="B897">
        <v>11</v>
      </c>
      <c r="C897">
        <v>4</v>
      </c>
      <c r="D897" t="s">
        <v>82</v>
      </c>
      <c r="E897" t="str">
        <f t="shared" si="52"/>
        <v>2023-Q11-4</v>
      </c>
      <c r="F897">
        <f t="shared" si="53"/>
        <v>1</v>
      </c>
      <c r="G897" t="s">
        <v>35</v>
      </c>
      <c r="H897">
        <f t="shared" si="54"/>
        <v>1</v>
      </c>
      <c r="I897" s="5">
        <f t="shared" si="55"/>
        <v>1</v>
      </c>
      <c r="J897" s="2" t="s">
        <v>1782</v>
      </c>
      <c r="K897" s="2" t="s">
        <v>1783</v>
      </c>
    </row>
    <row r="898" spans="1:11" ht="28.5" customHeight="1">
      <c r="A898">
        <v>2023</v>
      </c>
      <c r="B898">
        <v>12</v>
      </c>
      <c r="C898">
        <v>0</v>
      </c>
      <c r="D898" t="s">
        <v>82</v>
      </c>
      <c r="E898" t="str">
        <f t="shared" si="52"/>
        <v>2023-Q12-0</v>
      </c>
      <c r="F898">
        <f t="shared" si="53"/>
        <v>1</v>
      </c>
      <c r="G898" t="s">
        <v>17</v>
      </c>
      <c r="H898">
        <f t="shared" si="54"/>
        <v>1</v>
      </c>
      <c r="I898" s="5">
        <f t="shared" si="55"/>
        <v>1</v>
      </c>
      <c r="J898" s="2" t="s">
        <v>1784</v>
      </c>
      <c r="K898" s="2" t="s">
        <v>1785</v>
      </c>
    </row>
    <row r="899" spans="1:11" ht="28.5" customHeight="1">
      <c r="A899">
        <v>2023</v>
      </c>
      <c r="B899">
        <v>12</v>
      </c>
      <c r="C899">
        <v>1</v>
      </c>
      <c r="D899" t="s">
        <v>82</v>
      </c>
      <c r="E899" t="str">
        <f t="shared" si="52"/>
        <v>2023-Q12-1</v>
      </c>
      <c r="F899">
        <f t="shared" si="53"/>
        <v>1</v>
      </c>
      <c r="G899" t="s">
        <v>17</v>
      </c>
      <c r="H899">
        <f t="shared" si="54"/>
        <v>1</v>
      </c>
      <c r="I899" s="5">
        <f t="shared" si="55"/>
        <v>1</v>
      </c>
      <c r="J899" s="2" t="s">
        <v>1786</v>
      </c>
      <c r="K899" s="2" t="s">
        <v>1787</v>
      </c>
    </row>
    <row r="900" spans="1:11" ht="28.5" customHeight="1">
      <c r="A900">
        <v>2023</v>
      </c>
      <c r="B900">
        <v>12</v>
      </c>
      <c r="C900">
        <v>2</v>
      </c>
      <c r="D900" t="s">
        <v>82</v>
      </c>
      <c r="E900" t="str">
        <f t="shared" si="52"/>
        <v>2023-Q12-2</v>
      </c>
      <c r="F900">
        <f t="shared" si="53"/>
        <v>1</v>
      </c>
      <c r="G900" t="s">
        <v>26</v>
      </c>
      <c r="H900">
        <f t="shared" si="54"/>
        <v>1</v>
      </c>
      <c r="I900" s="5">
        <f t="shared" si="55"/>
        <v>1</v>
      </c>
      <c r="J900" s="2" t="s">
        <v>1788</v>
      </c>
      <c r="K900" s="2" t="s">
        <v>1789</v>
      </c>
    </row>
    <row r="901" spans="1:11" ht="28.5" customHeight="1">
      <c r="A901">
        <v>2023</v>
      </c>
      <c r="B901">
        <v>12</v>
      </c>
      <c r="C901">
        <v>3</v>
      </c>
      <c r="D901" t="s">
        <v>82</v>
      </c>
      <c r="E901" t="str">
        <f t="shared" ref="E901:E964" si="56">IF(A901="","",TEXT(A901,"0")&amp;"-Q"&amp;TEXT(B901,"0")&amp;"-"&amp;IF(C901="","ABERTA",C901))</f>
        <v>2023-Q12-3</v>
      </c>
      <c r="F901">
        <f t="shared" ref="F901:F964" si="57">IF(D901="V/F",1,IF(D901="Aberta/numérica",5,""))</f>
        <v>1</v>
      </c>
      <c r="G901" t="s">
        <v>23</v>
      </c>
      <c r="H901">
        <f t="shared" ref="H901:H964" si="58">IF(A901="","",IF(C901="",COUNTIFS($A$5:$A$1504,A901,$B$5:$B$1504,B901,$C$5:$C$1504,"",$D$5:$D$1504,D901),COUNTIFS($A$5:$A$1504,A901,$B$5:$B$1504,B901,$C$5:$C$1504,C901,$D$5:$D$1504,D901)))</f>
        <v>1</v>
      </c>
      <c r="I901" s="5">
        <f t="shared" ref="I901:I964" si="59">IF(OR(F901="",H901="",G901=""),"",F901/H901)</f>
        <v>1</v>
      </c>
      <c r="J901" s="2" t="s">
        <v>432</v>
      </c>
      <c r="K901" s="2" t="s">
        <v>1790</v>
      </c>
    </row>
    <row r="902" spans="1:11" ht="28.5" customHeight="1">
      <c r="A902">
        <v>2023</v>
      </c>
      <c r="B902">
        <v>12</v>
      </c>
      <c r="C902">
        <v>4</v>
      </c>
      <c r="D902" t="s">
        <v>82</v>
      </c>
      <c r="E902" t="str">
        <f t="shared" si="56"/>
        <v>2023-Q12-4</v>
      </c>
      <c r="F902">
        <f t="shared" si="57"/>
        <v>1</v>
      </c>
      <c r="G902" t="s">
        <v>29</v>
      </c>
      <c r="H902">
        <f t="shared" si="58"/>
        <v>1</v>
      </c>
      <c r="I902" s="5">
        <f t="shared" si="59"/>
        <v>1</v>
      </c>
      <c r="J902" s="2" t="s">
        <v>1791</v>
      </c>
      <c r="K902" s="2" t="s">
        <v>1792</v>
      </c>
    </row>
    <row r="903" spans="1:11" ht="28.5" customHeight="1">
      <c r="A903">
        <v>2023</v>
      </c>
      <c r="B903">
        <v>13</v>
      </c>
      <c r="C903">
        <v>0</v>
      </c>
      <c r="D903" t="s">
        <v>82</v>
      </c>
      <c r="E903" t="str">
        <f t="shared" si="56"/>
        <v>2023-Q13-0</v>
      </c>
      <c r="F903">
        <f t="shared" si="57"/>
        <v>1</v>
      </c>
      <c r="G903" t="s">
        <v>26</v>
      </c>
      <c r="H903">
        <f t="shared" si="58"/>
        <v>1</v>
      </c>
      <c r="I903" s="5">
        <f t="shared" si="59"/>
        <v>1</v>
      </c>
      <c r="J903" s="2" t="s">
        <v>1793</v>
      </c>
      <c r="K903" s="2" t="s">
        <v>1794</v>
      </c>
    </row>
    <row r="904" spans="1:11" ht="28.5" customHeight="1">
      <c r="A904">
        <v>2023</v>
      </c>
      <c r="B904">
        <v>13</v>
      </c>
      <c r="C904">
        <v>1</v>
      </c>
      <c r="D904" t="s">
        <v>82</v>
      </c>
      <c r="E904" t="str">
        <f t="shared" si="56"/>
        <v>2023-Q13-1</v>
      </c>
      <c r="F904">
        <f t="shared" si="57"/>
        <v>1</v>
      </c>
      <c r="G904" t="s">
        <v>26</v>
      </c>
      <c r="H904">
        <f t="shared" si="58"/>
        <v>1</v>
      </c>
      <c r="I904" s="5">
        <f t="shared" si="59"/>
        <v>1</v>
      </c>
      <c r="J904" s="2" t="s">
        <v>1795</v>
      </c>
      <c r="K904" s="2" t="s">
        <v>1796</v>
      </c>
    </row>
    <row r="905" spans="1:11" ht="28.5" customHeight="1">
      <c r="A905">
        <v>2023</v>
      </c>
      <c r="B905">
        <v>13</v>
      </c>
      <c r="C905">
        <v>2</v>
      </c>
      <c r="D905" t="s">
        <v>82</v>
      </c>
      <c r="E905" t="str">
        <f t="shared" si="56"/>
        <v>2023-Q13-2</v>
      </c>
      <c r="F905">
        <f t="shared" si="57"/>
        <v>1</v>
      </c>
      <c r="G905" t="s">
        <v>26</v>
      </c>
      <c r="H905">
        <f t="shared" si="58"/>
        <v>1</v>
      </c>
      <c r="I905" s="5">
        <f t="shared" si="59"/>
        <v>1</v>
      </c>
      <c r="J905" s="2" t="s">
        <v>1797</v>
      </c>
      <c r="K905" s="2" t="s">
        <v>1798</v>
      </c>
    </row>
    <row r="906" spans="1:11" ht="28.5" customHeight="1">
      <c r="A906">
        <v>2023</v>
      </c>
      <c r="B906">
        <v>13</v>
      </c>
      <c r="C906">
        <v>3</v>
      </c>
      <c r="D906" t="s">
        <v>82</v>
      </c>
      <c r="E906" t="str">
        <f t="shared" si="56"/>
        <v>2023-Q13-3</v>
      </c>
      <c r="F906">
        <f t="shared" si="57"/>
        <v>1</v>
      </c>
      <c r="G906" t="s">
        <v>26</v>
      </c>
      <c r="H906">
        <f t="shared" si="58"/>
        <v>1</v>
      </c>
      <c r="I906" s="5">
        <f t="shared" si="59"/>
        <v>1</v>
      </c>
      <c r="J906" s="2" t="s">
        <v>1799</v>
      </c>
      <c r="K906" s="2" t="s">
        <v>1800</v>
      </c>
    </row>
    <row r="907" spans="1:11" ht="28.5" customHeight="1">
      <c r="A907">
        <v>2023</v>
      </c>
      <c r="B907">
        <v>13</v>
      </c>
      <c r="C907">
        <v>4</v>
      </c>
      <c r="D907" t="s">
        <v>82</v>
      </c>
      <c r="E907" t="str">
        <f t="shared" si="56"/>
        <v>2023-Q13-4</v>
      </c>
      <c r="F907">
        <f t="shared" si="57"/>
        <v>1</v>
      </c>
      <c r="G907" t="s">
        <v>26</v>
      </c>
      <c r="H907">
        <f t="shared" si="58"/>
        <v>1</v>
      </c>
      <c r="I907" s="5">
        <f t="shared" si="59"/>
        <v>1</v>
      </c>
      <c r="J907" s="2" t="s">
        <v>1801</v>
      </c>
      <c r="K907" s="2" t="s">
        <v>1802</v>
      </c>
    </row>
    <row r="908" spans="1:11" ht="28.5" customHeight="1">
      <c r="A908">
        <v>2023</v>
      </c>
      <c r="B908">
        <v>14</v>
      </c>
      <c r="C908">
        <v>0</v>
      </c>
      <c r="D908" t="s">
        <v>82</v>
      </c>
      <c r="E908" t="str">
        <f t="shared" si="56"/>
        <v>2023-Q14-0</v>
      </c>
      <c r="F908">
        <f t="shared" si="57"/>
        <v>1</v>
      </c>
      <c r="G908" t="s">
        <v>41</v>
      </c>
      <c r="H908">
        <f t="shared" si="58"/>
        <v>1</v>
      </c>
      <c r="I908" s="5">
        <f t="shared" si="59"/>
        <v>1</v>
      </c>
      <c r="J908" s="2" t="s">
        <v>1803</v>
      </c>
      <c r="K908" s="2" t="s">
        <v>1804</v>
      </c>
    </row>
    <row r="909" spans="1:11" ht="28.5" customHeight="1">
      <c r="A909">
        <v>2023</v>
      </c>
      <c r="B909">
        <v>14</v>
      </c>
      <c r="C909">
        <v>1</v>
      </c>
      <c r="D909" t="s">
        <v>82</v>
      </c>
      <c r="E909" t="str">
        <f t="shared" si="56"/>
        <v>2023-Q14-1</v>
      </c>
      <c r="F909">
        <f t="shared" si="57"/>
        <v>1</v>
      </c>
      <c r="G909" t="s">
        <v>41</v>
      </c>
      <c r="H909">
        <f t="shared" si="58"/>
        <v>1</v>
      </c>
      <c r="I909" s="5">
        <f t="shared" si="59"/>
        <v>1</v>
      </c>
      <c r="J909" s="2" t="s">
        <v>1805</v>
      </c>
      <c r="K909" s="2" t="s">
        <v>1806</v>
      </c>
    </row>
    <row r="910" spans="1:11" ht="28.5" customHeight="1">
      <c r="A910">
        <v>2023</v>
      </c>
      <c r="B910">
        <v>14</v>
      </c>
      <c r="C910">
        <v>2</v>
      </c>
      <c r="D910" t="s">
        <v>82</v>
      </c>
      <c r="E910" t="str">
        <f t="shared" si="56"/>
        <v>2023-Q14-2</v>
      </c>
      <c r="F910">
        <f t="shared" si="57"/>
        <v>1</v>
      </c>
      <c r="G910" t="s">
        <v>41</v>
      </c>
      <c r="H910">
        <f t="shared" si="58"/>
        <v>1</v>
      </c>
      <c r="I910" s="5">
        <f t="shared" si="59"/>
        <v>1</v>
      </c>
      <c r="J910" s="2" t="s">
        <v>1807</v>
      </c>
      <c r="K910" s="2" t="s">
        <v>1808</v>
      </c>
    </row>
    <row r="911" spans="1:11" ht="28.5" customHeight="1">
      <c r="A911">
        <v>2023</v>
      </c>
      <c r="B911">
        <v>14</v>
      </c>
      <c r="C911">
        <v>3</v>
      </c>
      <c r="D911" t="s">
        <v>82</v>
      </c>
      <c r="E911" t="str">
        <f t="shared" si="56"/>
        <v>2023-Q14-3</v>
      </c>
      <c r="F911">
        <f t="shared" si="57"/>
        <v>1</v>
      </c>
      <c r="G911" t="s">
        <v>41</v>
      </c>
      <c r="H911">
        <f t="shared" si="58"/>
        <v>1</v>
      </c>
      <c r="I911" s="5">
        <f t="shared" si="59"/>
        <v>1</v>
      </c>
      <c r="J911" s="2" t="s">
        <v>1809</v>
      </c>
      <c r="K911" s="2" t="s">
        <v>1810</v>
      </c>
    </row>
    <row r="912" spans="1:11" ht="28.5" customHeight="1">
      <c r="A912">
        <v>2023</v>
      </c>
      <c r="B912">
        <v>14</v>
      </c>
      <c r="C912">
        <v>4</v>
      </c>
      <c r="D912" t="s">
        <v>82</v>
      </c>
      <c r="E912" t="str">
        <f t="shared" si="56"/>
        <v>2023-Q14-4</v>
      </c>
      <c r="F912">
        <f t="shared" si="57"/>
        <v>1</v>
      </c>
      <c r="G912" t="s">
        <v>41</v>
      </c>
      <c r="H912">
        <f t="shared" si="58"/>
        <v>1</v>
      </c>
      <c r="I912" s="5">
        <f t="shared" si="59"/>
        <v>1</v>
      </c>
      <c r="J912" s="2" t="s">
        <v>1811</v>
      </c>
      <c r="K912" s="2" t="s">
        <v>1812</v>
      </c>
    </row>
    <row r="913" spans="1:11" ht="28.5" customHeight="1">
      <c r="A913">
        <v>2023</v>
      </c>
      <c r="B913">
        <v>15</v>
      </c>
      <c r="C913">
        <v>0</v>
      </c>
      <c r="D913" t="s">
        <v>82</v>
      </c>
      <c r="E913" t="str">
        <f t="shared" si="56"/>
        <v>2023-Q15-0</v>
      </c>
      <c r="F913">
        <f t="shared" si="57"/>
        <v>1</v>
      </c>
      <c r="G913" t="s">
        <v>44</v>
      </c>
      <c r="H913">
        <f t="shared" si="58"/>
        <v>1</v>
      </c>
      <c r="I913" s="5">
        <f t="shared" si="59"/>
        <v>1</v>
      </c>
      <c r="J913" s="2" t="s">
        <v>1813</v>
      </c>
      <c r="K913" s="2" t="s">
        <v>1814</v>
      </c>
    </row>
    <row r="914" spans="1:11" ht="28.5" customHeight="1">
      <c r="A914">
        <v>2023</v>
      </c>
      <c r="B914">
        <v>15</v>
      </c>
      <c r="C914">
        <v>1</v>
      </c>
      <c r="D914" t="s">
        <v>82</v>
      </c>
      <c r="E914" t="str">
        <f t="shared" si="56"/>
        <v>2023-Q15-1</v>
      </c>
      <c r="F914">
        <f t="shared" si="57"/>
        <v>1</v>
      </c>
      <c r="G914" t="s">
        <v>44</v>
      </c>
      <c r="H914">
        <f t="shared" si="58"/>
        <v>1</v>
      </c>
      <c r="I914" s="5">
        <f t="shared" si="59"/>
        <v>1</v>
      </c>
      <c r="J914" s="2" t="s">
        <v>1158</v>
      </c>
      <c r="K914" s="2" t="s">
        <v>1815</v>
      </c>
    </row>
    <row r="915" spans="1:11" ht="28.5" customHeight="1">
      <c r="A915">
        <v>2023</v>
      </c>
      <c r="B915">
        <v>15</v>
      </c>
      <c r="C915">
        <v>2</v>
      </c>
      <c r="D915" t="s">
        <v>82</v>
      </c>
      <c r="E915" t="str">
        <f t="shared" si="56"/>
        <v>2023-Q15-2</v>
      </c>
      <c r="F915">
        <f t="shared" si="57"/>
        <v>1</v>
      </c>
      <c r="G915" t="s">
        <v>44</v>
      </c>
      <c r="H915">
        <f t="shared" si="58"/>
        <v>1</v>
      </c>
      <c r="I915" s="5">
        <f t="shared" si="59"/>
        <v>1</v>
      </c>
      <c r="J915" s="2" t="s">
        <v>1816</v>
      </c>
      <c r="K915" s="2" t="s">
        <v>1817</v>
      </c>
    </row>
    <row r="916" spans="1:11" ht="28.5" customHeight="1">
      <c r="A916">
        <v>2023</v>
      </c>
      <c r="B916">
        <v>15</v>
      </c>
      <c r="C916">
        <v>3</v>
      </c>
      <c r="D916" t="s">
        <v>82</v>
      </c>
      <c r="E916" t="str">
        <f t="shared" si="56"/>
        <v>2023-Q15-3</v>
      </c>
      <c r="F916">
        <f t="shared" si="57"/>
        <v>1</v>
      </c>
      <c r="G916" t="s">
        <v>50</v>
      </c>
      <c r="H916">
        <f t="shared" si="58"/>
        <v>1</v>
      </c>
      <c r="I916" s="5">
        <f t="shared" si="59"/>
        <v>1</v>
      </c>
      <c r="J916" s="2" t="s">
        <v>1818</v>
      </c>
      <c r="K916" s="2" t="s">
        <v>1819</v>
      </c>
    </row>
    <row r="917" spans="1:11" ht="28.5" customHeight="1">
      <c r="A917">
        <v>2023</v>
      </c>
      <c r="B917">
        <v>15</v>
      </c>
      <c r="C917">
        <v>4</v>
      </c>
      <c r="D917" t="s">
        <v>82</v>
      </c>
      <c r="E917" t="str">
        <f t="shared" si="56"/>
        <v>2023-Q15-4</v>
      </c>
      <c r="F917">
        <f t="shared" si="57"/>
        <v>1</v>
      </c>
      <c r="G917" t="s">
        <v>44</v>
      </c>
      <c r="H917">
        <f t="shared" si="58"/>
        <v>1</v>
      </c>
      <c r="I917" s="5">
        <f t="shared" si="59"/>
        <v>1</v>
      </c>
      <c r="J917" s="2" t="s">
        <v>1820</v>
      </c>
      <c r="K917" s="2" t="s">
        <v>1821</v>
      </c>
    </row>
    <row r="918" spans="1:11" ht="28.5" customHeight="1">
      <c r="A918">
        <v>2024</v>
      </c>
      <c r="B918">
        <v>1</v>
      </c>
      <c r="D918" t="s">
        <v>193</v>
      </c>
      <c r="E918" t="str">
        <f t="shared" si="56"/>
        <v>2024-Q1-ABERTA</v>
      </c>
      <c r="F918">
        <f t="shared" si="57"/>
        <v>5</v>
      </c>
      <c r="G918" t="s">
        <v>11</v>
      </c>
      <c r="H918">
        <f t="shared" si="58"/>
        <v>1</v>
      </c>
      <c r="I918" s="5">
        <f t="shared" si="59"/>
        <v>5</v>
      </c>
      <c r="J918" s="2" t="s">
        <v>1822</v>
      </c>
      <c r="K918" s="2" t="s">
        <v>1823</v>
      </c>
    </row>
    <row r="919" spans="1:11" ht="28.5" customHeight="1">
      <c r="A919">
        <v>2024</v>
      </c>
      <c r="B919">
        <v>2</v>
      </c>
      <c r="C919">
        <v>0</v>
      </c>
      <c r="D919" t="s">
        <v>82</v>
      </c>
      <c r="E919" t="str">
        <f t="shared" si="56"/>
        <v>2024-Q2-0</v>
      </c>
      <c r="F919">
        <f t="shared" si="57"/>
        <v>1</v>
      </c>
      <c r="G919" t="s">
        <v>32</v>
      </c>
      <c r="H919">
        <f t="shared" si="58"/>
        <v>1</v>
      </c>
      <c r="I919" s="5">
        <f t="shared" si="59"/>
        <v>1</v>
      </c>
      <c r="J919" s="2" t="s">
        <v>1824</v>
      </c>
      <c r="K919" s="2" t="s">
        <v>1825</v>
      </c>
    </row>
    <row r="920" spans="1:11" ht="28.5" customHeight="1">
      <c r="A920">
        <v>2024</v>
      </c>
      <c r="B920">
        <v>2</v>
      </c>
      <c r="C920">
        <v>1</v>
      </c>
      <c r="D920" t="s">
        <v>82</v>
      </c>
      <c r="E920" t="str">
        <f t="shared" si="56"/>
        <v>2024-Q2-1</v>
      </c>
      <c r="F920">
        <f t="shared" si="57"/>
        <v>1</v>
      </c>
      <c r="G920" t="s">
        <v>17</v>
      </c>
      <c r="H920">
        <f t="shared" si="58"/>
        <v>1</v>
      </c>
      <c r="I920" s="5">
        <f t="shared" si="59"/>
        <v>1</v>
      </c>
      <c r="J920" s="2" t="s">
        <v>1826</v>
      </c>
      <c r="K920" s="2" t="s">
        <v>1827</v>
      </c>
    </row>
    <row r="921" spans="1:11" ht="28.5" customHeight="1">
      <c r="A921">
        <v>2024</v>
      </c>
      <c r="B921">
        <v>2</v>
      </c>
      <c r="C921">
        <v>2</v>
      </c>
      <c r="D921" t="s">
        <v>82</v>
      </c>
      <c r="E921" t="str">
        <f t="shared" si="56"/>
        <v>2024-Q2-2</v>
      </c>
      <c r="F921">
        <f t="shared" si="57"/>
        <v>1</v>
      </c>
      <c r="G921" t="s">
        <v>32</v>
      </c>
      <c r="H921">
        <f t="shared" si="58"/>
        <v>1</v>
      </c>
      <c r="I921" s="5">
        <f t="shared" si="59"/>
        <v>1</v>
      </c>
      <c r="J921" s="2" t="s">
        <v>1828</v>
      </c>
      <c r="K921" s="2" t="s">
        <v>1829</v>
      </c>
    </row>
    <row r="922" spans="1:11">
      <c r="A922">
        <v>2024</v>
      </c>
      <c r="B922">
        <v>2</v>
      </c>
      <c r="C922">
        <v>3</v>
      </c>
      <c r="D922" t="s">
        <v>82</v>
      </c>
      <c r="E922" t="str">
        <f t="shared" si="56"/>
        <v>2024-Q2-3</v>
      </c>
      <c r="F922">
        <f t="shared" si="57"/>
        <v>1</v>
      </c>
      <c r="G922" t="s">
        <v>32</v>
      </c>
      <c r="H922">
        <f t="shared" si="58"/>
        <v>1</v>
      </c>
      <c r="I922" s="5">
        <f t="shared" si="59"/>
        <v>1</v>
      </c>
      <c r="J922" s="2" t="s">
        <v>1830</v>
      </c>
      <c r="K922" s="2" t="s">
        <v>1831</v>
      </c>
    </row>
    <row r="923" spans="1:11" ht="28.5" customHeight="1">
      <c r="A923">
        <v>2024</v>
      </c>
      <c r="B923">
        <v>2</v>
      </c>
      <c r="C923">
        <v>4</v>
      </c>
      <c r="D923" t="s">
        <v>82</v>
      </c>
      <c r="E923" t="str">
        <f t="shared" si="56"/>
        <v>2024-Q2-4</v>
      </c>
      <c r="F923">
        <f t="shared" si="57"/>
        <v>1</v>
      </c>
      <c r="G923" t="s">
        <v>32</v>
      </c>
      <c r="H923">
        <f t="shared" si="58"/>
        <v>1</v>
      </c>
      <c r="I923" s="5">
        <f t="shared" si="59"/>
        <v>1</v>
      </c>
      <c r="J923" s="2" t="s">
        <v>1832</v>
      </c>
      <c r="K923" s="2" t="s">
        <v>1833</v>
      </c>
    </row>
    <row r="924" spans="1:11" ht="28.5" customHeight="1">
      <c r="A924">
        <v>2024</v>
      </c>
      <c r="B924">
        <v>3</v>
      </c>
      <c r="C924">
        <v>0</v>
      </c>
      <c r="D924" t="s">
        <v>82</v>
      </c>
      <c r="E924" t="str">
        <f t="shared" si="56"/>
        <v>2024-Q3-0</v>
      </c>
      <c r="F924">
        <f t="shared" si="57"/>
        <v>1</v>
      </c>
      <c r="G924" t="s">
        <v>23</v>
      </c>
      <c r="H924">
        <f t="shared" si="58"/>
        <v>1</v>
      </c>
      <c r="I924" s="5">
        <f t="shared" si="59"/>
        <v>1</v>
      </c>
      <c r="J924" s="2" t="s">
        <v>1834</v>
      </c>
      <c r="K924" s="2" t="s">
        <v>1835</v>
      </c>
    </row>
    <row r="925" spans="1:11" ht="28.5" customHeight="1">
      <c r="A925">
        <v>2024</v>
      </c>
      <c r="B925">
        <v>3</v>
      </c>
      <c r="C925">
        <v>1</v>
      </c>
      <c r="D925" t="s">
        <v>82</v>
      </c>
      <c r="E925" t="str">
        <f t="shared" si="56"/>
        <v>2024-Q3-1</v>
      </c>
      <c r="F925">
        <f t="shared" si="57"/>
        <v>1</v>
      </c>
      <c r="G925" t="s">
        <v>23</v>
      </c>
      <c r="H925">
        <f t="shared" si="58"/>
        <v>1</v>
      </c>
      <c r="I925" s="5">
        <f t="shared" si="59"/>
        <v>1</v>
      </c>
      <c r="J925" s="2" t="s">
        <v>1836</v>
      </c>
      <c r="K925" s="2" t="s">
        <v>1837</v>
      </c>
    </row>
    <row r="926" spans="1:11" ht="28.5" customHeight="1">
      <c r="A926">
        <v>2024</v>
      </c>
      <c r="B926">
        <v>3</v>
      </c>
      <c r="C926">
        <v>2</v>
      </c>
      <c r="D926" t="s">
        <v>82</v>
      </c>
      <c r="E926" t="str">
        <f t="shared" si="56"/>
        <v>2024-Q3-2</v>
      </c>
      <c r="F926">
        <f t="shared" si="57"/>
        <v>1</v>
      </c>
      <c r="G926" t="s">
        <v>23</v>
      </c>
      <c r="H926">
        <f t="shared" si="58"/>
        <v>1</v>
      </c>
      <c r="I926" s="5">
        <f t="shared" si="59"/>
        <v>1</v>
      </c>
      <c r="J926" s="2" t="s">
        <v>1838</v>
      </c>
      <c r="K926" s="2" t="s">
        <v>1839</v>
      </c>
    </row>
    <row r="927" spans="1:11" ht="28.5" customHeight="1">
      <c r="A927">
        <v>2024</v>
      </c>
      <c r="B927">
        <v>3</v>
      </c>
      <c r="C927">
        <v>3</v>
      </c>
      <c r="D927" t="s">
        <v>82</v>
      </c>
      <c r="E927" t="str">
        <f t="shared" si="56"/>
        <v>2024-Q3-3</v>
      </c>
      <c r="F927">
        <f t="shared" si="57"/>
        <v>1</v>
      </c>
      <c r="G927" t="s">
        <v>23</v>
      </c>
      <c r="H927">
        <f t="shared" si="58"/>
        <v>1</v>
      </c>
      <c r="I927" s="5">
        <f t="shared" si="59"/>
        <v>1</v>
      </c>
      <c r="J927" s="2" t="s">
        <v>1840</v>
      </c>
      <c r="K927" s="2" t="s">
        <v>1841</v>
      </c>
    </row>
    <row r="928" spans="1:11" ht="28.5" customHeight="1">
      <c r="A928">
        <v>2024</v>
      </c>
      <c r="B928">
        <v>3</v>
      </c>
      <c r="C928">
        <v>4</v>
      </c>
      <c r="D928" t="s">
        <v>82</v>
      </c>
      <c r="E928" t="str">
        <f t="shared" si="56"/>
        <v>2024-Q3-4</v>
      </c>
      <c r="F928">
        <f t="shared" si="57"/>
        <v>1</v>
      </c>
      <c r="G928" t="s">
        <v>23</v>
      </c>
      <c r="H928">
        <f t="shared" si="58"/>
        <v>1</v>
      </c>
      <c r="I928" s="5">
        <f t="shared" si="59"/>
        <v>1</v>
      </c>
      <c r="J928" s="2" t="s">
        <v>1842</v>
      </c>
      <c r="K928" s="2" t="s">
        <v>1843</v>
      </c>
    </row>
    <row r="929" spans="1:11" ht="28.5" customHeight="1">
      <c r="A929">
        <v>2024</v>
      </c>
      <c r="B929">
        <v>4</v>
      </c>
      <c r="C929">
        <v>0</v>
      </c>
      <c r="D929" t="s">
        <v>82</v>
      </c>
      <c r="E929" t="str">
        <f t="shared" si="56"/>
        <v>2024-Q4-0</v>
      </c>
      <c r="F929">
        <f t="shared" si="57"/>
        <v>1</v>
      </c>
      <c r="G929" t="s">
        <v>35</v>
      </c>
      <c r="H929">
        <f t="shared" si="58"/>
        <v>1</v>
      </c>
      <c r="I929" s="5">
        <f t="shared" si="59"/>
        <v>1</v>
      </c>
      <c r="J929" s="2" t="s">
        <v>1844</v>
      </c>
      <c r="K929" s="2" t="s">
        <v>1845</v>
      </c>
    </row>
    <row r="930" spans="1:11">
      <c r="A930">
        <v>2024</v>
      </c>
      <c r="B930">
        <v>4</v>
      </c>
      <c r="C930">
        <v>1</v>
      </c>
      <c r="D930" t="s">
        <v>82</v>
      </c>
      <c r="E930" t="str">
        <f t="shared" si="56"/>
        <v>2024-Q4-1</v>
      </c>
      <c r="F930">
        <f t="shared" si="57"/>
        <v>1</v>
      </c>
      <c r="G930" t="s">
        <v>32</v>
      </c>
      <c r="H930">
        <f t="shared" si="58"/>
        <v>1</v>
      </c>
      <c r="I930" s="5">
        <f t="shared" si="59"/>
        <v>1</v>
      </c>
      <c r="J930" s="2" t="s">
        <v>1846</v>
      </c>
      <c r="K930" s="2" t="s">
        <v>1847</v>
      </c>
    </row>
    <row r="931" spans="1:11" ht="28.5" customHeight="1">
      <c r="A931">
        <v>2024</v>
      </c>
      <c r="B931">
        <v>4</v>
      </c>
      <c r="C931">
        <v>2</v>
      </c>
      <c r="D931" t="s">
        <v>82</v>
      </c>
      <c r="E931" t="str">
        <f t="shared" si="56"/>
        <v>2024-Q4-2</v>
      </c>
      <c r="F931">
        <f t="shared" si="57"/>
        <v>1</v>
      </c>
      <c r="G931" t="s">
        <v>35</v>
      </c>
      <c r="H931">
        <f t="shared" si="58"/>
        <v>2</v>
      </c>
      <c r="I931" s="5">
        <f t="shared" si="59"/>
        <v>0.5</v>
      </c>
      <c r="J931" s="2" t="s">
        <v>1848</v>
      </c>
      <c r="K931" s="2" t="s">
        <v>1849</v>
      </c>
    </row>
    <row r="932" spans="1:11" ht="28.5" customHeight="1">
      <c r="A932">
        <v>2024</v>
      </c>
      <c r="B932">
        <v>4</v>
      </c>
      <c r="C932">
        <v>2</v>
      </c>
      <c r="D932" t="s">
        <v>82</v>
      </c>
      <c r="E932" t="str">
        <f t="shared" si="56"/>
        <v>2024-Q4-2</v>
      </c>
      <c r="F932">
        <f t="shared" si="57"/>
        <v>1</v>
      </c>
      <c r="G932" t="s">
        <v>38</v>
      </c>
      <c r="H932">
        <f t="shared" si="58"/>
        <v>2</v>
      </c>
      <c r="I932" s="5">
        <f t="shared" si="59"/>
        <v>0.5</v>
      </c>
      <c r="J932" s="2" t="s">
        <v>1848</v>
      </c>
      <c r="K932" s="2" t="s">
        <v>1849</v>
      </c>
    </row>
    <row r="933" spans="1:11" ht="28.5" customHeight="1">
      <c r="A933">
        <v>2024</v>
      </c>
      <c r="B933">
        <v>4</v>
      </c>
      <c r="C933">
        <v>3</v>
      </c>
      <c r="D933" t="s">
        <v>82</v>
      </c>
      <c r="E933" t="str">
        <f t="shared" si="56"/>
        <v>2024-Q4-3</v>
      </c>
      <c r="F933">
        <f t="shared" si="57"/>
        <v>1</v>
      </c>
      <c r="G933" t="s">
        <v>35</v>
      </c>
      <c r="H933">
        <f t="shared" si="58"/>
        <v>1</v>
      </c>
      <c r="I933" s="5">
        <f t="shared" si="59"/>
        <v>1</v>
      </c>
      <c r="J933" s="2" t="s">
        <v>1850</v>
      </c>
      <c r="K933" s="2" t="s">
        <v>1851</v>
      </c>
    </row>
    <row r="934" spans="1:11" ht="28.5" customHeight="1">
      <c r="A934">
        <v>2024</v>
      </c>
      <c r="B934">
        <v>4</v>
      </c>
      <c r="C934">
        <v>4</v>
      </c>
      <c r="D934" t="s">
        <v>82</v>
      </c>
      <c r="E934" t="str">
        <f t="shared" si="56"/>
        <v>2024-Q4-4</v>
      </c>
      <c r="F934">
        <f t="shared" si="57"/>
        <v>1</v>
      </c>
      <c r="G934" t="s">
        <v>35</v>
      </c>
      <c r="H934">
        <f t="shared" si="58"/>
        <v>1</v>
      </c>
      <c r="I934" s="5">
        <f t="shared" si="59"/>
        <v>1</v>
      </c>
      <c r="J934" s="2" t="s">
        <v>1852</v>
      </c>
      <c r="K934" s="2" t="s">
        <v>1853</v>
      </c>
    </row>
    <row r="935" spans="1:11" ht="28.5" customHeight="1">
      <c r="A935">
        <v>2024</v>
      </c>
      <c r="B935">
        <v>5</v>
      </c>
      <c r="D935" t="s">
        <v>193</v>
      </c>
      <c r="E935" t="str">
        <f t="shared" si="56"/>
        <v>2024-Q5-ABERTA</v>
      </c>
      <c r="F935">
        <f t="shared" si="57"/>
        <v>5</v>
      </c>
      <c r="G935" t="s">
        <v>35</v>
      </c>
      <c r="H935">
        <f t="shared" si="58"/>
        <v>1</v>
      </c>
      <c r="I935" s="5">
        <f t="shared" si="59"/>
        <v>5</v>
      </c>
      <c r="J935" s="2" t="s">
        <v>1854</v>
      </c>
      <c r="K935" s="2" t="s">
        <v>1855</v>
      </c>
    </row>
    <row r="936" spans="1:11" ht="28.5" customHeight="1">
      <c r="A936">
        <v>2024</v>
      </c>
      <c r="B936">
        <v>6</v>
      </c>
      <c r="C936">
        <v>0</v>
      </c>
      <c r="D936" t="s">
        <v>82</v>
      </c>
      <c r="E936" t="str">
        <f t="shared" si="56"/>
        <v>2024-Q6-0</v>
      </c>
      <c r="F936">
        <f t="shared" si="57"/>
        <v>1</v>
      </c>
      <c r="G936" t="s">
        <v>41</v>
      </c>
      <c r="H936">
        <f t="shared" si="58"/>
        <v>1</v>
      </c>
      <c r="I936" s="5">
        <f t="shared" si="59"/>
        <v>1</v>
      </c>
      <c r="J936" s="2" t="s">
        <v>1856</v>
      </c>
      <c r="K936" s="2" t="s">
        <v>1857</v>
      </c>
    </row>
    <row r="937" spans="1:11" ht="28.5" customHeight="1">
      <c r="A937">
        <v>2024</v>
      </c>
      <c r="B937">
        <v>6</v>
      </c>
      <c r="C937">
        <v>1</v>
      </c>
      <c r="D937" t="s">
        <v>82</v>
      </c>
      <c r="E937" t="str">
        <f t="shared" si="56"/>
        <v>2024-Q6-1</v>
      </c>
      <c r="F937">
        <f t="shared" si="57"/>
        <v>1</v>
      </c>
      <c r="G937" t="s">
        <v>41</v>
      </c>
      <c r="H937">
        <f t="shared" si="58"/>
        <v>1</v>
      </c>
      <c r="I937" s="5">
        <f t="shared" si="59"/>
        <v>1</v>
      </c>
      <c r="J937" s="2" t="s">
        <v>1858</v>
      </c>
      <c r="K937" s="2" t="s">
        <v>1859</v>
      </c>
    </row>
    <row r="938" spans="1:11" ht="28.5" customHeight="1">
      <c r="A938">
        <v>2024</v>
      </c>
      <c r="B938">
        <v>6</v>
      </c>
      <c r="C938">
        <v>2</v>
      </c>
      <c r="D938" t="s">
        <v>82</v>
      </c>
      <c r="E938" t="str">
        <f t="shared" si="56"/>
        <v>2024-Q6-2</v>
      </c>
      <c r="F938">
        <f t="shared" si="57"/>
        <v>1</v>
      </c>
      <c r="G938" t="s">
        <v>41</v>
      </c>
      <c r="H938">
        <f t="shared" si="58"/>
        <v>1</v>
      </c>
      <c r="I938" s="5">
        <f t="shared" si="59"/>
        <v>1</v>
      </c>
      <c r="J938" s="2" t="s">
        <v>1860</v>
      </c>
      <c r="K938" s="2" t="s">
        <v>1861</v>
      </c>
    </row>
    <row r="939" spans="1:11" ht="28.5" customHeight="1">
      <c r="A939">
        <v>2024</v>
      </c>
      <c r="B939">
        <v>6</v>
      </c>
      <c r="C939">
        <v>3</v>
      </c>
      <c r="D939" t="s">
        <v>82</v>
      </c>
      <c r="E939" t="str">
        <f t="shared" si="56"/>
        <v>2024-Q6-3</v>
      </c>
      <c r="F939">
        <f t="shared" si="57"/>
        <v>1</v>
      </c>
      <c r="G939" t="s">
        <v>41</v>
      </c>
      <c r="H939">
        <f t="shared" si="58"/>
        <v>1</v>
      </c>
      <c r="I939" s="5">
        <f t="shared" si="59"/>
        <v>1</v>
      </c>
      <c r="J939" s="2" t="s">
        <v>1862</v>
      </c>
      <c r="K939" s="2" t="s">
        <v>1863</v>
      </c>
    </row>
    <row r="940" spans="1:11" ht="28.5" customHeight="1">
      <c r="A940">
        <v>2024</v>
      </c>
      <c r="B940">
        <v>6</v>
      </c>
      <c r="C940">
        <v>4</v>
      </c>
      <c r="D940" t="s">
        <v>82</v>
      </c>
      <c r="E940" t="str">
        <f t="shared" si="56"/>
        <v>2024-Q6-4</v>
      </c>
      <c r="F940">
        <f t="shared" si="57"/>
        <v>1</v>
      </c>
      <c r="G940" t="s">
        <v>41</v>
      </c>
      <c r="H940">
        <f t="shared" si="58"/>
        <v>1</v>
      </c>
      <c r="I940" s="5">
        <f t="shared" si="59"/>
        <v>1</v>
      </c>
      <c r="J940" s="2" t="s">
        <v>1864</v>
      </c>
      <c r="K940" s="2" t="s">
        <v>1865</v>
      </c>
    </row>
    <row r="941" spans="1:11" ht="28.5" customHeight="1">
      <c r="A941">
        <v>2024</v>
      </c>
      <c r="B941">
        <v>7</v>
      </c>
      <c r="D941" t="s">
        <v>193</v>
      </c>
      <c r="E941" t="str">
        <f t="shared" si="56"/>
        <v>2024-Q7-ABERTA</v>
      </c>
      <c r="F941">
        <f t="shared" si="57"/>
        <v>5</v>
      </c>
      <c r="G941" t="s">
        <v>44</v>
      </c>
      <c r="H941">
        <f t="shared" si="58"/>
        <v>1</v>
      </c>
      <c r="I941" s="5">
        <f t="shared" si="59"/>
        <v>5</v>
      </c>
      <c r="J941" s="2" t="s">
        <v>1866</v>
      </c>
      <c r="K941" s="2" t="s">
        <v>1867</v>
      </c>
    </row>
    <row r="942" spans="1:11" ht="28.5" customHeight="1">
      <c r="A942">
        <v>2024</v>
      </c>
      <c r="B942">
        <v>8</v>
      </c>
      <c r="C942">
        <v>0</v>
      </c>
      <c r="D942" t="s">
        <v>82</v>
      </c>
      <c r="E942" t="str">
        <f t="shared" si="56"/>
        <v>2024-Q8-0</v>
      </c>
      <c r="F942">
        <f t="shared" si="57"/>
        <v>1</v>
      </c>
      <c r="G942" t="s">
        <v>26</v>
      </c>
      <c r="H942">
        <f t="shared" si="58"/>
        <v>1</v>
      </c>
      <c r="I942" s="5">
        <f t="shared" si="59"/>
        <v>1</v>
      </c>
      <c r="J942" s="2" t="s">
        <v>1868</v>
      </c>
      <c r="K942" s="2" t="s">
        <v>1869</v>
      </c>
    </row>
    <row r="943" spans="1:11" ht="28.5" customHeight="1">
      <c r="A943">
        <v>2024</v>
      </c>
      <c r="B943">
        <v>8</v>
      </c>
      <c r="C943">
        <v>1</v>
      </c>
      <c r="D943" t="s">
        <v>82</v>
      </c>
      <c r="E943" t="str">
        <f t="shared" si="56"/>
        <v>2024-Q8-1</v>
      </c>
      <c r="F943">
        <f t="shared" si="57"/>
        <v>1</v>
      </c>
      <c r="G943" t="s">
        <v>26</v>
      </c>
      <c r="H943">
        <f t="shared" si="58"/>
        <v>1</v>
      </c>
      <c r="I943" s="5">
        <f t="shared" si="59"/>
        <v>1</v>
      </c>
      <c r="J943" s="2" t="s">
        <v>1870</v>
      </c>
      <c r="K943" s="2" t="s">
        <v>1871</v>
      </c>
    </row>
    <row r="944" spans="1:11" ht="28.5" customHeight="1">
      <c r="A944">
        <v>2024</v>
      </c>
      <c r="B944">
        <v>8</v>
      </c>
      <c r="C944">
        <v>2</v>
      </c>
      <c r="D944" t="s">
        <v>82</v>
      </c>
      <c r="E944" t="str">
        <f t="shared" si="56"/>
        <v>2024-Q8-2</v>
      </c>
      <c r="F944">
        <f t="shared" si="57"/>
        <v>1</v>
      </c>
      <c r="G944" t="s">
        <v>26</v>
      </c>
      <c r="H944">
        <f t="shared" si="58"/>
        <v>1</v>
      </c>
      <c r="I944" s="5">
        <f t="shared" si="59"/>
        <v>1</v>
      </c>
      <c r="J944" s="2" t="s">
        <v>1872</v>
      </c>
      <c r="K944" s="2" t="s">
        <v>1873</v>
      </c>
    </row>
    <row r="945" spans="1:11" ht="28.5" customHeight="1">
      <c r="A945">
        <v>2024</v>
      </c>
      <c r="B945">
        <v>8</v>
      </c>
      <c r="C945">
        <v>3</v>
      </c>
      <c r="D945" t="s">
        <v>82</v>
      </c>
      <c r="E945" t="str">
        <f t="shared" si="56"/>
        <v>2024-Q8-3</v>
      </c>
      <c r="F945">
        <f t="shared" si="57"/>
        <v>1</v>
      </c>
      <c r="G945" t="s">
        <v>26</v>
      </c>
      <c r="H945">
        <f t="shared" si="58"/>
        <v>1</v>
      </c>
      <c r="I945" s="5">
        <f t="shared" si="59"/>
        <v>1</v>
      </c>
      <c r="J945" s="2" t="s">
        <v>1874</v>
      </c>
      <c r="K945" s="2" t="s">
        <v>1875</v>
      </c>
    </row>
    <row r="946" spans="1:11" ht="28.5" customHeight="1">
      <c r="A946">
        <v>2024</v>
      </c>
      <c r="B946">
        <v>8</v>
      </c>
      <c r="C946">
        <v>4</v>
      </c>
      <c r="D946" t="s">
        <v>82</v>
      </c>
      <c r="E946" t="str">
        <f t="shared" si="56"/>
        <v>2024-Q8-4</v>
      </c>
      <c r="F946">
        <f t="shared" si="57"/>
        <v>1</v>
      </c>
      <c r="G946" t="s">
        <v>26</v>
      </c>
      <c r="H946">
        <f t="shared" si="58"/>
        <v>1</v>
      </c>
      <c r="I946" s="5">
        <f t="shared" si="59"/>
        <v>1</v>
      </c>
      <c r="J946" s="2" t="s">
        <v>1876</v>
      </c>
      <c r="K946" s="2" t="s">
        <v>1877</v>
      </c>
    </row>
    <row r="947" spans="1:11" ht="28.5" customHeight="1">
      <c r="A947">
        <v>2024</v>
      </c>
      <c r="B947">
        <v>9</v>
      </c>
      <c r="C947">
        <v>0</v>
      </c>
      <c r="D947" t="s">
        <v>82</v>
      </c>
      <c r="E947" t="str">
        <f t="shared" si="56"/>
        <v>2024-Q9-0</v>
      </c>
      <c r="F947">
        <f t="shared" si="57"/>
        <v>1</v>
      </c>
      <c r="G947" t="s">
        <v>23</v>
      </c>
      <c r="H947">
        <f t="shared" si="58"/>
        <v>1</v>
      </c>
      <c r="I947" s="5">
        <f t="shared" si="59"/>
        <v>1</v>
      </c>
      <c r="J947" s="2" t="s">
        <v>1878</v>
      </c>
      <c r="K947" s="2" t="s">
        <v>1879</v>
      </c>
    </row>
    <row r="948" spans="1:11" ht="28.5" customHeight="1">
      <c r="A948">
        <v>2024</v>
      </c>
      <c r="B948">
        <v>9</v>
      </c>
      <c r="C948">
        <v>1</v>
      </c>
      <c r="D948" t="s">
        <v>82</v>
      </c>
      <c r="E948" t="str">
        <f t="shared" si="56"/>
        <v>2024-Q9-1</v>
      </c>
      <c r="F948">
        <f t="shared" si="57"/>
        <v>1</v>
      </c>
      <c r="G948" t="s">
        <v>23</v>
      </c>
      <c r="H948">
        <f t="shared" si="58"/>
        <v>1</v>
      </c>
      <c r="I948" s="5">
        <f t="shared" si="59"/>
        <v>1</v>
      </c>
      <c r="J948" s="2" t="s">
        <v>1880</v>
      </c>
      <c r="K948" s="2" t="s">
        <v>1881</v>
      </c>
    </row>
    <row r="949" spans="1:11" ht="28.5" customHeight="1">
      <c r="A949">
        <v>2024</v>
      </c>
      <c r="B949">
        <v>9</v>
      </c>
      <c r="C949">
        <v>2</v>
      </c>
      <c r="D949" t="s">
        <v>82</v>
      </c>
      <c r="E949" t="str">
        <f t="shared" si="56"/>
        <v>2024-Q9-2</v>
      </c>
      <c r="F949">
        <f t="shared" si="57"/>
        <v>1</v>
      </c>
      <c r="G949" t="s">
        <v>26</v>
      </c>
      <c r="H949">
        <f t="shared" si="58"/>
        <v>1</v>
      </c>
      <c r="I949" s="5">
        <f t="shared" si="59"/>
        <v>1</v>
      </c>
      <c r="J949" s="2" t="s">
        <v>1882</v>
      </c>
      <c r="K949" s="2" t="s">
        <v>1883</v>
      </c>
    </row>
    <row r="950" spans="1:11" ht="28.5" customHeight="1">
      <c r="A950">
        <v>2024</v>
      </c>
      <c r="B950">
        <v>9</v>
      </c>
      <c r="C950">
        <v>3</v>
      </c>
      <c r="D950" t="s">
        <v>82</v>
      </c>
      <c r="E950" t="str">
        <f t="shared" si="56"/>
        <v>2024-Q9-3</v>
      </c>
      <c r="F950">
        <f t="shared" si="57"/>
        <v>1</v>
      </c>
      <c r="G950" t="s">
        <v>23</v>
      </c>
      <c r="H950">
        <f t="shared" si="58"/>
        <v>1</v>
      </c>
      <c r="I950" s="5">
        <f t="shared" si="59"/>
        <v>1</v>
      </c>
      <c r="J950" s="2" t="s">
        <v>1884</v>
      </c>
      <c r="K950" s="2" t="s">
        <v>1885</v>
      </c>
    </row>
    <row r="951" spans="1:11" ht="28.5" customHeight="1">
      <c r="A951">
        <v>2024</v>
      </c>
      <c r="B951">
        <v>9</v>
      </c>
      <c r="C951">
        <v>4</v>
      </c>
      <c r="D951" t="s">
        <v>82</v>
      </c>
      <c r="E951" t="str">
        <f t="shared" si="56"/>
        <v>2024-Q9-4</v>
      </c>
      <c r="F951">
        <f t="shared" si="57"/>
        <v>1</v>
      </c>
      <c r="G951" t="s">
        <v>8</v>
      </c>
      <c r="H951">
        <f t="shared" si="58"/>
        <v>1</v>
      </c>
      <c r="I951" s="5">
        <f t="shared" si="59"/>
        <v>1</v>
      </c>
      <c r="J951" s="2" t="s">
        <v>1886</v>
      </c>
      <c r="K951" s="2" t="s">
        <v>1887</v>
      </c>
    </row>
    <row r="952" spans="1:11" ht="28.5" customHeight="1">
      <c r="A952">
        <v>2024</v>
      </c>
      <c r="B952">
        <v>10</v>
      </c>
      <c r="C952">
        <v>0</v>
      </c>
      <c r="D952" t="s">
        <v>82</v>
      </c>
      <c r="E952" t="str">
        <f t="shared" si="56"/>
        <v>2024-Q10-0</v>
      </c>
      <c r="F952">
        <f t="shared" si="57"/>
        <v>1</v>
      </c>
      <c r="G952" t="s">
        <v>32</v>
      </c>
      <c r="H952">
        <f t="shared" si="58"/>
        <v>1</v>
      </c>
      <c r="I952" s="5">
        <f t="shared" si="59"/>
        <v>1</v>
      </c>
      <c r="J952" s="2" t="s">
        <v>1888</v>
      </c>
      <c r="K952" s="2" t="s">
        <v>1889</v>
      </c>
    </row>
    <row r="953" spans="1:11" ht="28.5" customHeight="1">
      <c r="A953">
        <v>2024</v>
      </c>
      <c r="B953">
        <v>10</v>
      </c>
      <c r="C953">
        <v>1</v>
      </c>
      <c r="D953" t="s">
        <v>82</v>
      </c>
      <c r="E953" t="str">
        <f t="shared" si="56"/>
        <v>2024-Q10-1</v>
      </c>
      <c r="F953">
        <f t="shared" si="57"/>
        <v>1</v>
      </c>
      <c r="G953" t="s">
        <v>20</v>
      </c>
      <c r="H953">
        <f t="shared" si="58"/>
        <v>1</v>
      </c>
      <c r="I953" s="5">
        <f t="shared" si="59"/>
        <v>1</v>
      </c>
      <c r="J953" s="2" t="s">
        <v>1890</v>
      </c>
      <c r="K953" s="2" t="s">
        <v>1891</v>
      </c>
    </row>
    <row r="954" spans="1:11" ht="28.5" customHeight="1">
      <c r="A954">
        <v>2024</v>
      </c>
      <c r="B954">
        <v>10</v>
      </c>
      <c r="C954">
        <v>2</v>
      </c>
      <c r="D954" t="s">
        <v>82</v>
      </c>
      <c r="E954" t="str">
        <f t="shared" si="56"/>
        <v>2024-Q10-2</v>
      </c>
      <c r="F954">
        <f t="shared" si="57"/>
        <v>1</v>
      </c>
      <c r="G954" t="s">
        <v>32</v>
      </c>
      <c r="H954">
        <f t="shared" si="58"/>
        <v>1</v>
      </c>
      <c r="I954" s="5">
        <f t="shared" si="59"/>
        <v>1</v>
      </c>
      <c r="J954" s="2" t="s">
        <v>1892</v>
      </c>
      <c r="K954" s="2" t="s">
        <v>1893</v>
      </c>
    </row>
    <row r="955" spans="1:11" ht="28.5" customHeight="1">
      <c r="A955">
        <v>2024</v>
      </c>
      <c r="B955">
        <v>10</v>
      </c>
      <c r="C955">
        <v>3</v>
      </c>
      <c r="D955" t="s">
        <v>82</v>
      </c>
      <c r="E955" t="str">
        <f t="shared" si="56"/>
        <v>2024-Q10-3</v>
      </c>
      <c r="F955">
        <f t="shared" si="57"/>
        <v>1</v>
      </c>
      <c r="G955" t="s">
        <v>32</v>
      </c>
      <c r="H955">
        <f t="shared" si="58"/>
        <v>1</v>
      </c>
      <c r="I955" s="5">
        <f t="shared" si="59"/>
        <v>1</v>
      </c>
      <c r="J955" s="2" t="s">
        <v>1894</v>
      </c>
      <c r="K955" s="2" t="s">
        <v>1895</v>
      </c>
    </row>
    <row r="956" spans="1:11" ht="28.5" customHeight="1">
      <c r="A956">
        <v>2024</v>
      </c>
      <c r="B956">
        <v>10</v>
      </c>
      <c r="C956">
        <v>4</v>
      </c>
      <c r="D956" t="s">
        <v>82</v>
      </c>
      <c r="E956" t="str">
        <f t="shared" si="56"/>
        <v>2024-Q10-4</v>
      </c>
      <c r="F956">
        <f t="shared" si="57"/>
        <v>1</v>
      </c>
      <c r="G956" t="s">
        <v>32</v>
      </c>
      <c r="H956">
        <f t="shared" si="58"/>
        <v>1</v>
      </c>
      <c r="I956" s="5">
        <f t="shared" si="59"/>
        <v>1</v>
      </c>
      <c r="J956" s="2" t="s">
        <v>1896</v>
      </c>
      <c r="K956" s="2" t="s">
        <v>1897</v>
      </c>
    </row>
    <row r="957" spans="1:11" ht="28.5" customHeight="1">
      <c r="A957">
        <v>2025</v>
      </c>
      <c r="B957">
        <v>1</v>
      </c>
      <c r="C957">
        <v>0</v>
      </c>
      <c r="D957" t="s">
        <v>82</v>
      </c>
      <c r="E957" t="str">
        <f t="shared" si="56"/>
        <v>2025-Q1-0</v>
      </c>
      <c r="F957">
        <f t="shared" si="57"/>
        <v>1</v>
      </c>
      <c r="G957" t="s">
        <v>29</v>
      </c>
      <c r="H957">
        <f t="shared" si="58"/>
        <v>1</v>
      </c>
      <c r="I957" s="5">
        <f t="shared" si="59"/>
        <v>1</v>
      </c>
      <c r="J957" s="2" t="s">
        <v>1898</v>
      </c>
      <c r="K957" s="2" t="s">
        <v>1899</v>
      </c>
    </row>
    <row r="958" spans="1:11" ht="28.5" customHeight="1">
      <c r="A958">
        <v>2025</v>
      </c>
      <c r="B958">
        <v>1</v>
      </c>
      <c r="C958">
        <v>1</v>
      </c>
      <c r="D958" t="s">
        <v>82</v>
      </c>
      <c r="E958" t="str">
        <f t="shared" si="56"/>
        <v>2025-Q1-1</v>
      </c>
      <c r="F958">
        <f t="shared" si="57"/>
        <v>1</v>
      </c>
      <c r="G958" t="s">
        <v>29</v>
      </c>
      <c r="H958">
        <f t="shared" si="58"/>
        <v>1</v>
      </c>
      <c r="I958" s="5">
        <f t="shared" si="59"/>
        <v>1</v>
      </c>
      <c r="J958" s="2" t="s">
        <v>1900</v>
      </c>
      <c r="K958" s="2" t="s">
        <v>1901</v>
      </c>
    </row>
    <row r="959" spans="1:11">
      <c r="A959">
        <v>2025</v>
      </c>
      <c r="B959">
        <v>1</v>
      </c>
      <c r="C959">
        <v>2</v>
      </c>
      <c r="D959" t="s">
        <v>82</v>
      </c>
      <c r="E959" t="str">
        <f t="shared" si="56"/>
        <v>2025-Q1-2</v>
      </c>
      <c r="F959">
        <f t="shared" si="57"/>
        <v>1</v>
      </c>
      <c r="G959" t="s">
        <v>29</v>
      </c>
      <c r="H959">
        <f t="shared" si="58"/>
        <v>1</v>
      </c>
      <c r="I959" s="5">
        <f t="shared" si="59"/>
        <v>1</v>
      </c>
      <c r="J959" s="2" t="s">
        <v>1902</v>
      </c>
      <c r="K959" s="2" t="s">
        <v>1903</v>
      </c>
    </row>
    <row r="960" spans="1:11">
      <c r="A960">
        <v>2025</v>
      </c>
      <c r="B960">
        <v>1</v>
      </c>
      <c r="C960">
        <v>3</v>
      </c>
      <c r="D960" t="s">
        <v>82</v>
      </c>
      <c r="E960" t="str">
        <f t="shared" si="56"/>
        <v>2025-Q1-3</v>
      </c>
      <c r="F960">
        <f t="shared" si="57"/>
        <v>1</v>
      </c>
      <c r="G960" t="s">
        <v>8</v>
      </c>
      <c r="H960">
        <f t="shared" si="58"/>
        <v>1</v>
      </c>
      <c r="I960" s="5">
        <f t="shared" si="59"/>
        <v>1</v>
      </c>
      <c r="J960" s="2" t="s">
        <v>1904</v>
      </c>
      <c r="K960" s="2" t="s">
        <v>1905</v>
      </c>
    </row>
    <row r="961" spans="1:11" ht="28.5" customHeight="1">
      <c r="A961">
        <v>2025</v>
      </c>
      <c r="B961">
        <v>1</v>
      </c>
      <c r="C961">
        <v>4</v>
      </c>
      <c r="D961" t="s">
        <v>82</v>
      </c>
      <c r="E961" t="str">
        <f t="shared" si="56"/>
        <v>2025-Q1-4</v>
      </c>
      <c r="F961">
        <f t="shared" si="57"/>
        <v>1</v>
      </c>
      <c r="G961" t="s">
        <v>8</v>
      </c>
      <c r="H961">
        <f t="shared" si="58"/>
        <v>1</v>
      </c>
      <c r="I961" s="5">
        <f t="shared" si="59"/>
        <v>1</v>
      </c>
      <c r="J961" s="2" t="s">
        <v>1906</v>
      </c>
      <c r="K961" s="2" t="s">
        <v>1907</v>
      </c>
    </row>
    <row r="962" spans="1:11">
      <c r="A962">
        <v>2025</v>
      </c>
      <c r="B962">
        <v>2</v>
      </c>
      <c r="C962">
        <v>0</v>
      </c>
      <c r="D962" t="s">
        <v>82</v>
      </c>
      <c r="E962" t="str">
        <f t="shared" si="56"/>
        <v>2025-Q2-0</v>
      </c>
      <c r="F962">
        <f t="shared" si="57"/>
        <v>1</v>
      </c>
      <c r="G962" t="s">
        <v>20</v>
      </c>
      <c r="H962">
        <f t="shared" si="58"/>
        <v>1</v>
      </c>
      <c r="I962" s="5">
        <f t="shared" si="59"/>
        <v>1</v>
      </c>
      <c r="J962" s="2" t="s">
        <v>1908</v>
      </c>
      <c r="K962" s="2" t="s">
        <v>1909</v>
      </c>
    </row>
    <row r="963" spans="1:11" ht="28.5" customHeight="1">
      <c r="A963">
        <v>2025</v>
      </c>
      <c r="B963">
        <v>2</v>
      </c>
      <c r="C963">
        <v>1</v>
      </c>
      <c r="D963" t="s">
        <v>82</v>
      </c>
      <c r="E963" t="str">
        <f t="shared" si="56"/>
        <v>2025-Q2-1</v>
      </c>
      <c r="F963">
        <f t="shared" si="57"/>
        <v>1</v>
      </c>
      <c r="G963" t="s">
        <v>17</v>
      </c>
      <c r="H963">
        <f t="shared" si="58"/>
        <v>1</v>
      </c>
      <c r="I963" s="5">
        <f t="shared" si="59"/>
        <v>1</v>
      </c>
      <c r="J963" s="2" t="s">
        <v>1910</v>
      </c>
      <c r="K963" s="2" t="s">
        <v>1911</v>
      </c>
    </row>
    <row r="964" spans="1:11">
      <c r="A964">
        <v>2025</v>
      </c>
      <c r="B964">
        <v>2</v>
      </c>
      <c r="C964">
        <v>2</v>
      </c>
      <c r="D964" t="s">
        <v>82</v>
      </c>
      <c r="E964" t="str">
        <f t="shared" si="56"/>
        <v>2025-Q2-2</v>
      </c>
      <c r="F964">
        <f t="shared" si="57"/>
        <v>1</v>
      </c>
      <c r="G964" t="s">
        <v>32</v>
      </c>
      <c r="H964">
        <f t="shared" si="58"/>
        <v>1</v>
      </c>
      <c r="I964" s="5">
        <f t="shared" si="59"/>
        <v>1</v>
      </c>
      <c r="J964" s="2" t="s">
        <v>1912</v>
      </c>
      <c r="K964" s="2" t="s">
        <v>1913</v>
      </c>
    </row>
    <row r="965" spans="1:11" ht="28.5" customHeight="1">
      <c r="A965">
        <v>2025</v>
      </c>
      <c r="B965">
        <v>2</v>
      </c>
      <c r="C965">
        <v>3</v>
      </c>
      <c r="D965" t="s">
        <v>82</v>
      </c>
      <c r="E965" t="str">
        <f t="shared" ref="E965:E1028" si="60">IF(A965="","",TEXT(A965,"0")&amp;"-Q"&amp;TEXT(B965,"0")&amp;"-"&amp;IF(C965="","ABERTA",C965))</f>
        <v>2025-Q2-3</v>
      </c>
      <c r="F965">
        <f t="shared" ref="F965:F1028" si="61">IF(D965="V/F",1,IF(D965="Aberta/numérica",5,""))</f>
        <v>1</v>
      </c>
      <c r="G965" t="s">
        <v>32</v>
      </c>
      <c r="H965">
        <f t="shared" ref="H965:H1028" si="62">IF(A965="","",IF(C965="",COUNTIFS($A$5:$A$1504,A965,$B$5:$B$1504,B965,$C$5:$C$1504,"",$D$5:$D$1504,D965),COUNTIFS($A$5:$A$1504,A965,$B$5:$B$1504,B965,$C$5:$C$1504,C965,$D$5:$D$1504,D965)))</f>
        <v>1</v>
      </c>
      <c r="I965" s="5">
        <f t="shared" ref="I965:I1028" si="63">IF(OR(F965="",H965="",G965=""),"",F965/H965)</f>
        <v>1</v>
      </c>
      <c r="J965" s="2" t="s">
        <v>1914</v>
      </c>
      <c r="K965" s="2" t="s">
        <v>1915</v>
      </c>
    </row>
    <row r="966" spans="1:11" ht="28.5" customHeight="1">
      <c r="A966">
        <v>2025</v>
      </c>
      <c r="B966">
        <v>2</v>
      </c>
      <c r="C966">
        <v>4</v>
      </c>
      <c r="D966" t="s">
        <v>82</v>
      </c>
      <c r="E966" t="str">
        <f t="shared" si="60"/>
        <v>2025-Q2-4</v>
      </c>
      <c r="F966">
        <f t="shared" si="61"/>
        <v>1</v>
      </c>
      <c r="G966" t="s">
        <v>20</v>
      </c>
      <c r="H966">
        <f t="shared" si="62"/>
        <v>1</v>
      </c>
      <c r="I966" s="5">
        <f t="shared" si="63"/>
        <v>1</v>
      </c>
      <c r="J966" s="2" t="s">
        <v>1916</v>
      </c>
      <c r="K966" s="2" t="s">
        <v>1917</v>
      </c>
    </row>
    <row r="967" spans="1:11" ht="28.5" customHeight="1">
      <c r="A967">
        <v>2025</v>
      </c>
      <c r="B967">
        <v>3</v>
      </c>
      <c r="C967">
        <v>0</v>
      </c>
      <c r="D967" t="s">
        <v>82</v>
      </c>
      <c r="E967" t="str">
        <f t="shared" si="60"/>
        <v>2025-Q3-0</v>
      </c>
      <c r="F967">
        <f t="shared" si="61"/>
        <v>1</v>
      </c>
      <c r="G967" t="s">
        <v>35</v>
      </c>
      <c r="H967">
        <f t="shared" si="62"/>
        <v>1</v>
      </c>
      <c r="I967" s="5">
        <f t="shared" si="63"/>
        <v>1</v>
      </c>
      <c r="J967" s="2" t="s">
        <v>1918</v>
      </c>
      <c r="K967" s="2" t="s">
        <v>1919</v>
      </c>
    </row>
    <row r="968" spans="1:11">
      <c r="A968">
        <v>2025</v>
      </c>
      <c r="B968">
        <v>3</v>
      </c>
      <c r="C968">
        <v>1</v>
      </c>
      <c r="D968" t="s">
        <v>82</v>
      </c>
      <c r="E968" t="str">
        <f t="shared" si="60"/>
        <v>2025-Q3-1</v>
      </c>
      <c r="F968">
        <f t="shared" si="61"/>
        <v>1</v>
      </c>
      <c r="G968" t="s">
        <v>35</v>
      </c>
      <c r="H968">
        <f t="shared" si="62"/>
        <v>1</v>
      </c>
      <c r="I968" s="5">
        <f t="shared" si="63"/>
        <v>1</v>
      </c>
      <c r="J968" s="2" t="s">
        <v>1920</v>
      </c>
      <c r="K968" s="2" t="s">
        <v>1921</v>
      </c>
    </row>
    <row r="969" spans="1:11" ht="28.5" customHeight="1">
      <c r="A969">
        <v>2025</v>
      </c>
      <c r="B969">
        <v>3</v>
      </c>
      <c r="C969">
        <v>2</v>
      </c>
      <c r="D969" t="s">
        <v>82</v>
      </c>
      <c r="E969" t="str">
        <f t="shared" si="60"/>
        <v>2025-Q3-2</v>
      </c>
      <c r="F969">
        <f t="shared" si="61"/>
        <v>1</v>
      </c>
      <c r="G969" t="s">
        <v>26</v>
      </c>
      <c r="H969">
        <f t="shared" si="62"/>
        <v>1</v>
      </c>
      <c r="I969" s="5">
        <f t="shared" si="63"/>
        <v>1</v>
      </c>
      <c r="J969" s="2" t="s">
        <v>1922</v>
      </c>
      <c r="K969" s="2" t="s">
        <v>1923</v>
      </c>
    </row>
    <row r="970" spans="1:11" ht="28.5" customHeight="1">
      <c r="A970">
        <v>2025</v>
      </c>
      <c r="B970">
        <v>3</v>
      </c>
      <c r="C970">
        <v>3</v>
      </c>
      <c r="D970" t="s">
        <v>82</v>
      </c>
      <c r="E970" t="str">
        <f t="shared" si="60"/>
        <v>2025-Q3-3</v>
      </c>
      <c r="F970">
        <f t="shared" si="61"/>
        <v>1</v>
      </c>
      <c r="G970" t="s">
        <v>35</v>
      </c>
      <c r="H970">
        <f t="shared" si="62"/>
        <v>1</v>
      </c>
      <c r="I970" s="5">
        <f t="shared" si="63"/>
        <v>1</v>
      </c>
      <c r="J970" s="2" t="s">
        <v>1924</v>
      </c>
      <c r="K970" s="2" t="s">
        <v>1925</v>
      </c>
    </row>
    <row r="971" spans="1:11" ht="28.5" customHeight="1">
      <c r="A971">
        <v>2025</v>
      </c>
      <c r="B971">
        <v>3</v>
      </c>
      <c r="C971">
        <v>4</v>
      </c>
      <c r="D971" t="s">
        <v>82</v>
      </c>
      <c r="E971" t="str">
        <f t="shared" si="60"/>
        <v>2025-Q3-4</v>
      </c>
      <c r="F971">
        <f t="shared" si="61"/>
        <v>1</v>
      </c>
      <c r="G971" t="s">
        <v>35</v>
      </c>
      <c r="H971">
        <f t="shared" si="62"/>
        <v>1</v>
      </c>
      <c r="I971" s="5">
        <f t="shared" si="63"/>
        <v>1</v>
      </c>
      <c r="J971" s="2" t="s">
        <v>1926</v>
      </c>
      <c r="K971" s="2" t="s">
        <v>1927</v>
      </c>
    </row>
    <row r="972" spans="1:11" ht="28.5" customHeight="1">
      <c r="A972">
        <v>2025</v>
      </c>
      <c r="B972">
        <v>4</v>
      </c>
      <c r="C972">
        <v>0</v>
      </c>
      <c r="D972" t="s">
        <v>82</v>
      </c>
      <c r="E972" t="str">
        <f t="shared" si="60"/>
        <v>2025-Q4-0</v>
      </c>
      <c r="F972">
        <f t="shared" si="61"/>
        <v>1</v>
      </c>
      <c r="G972" t="s">
        <v>32</v>
      </c>
      <c r="H972">
        <f t="shared" si="62"/>
        <v>1</v>
      </c>
      <c r="I972" s="5">
        <f t="shared" si="63"/>
        <v>1</v>
      </c>
      <c r="J972" s="2" t="s">
        <v>1928</v>
      </c>
      <c r="K972" s="2" t="s">
        <v>1929</v>
      </c>
    </row>
    <row r="973" spans="1:11" ht="42.75" customHeight="1">
      <c r="A973">
        <v>2025</v>
      </c>
      <c r="B973">
        <v>4</v>
      </c>
      <c r="C973">
        <v>1</v>
      </c>
      <c r="D973" t="s">
        <v>82</v>
      </c>
      <c r="E973" t="str">
        <f t="shared" si="60"/>
        <v>2025-Q4-1</v>
      </c>
      <c r="F973">
        <f t="shared" si="61"/>
        <v>1</v>
      </c>
      <c r="G973" t="s">
        <v>29</v>
      </c>
      <c r="H973">
        <f t="shared" si="62"/>
        <v>2</v>
      </c>
      <c r="I973" s="5">
        <f t="shared" si="63"/>
        <v>0.5</v>
      </c>
      <c r="J973" s="2" t="s">
        <v>1930</v>
      </c>
      <c r="K973" s="2" t="s">
        <v>1931</v>
      </c>
    </row>
    <row r="974" spans="1:11" ht="42.75" customHeight="1">
      <c r="A974">
        <v>2025</v>
      </c>
      <c r="B974">
        <v>4</v>
      </c>
      <c r="C974">
        <v>1</v>
      </c>
      <c r="D974" t="s">
        <v>82</v>
      </c>
      <c r="E974" t="str">
        <f t="shared" si="60"/>
        <v>2025-Q4-1</v>
      </c>
      <c r="F974">
        <f t="shared" si="61"/>
        <v>1</v>
      </c>
      <c r="G974" t="s">
        <v>32</v>
      </c>
      <c r="H974">
        <f t="shared" si="62"/>
        <v>2</v>
      </c>
      <c r="I974" s="5">
        <f t="shared" si="63"/>
        <v>0.5</v>
      </c>
      <c r="J974" s="2" t="s">
        <v>1930</v>
      </c>
      <c r="K974" s="2" t="s">
        <v>1931</v>
      </c>
    </row>
    <row r="975" spans="1:11" ht="42.75" customHeight="1">
      <c r="A975">
        <v>2025</v>
      </c>
      <c r="B975">
        <v>4</v>
      </c>
      <c r="C975">
        <v>2</v>
      </c>
      <c r="D975" t="s">
        <v>82</v>
      </c>
      <c r="E975" t="str">
        <f t="shared" si="60"/>
        <v>2025-Q4-2</v>
      </c>
      <c r="F975">
        <f t="shared" si="61"/>
        <v>1</v>
      </c>
      <c r="G975" t="s">
        <v>29</v>
      </c>
      <c r="H975">
        <f t="shared" si="62"/>
        <v>2</v>
      </c>
      <c r="I975" s="5">
        <f t="shared" si="63"/>
        <v>0.5</v>
      </c>
      <c r="J975" s="2" t="s">
        <v>1932</v>
      </c>
      <c r="K975" s="2" t="s">
        <v>1933</v>
      </c>
    </row>
    <row r="976" spans="1:11" ht="42.75" customHeight="1">
      <c r="A976">
        <v>2025</v>
      </c>
      <c r="B976">
        <v>4</v>
      </c>
      <c r="C976">
        <v>2</v>
      </c>
      <c r="D976" t="s">
        <v>82</v>
      </c>
      <c r="E976" t="str">
        <f t="shared" si="60"/>
        <v>2025-Q4-2</v>
      </c>
      <c r="F976">
        <f t="shared" si="61"/>
        <v>1</v>
      </c>
      <c r="G976" t="s">
        <v>32</v>
      </c>
      <c r="H976">
        <f t="shared" si="62"/>
        <v>2</v>
      </c>
      <c r="I976" s="5">
        <f t="shared" si="63"/>
        <v>0.5</v>
      </c>
      <c r="J976" s="2" t="s">
        <v>1932</v>
      </c>
      <c r="K976" s="2" t="s">
        <v>1933</v>
      </c>
    </row>
    <row r="977" spans="1:11" ht="42.75" customHeight="1">
      <c r="A977">
        <v>2025</v>
      </c>
      <c r="B977">
        <v>4</v>
      </c>
      <c r="C977">
        <v>3</v>
      </c>
      <c r="D977" t="s">
        <v>82</v>
      </c>
      <c r="E977" t="str">
        <f t="shared" si="60"/>
        <v>2025-Q4-3</v>
      </c>
      <c r="F977">
        <f t="shared" si="61"/>
        <v>1</v>
      </c>
      <c r="G977" t="s">
        <v>26</v>
      </c>
      <c r="H977">
        <f t="shared" si="62"/>
        <v>2</v>
      </c>
      <c r="I977" s="5">
        <f t="shared" si="63"/>
        <v>0.5</v>
      </c>
      <c r="J977" s="2" t="s">
        <v>1934</v>
      </c>
      <c r="K977" s="2" t="s">
        <v>1935</v>
      </c>
    </row>
    <row r="978" spans="1:11" ht="42.75" customHeight="1">
      <c r="A978">
        <v>2025</v>
      </c>
      <c r="B978">
        <v>4</v>
      </c>
      <c r="C978">
        <v>3</v>
      </c>
      <c r="D978" t="s">
        <v>82</v>
      </c>
      <c r="E978" t="str">
        <f t="shared" si="60"/>
        <v>2025-Q4-3</v>
      </c>
      <c r="F978">
        <f t="shared" si="61"/>
        <v>1</v>
      </c>
      <c r="G978" t="s">
        <v>32</v>
      </c>
      <c r="H978">
        <f t="shared" si="62"/>
        <v>2</v>
      </c>
      <c r="I978" s="5">
        <f t="shared" si="63"/>
        <v>0.5</v>
      </c>
      <c r="J978" s="2" t="s">
        <v>1934</v>
      </c>
      <c r="K978" s="2" t="s">
        <v>1935</v>
      </c>
    </row>
    <row r="979" spans="1:11" ht="28.5" customHeight="1">
      <c r="A979">
        <v>2025</v>
      </c>
      <c r="B979">
        <v>4</v>
      </c>
      <c r="C979">
        <v>4</v>
      </c>
      <c r="D979" t="s">
        <v>82</v>
      </c>
      <c r="E979" t="str">
        <f t="shared" si="60"/>
        <v>2025-Q4-4</v>
      </c>
      <c r="F979">
        <f t="shared" si="61"/>
        <v>1</v>
      </c>
      <c r="G979" t="s">
        <v>29</v>
      </c>
      <c r="H979">
        <f t="shared" si="62"/>
        <v>2</v>
      </c>
      <c r="I979" s="5">
        <f t="shared" si="63"/>
        <v>0.5</v>
      </c>
      <c r="J979" s="2" t="s">
        <v>1936</v>
      </c>
      <c r="K979" s="2" t="s">
        <v>1937</v>
      </c>
    </row>
    <row r="980" spans="1:11" ht="28.5" customHeight="1">
      <c r="A980">
        <v>2025</v>
      </c>
      <c r="B980">
        <v>4</v>
      </c>
      <c r="C980">
        <v>4</v>
      </c>
      <c r="D980" t="s">
        <v>82</v>
      </c>
      <c r="E980" t="str">
        <f t="shared" si="60"/>
        <v>2025-Q4-4</v>
      </c>
      <c r="F980">
        <f t="shared" si="61"/>
        <v>1</v>
      </c>
      <c r="G980" t="s">
        <v>32</v>
      </c>
      <c r="H980">
        <f t="shared" si="62"/>
        <v>2</v>
      </c>
      <c r="I980" s="5">
        <f t="shared" si="63"/>
        <v>0.5</v>
      </c>
      <c r="J980" s="2" t="s">
        <v>1936</v>
      </c>
      <c r="K980" s="2" t="s">
        <v>1937</v>
      </c>
    </row>
    <row r="981" spans="1:11">
      <c r="A981">
        <v>2025</v>
      </c>
      <c r="B981">
        <v>5</v>
      </c>
      <c r="C981">
        <v>0</v>
      </c>
      <c r="D981" t="s">
        <v>82</v>
      </c>
      <c r="E981" t="str">
        <f t="shared" si="60"/>
        <v>2025-Q5-0</v>
      </c>
      <c r="F981">
        <f t="shared" si="61"/>
        <v>1</v>
      </c>
      <c r="G981" t="s">
        <v>41</v>
      </c>
      <c r="H981">
        <f t="shared" si="62"/>
        <v>1</v>
      </c>
      <c r="I981" s="5">
        <f t="shared" si="63"/>
        <v>1</v>
      </c>
      <c r="J981" s="2" t="s">
        <v>1938</v>
      </c>
      <c r="K981" s="2" t="s">
        <v>1939</v>
      </c>
    </row>
    <row r="982" spans="1:11">
      <c r="A982">
        <v>2025</v>
      </c>
      <c r="B982">
        <v>5</v>
      </c>
      <c r="C982">
        <v>1</v>
      </c>
      <c r="D982" t="s">
        <v>82</v>
      </c>
      <c r="E982" t="str">
        <f t="shared" si="60"/>
        <v>2025-Q5-1</v>
      </c>
      <c r="F982">
        <f t="shared" si="61"/>
        <v>1</v>
      </c>
      <c r="G982" t="s">
        <v>41</v>
      </c>
      <c r="H982">
        <f t="shared" si="62"/>
        <v>1</v>
      </c>
      <c r="I982" s="5">
        <f t="shared" si="63"/>
        <v>1</v>
      </c>
      <c r="J982" s="2" t="s">
        <v>1940</v>
      </c>
      <c r="K982" s="2" t="s">
        <v>1941</v>
      </c>
    </row>
    <row r="983" spans="1:11">
      <c r="A983">
        <v>2025</v>
      </c>
      <c r="B983">
        <v>5</v>
      </c>
      <c r="C983">
        <v>2</v>
      </c>
      <c r="D983" t="s">
        <v>82</v>
      </c>
      <c r="E983" t="str">
        <f t="shared" si="60"/>
        <v>2025-Q5-2</v>
      </c>
      <c r="F983">
        <f t="shared" si="61"/>
        <v>1</v>
      </c>
      <c r="G983" t="s">
        <v>41</v>
      </c>
      <c r="H983">
        <f t="shared" si="62"/>
        <v>1</v>
      </c>
      <c r="I983" s="5">
        <f t="shared" si="63"/>
        <v>1</v>
      </c>
      <c r="J983" s="2" t="s">
        <v>1942</v>
      </c>
      <c r="K983" s="2" t="s">
        <v>1943</v>
      </c>
    </row>
    <row r="984" spans="1:11">
      <c r="A984">
        <v>2025</v>
      </c>
      <c r="B984">
        <v>5</v>
      </c>
      <c r="C984">
        <v>3</v>
      </c>
      <c r="D984" t="s">
        <v>82</v>
      </c>
      <c r="E984" t="str">
        <f t="shared" si="60"/>
        <v>2025-Q5-3</v>
      </c>
      <c r="F984">
        <f t="shared" si="61"/>
        <v>1</v>
      </c>
      <c r="G984" t="s">
        <v>41</v>
      </c>
      <c r="H984">
        <f t="shared" si="62"/>
        <v>1</v>
      </c>
      <c r="I984" s="5">
        <f t="shared" si="63"/>
        <v>1</v>
      </c>
      <c r="J984" s="2" t="s">
        <v>1944</v>
      </c>
      <c r="K984" s="2" t="s">
        <v>1945</v>
      </c>
    </row>
    <row r="985" spans="1:11" ht="28.5" customHeight="1">
      <c r="A985">
        <v>2025</v>
      </c>
      <c r="B985">
        <v>5</v>
      </c>
      <c r="C985">
        <v>4</v>
      </c>
      <c r="D985" t="s">
        <v>82</v>
      </c>
      <c r="E985" t="str">
        <f t="shared" si="60"/>
        <v>2025-Q5-4</v>
      </c>
      <c r="F985">
        <f t="shared" si="61"/>
        <v>1</v>
      </c>
      <c r="G985" t="s">
        <v>41</v>
      </c>
      <c r="H985">
        <f t="shared" si="62"/>
        <v>1</v>
      </c>
      <c r="I985" s="5">
        <f t="shared" si="63"/>
        <v>1</v>
      </c>
      <c r="J985" s="2" t="s">
        <v>1946</v>
      </c>
      <c r="K985" s="2" t="s">
        <v>1947</v>
      </c>
    </row>
    <row r="986" spans="1:11">
      <c r="A986">
        <v>2025</v>
      </c>
      <c r="B986">
        <v>6</v>
      </c>
      <c r="C986">
        <v>0</v>
      </c>
      <c r="D986" t="s">
        <v>82</v>
      </c>
      <c r="E986" t="str">
        <f t="shared" si="60"/>
        <v>2025-Q6-0</v>
      </c>
      <c r="F986">
        <f t="shared" si="61"/>
        <v>1</v>
      </c>
      <c r="G986" t="s">
        <v>44</v>
      </c>
      <c r="H986">
        <f t="shared" si="62"/>
        <v>1</v>
      </c>
      <c r="I986" s="5">
        <f t="shared" si="63"/>
        <v>1</v>
      </c>
      <c r="J986" s="2" t="s">
        <v>1948</v>
      </c>
      <c r="K986" s="2" t="s">
        <v>1949</v>
      </c>
    </row>
    <row r="987" spans="1:11">
      <c r="A987">
        <v>2025</v>
      </c>
      <c r="B987">
        <v>6</v>
      </c>
      <c r="C987">
        <v>1</v>
      </c>
      <c r="D987" t="s">
        <v>82</v>
      </c>
      <c r="E987" t="str">
        <f t="shared" si="60"/>
        <v>2025-Q6-1</v>
      </c>
      <c r="F987">
        <f t="shared" si="61"/>
        <v>1</v>
      </c>
      <c r="G987" t="s">
        <v>44</v>
      </c>
      <c r="H987">
        <f t="shared" si="62"/>
        <v>1</v>
      </c>
      <c r="I987" s="5">
        <f t="shared" si="63"/>
        <v>1</v>
      </c>
      <c r="J987" s="2" t="s">
        <v>1950</v>
      </c>
      <c r="K987" s="2" t="s">
        <v>1951</v>
      </c>
    </row>
    <row r="988" spans="1:11" ht="28.5" customHeight="1">
      <c r="A988">
        <v>2025</v>
      </c>
      <c r="B988">
        <v>6</v>
      </c>
      <c r="C988">
        <v>2</v>
      </c>
      <c r="D988" t="s">
        <v>82</v>
      </c>
      <c r="E988" t="str">
        <f t="shared" si="60"/>
        <v>2025-Q6-2</v>
      </c>
      <c r="F988">
        <f t="shared" si="61"/>
        <v>1</v>
      </c>
      <c r="G988" t="s">
        <v>44</v>
      </c>
      <c r="H988">
        <f t="shared" si="62"/>
        <v>1</v>
      </c>
      <c r="I988" s="5">
        <f t="shared" si="63"/>
        <v>1</v>
      </c>
      <c r="J988" s="2" t="s">
        <v>1952</v>
      </c>
      <c r="K988" s="2" t="s">
        <v>1953</v>
      </c>
    </row>
    <row r="989" spans="1:11" ht="28.5" customHeight="1">
      <c r="A989">
        <v>2025</v>
      </c>
      <c r="B989">
        <v>6</v>
      </c>
      <c r="C989">
        <v>3</v>
      </c>
      <c r="D989" t="s">
        <v>82</v>
      </c>
      <c r="E989" t="str">
        <f t="shared" si="60"/>
        <v>2025-Q6-3</v>
      </c>
      <c r="F989">
        <f t="shared" si="61"/>
        <v>1</v>
      </c>
      <c r="G989" t="s">
        <v>44</v>
      </c>
      <c r="H989">
        <f t="shared" si="62"/>
        <v>1</v>
      </c>
      <c r="I989" s="5">
        <f t="shared" si="63"/>
        <v>1</v>
      </c>
      <c r="J989" s="2" t="s">
        <v>1954</v>
      </c>
      <c r="K989" s="2" t="s">
        <v>1955</v>
      </c>
    </row>
    <row r="990" spans="1:11">
      <c r="A990">
        <v>2025</v>
      </c>
      <c r="B990">
        <v>6</v>
      </c>
      <c r="C990">
        <v>4</v>
      </c>
      <c r="D990" t="s">
        <v>82</v>
      </c>
      <c r="E990" t="str">
        <f t="shared" si="60"/>
        <v>2025-Q6-4</v>
      </c>
      <c r="F990">
        <f t="shared" si="61"/>
        <v>1</v>
      </c>
      <c r="G990" t="s">
        <v>44</v>
      </c>
      <c r="H990">
        <f t="shared" si="62"/>
        <v>1</v>
      </c>
      <c r="I990" s="5">
        <f t="shared" si="63"/>
        <v>1</v>
      </c>
      <c r="J990" s="2" t="s">
        <v>1956</v>
      </c>
      <c r="K990" s="2" t="s">
        <v>1957</v>
      </c>
    </row>
    <row r="991" spans="1:11" ht="28.5" customHeight="1">
      <c r="A991">
        <v>2025</v>
      </c>
      <c r="B991">
        <v>7</v>
      </c>
      <c r="C991">
        <v>0</v>
      </c>
      <c r="D991" t="s">
        <v>82</v>
      </c>
      <c r="E991" t="str">
        <f t="shared" si="60"/>
        <v>2025-Q7-0</v>
      </c>
      <c r="F991">
        <f t="shared" si="61"/>
        <v>1</v>
      </c>
      <c r="G991" t="s">
        <v>35</v>
      </c>
      <c r="H991">
        <f t="shared" si="62"/>
        <v>1</v>
      </c>
      <c r="I991" s="5">
        <f t="shared" si="63"/>
        <v>1</v>
      </c>
      <c r="J991" s="2" t="s">
        <v>1958</v>
      </c>
      <c r="K991" s="2" t="s">
        <v>1959</v>
      </c>
    </row>
    <row r="992" spans="1:11" ht="28.5" customHeight="1">
      <c r="A992">
        <v>2025</v>
      </c>
      <c r="B992">
        <v>7</v>
      </c>
      <c r="C992">
        <v>1</v>
      </c>
      <c r="D992" t="s">
        <v>82</v>
      </c>
      <c r="E992" t="str">
        <f t="shared" si="60"/>
        <v>2025-Q7-1</v>
      </c>
      <c r="F992">
        <f t="shared" si="61"/>
        <v>1</v>
      </c>
      <c r="G992" t="s">
        <v>35</v>
      </c>
      <c r="H992">
        <f t="shared" si="62"/>
        <v>1</v>
      </c>
      <c r="I992" s="5">
        <f t="shared" si="63"/>
        <v>1</v>
      </c>
      <c r="J992" s="2" t="s">
        <v>1960</v>
      </c>
      <c r="K992" s="2" t="s">
        <v>1961</v>
      </c>
    </row>
    <row r="993" spans="1:11" ht="28.5" customHeight="1">
      <c r="A993">
        <v>2025</v>
      </c>
      <c r="B993">
        <v>7</v>
      </c>
      <c r="C993">
        <v>2</v>
      </c>
      <c r="D993" t="s">
        <v>82</v>
      </c>
      <c r="E993" t="str">
        <f t="shared" si="60"/>
        <v>2025-Q7-2</v>
      </c>
      <c r="F993">
        <f t="shared" si="61"/>
        <v>1</v>
      </c>
      <c r="G993" t="s">
        <v>35</v>
      </c>
      <c r="H993">
        <f t="shared" si="62"/>
        <v>1</v>
      </c>
      <c r="I993" s="5">
        <f t="shared" si="63"/>
        <v>1</v>
      </c>
      <c r="J993" s="2" t="s">
        <v>1962</v>
      </c>
      <c r="K993" s="2" t="s">
        <v>1963</v>
      </c>
    </row>
    <row r="994" spans="1:11" ht="28.5" customHeight="1">
      <c r="A994">
        <v>2025</v>
      </c>
      <c r="B994">
        <v>7</v>
      </c>
      <c r="C994">
        <v>3</v>
      </c>
      <c r="D994" t="s">
        <v>82</v>
      </c>
      <c r="E994" t="str">
        <f t="shared" si="60"/>
        <v>2025-Q7-3</v>
      </c>
      <c r="F994">
        <f t="shared" si="61"/>
        <v>1</v>
      </c>
      <c r="G994" t="s">
        <v>26</v>
      </c>
      <c r="H994">
        <f t="shared" si="62"/>
        <v>1</v>
      </c>
      <c r="I994" s="5">
        <f t="shared" si="63"/>
        <v>1</v>
      </c>
      <c r="J994" s="2" t="s">
        <v>1964</v>
      </c>
      <c r="K994" s="2" t="s">
        <v>1965</v>
      </c>
    </row>
    <row r="995" spans="1:11" ht="28.5" customHeight="1">
      <c r="A995">
        <v>2025</v>
      </c>
      <c r="B995">
        <v>7</v>
      </c>
      <c r="C995">
        <v>4</v>
      </c>
      <c r="D995" t="s">
        <v>82</v>
      </c>
      <c r="E995" t="str">
        <f t="shared" si="60"/>
        <v>2025-Q7-4</v>
      </c>
      <c r="F995">
        <f t="shared" si="61"/>
        <v>1</v>
      </c>
      <c r="G995" t="s">
        <v>35</v>
      </c>
      <c r="H995">
        <f t="shared" si="62"/>
        <v>1</v>
      </c>
      <c r="I995" s="5">
        <f t="shared" si="63"/>
        <v>1</v>
      </c>
      <c r="J995" s="2" t="s">
        <v>1966</v>
      </c>
      <c r="K995" s="2" t="s">
        <v>1967</v>
      </c>
    </row>
    <row r="996" spans="1:11" ht="28.5" customHeight="1">
      <c r="A996">
        <v>2025</v>
      </c>
      <c r="B996">
        <v>8</v>
      </c>
      <c r="C996">
        <v>0</v>
      </c>
      <c r="D996" t="s">
        <v>82</v>
      </c>
      <c r="E996" t="str">
        <f t="shared" si="60"/>
        <v>2025-Q8-0</v>
      </c>
      <c r="F996">
        <f t="shared" si="61"/>
        <v>1</v>
      </c>
      <c r="G996" t="s">
        <v>50</v>
      </c>
      <c r="H996">
        <f t="shared" si="62"/>
        <v>1</v>
      </c>
      <c r="I996" s="5">
        <f t="shared" si="63"/>
        <v>1</v>
      </c>
      <c r="J996" s="2" t="s">
        <v>1968</v>
      </c>
      <c r="K996" s="2" t="s">
        <v>1969</v>
      </c>
    </row>
    <row r="997" spans="1:11" ht="28.5" customHeight="1">
      <c r="A997">
        <v>2025</v>
      </c>
      <c r="B997">
        <v>8</v>
      </c>
      <c r="C997">
        <v>1</v>
      </c>
      <c r="D997" t="s">
        <v>82</v>
      </c>
      <c r="E997" t="str">
        <f t="shared" si="60"/>
        <v>2025-Q8-1</v>
      </c>
      <c r="F997">
        <f t="shared" si="61"/>
        <v>1</v>
      </c>
      <c r="G997" t="s">
        <v>50</v>
      </c>
      <c r="H997">
        <f t="shared" si="62"/>
        <v>1</v>
      </c>
      <c r="I997" s="5">
        <f t="shared" si="63"/>
        <v>1</v>
      </c>
      <c r="J997" s="2" t="s">
        <v>1970</v>
      </c>
      <c r="K997" s="2" t="s">
        <v>1971</v>
      </c>
    </row>
    <row r="998" spans="1:11" ht="28.5" customHeight="1">
      <c r="A998">
        <v>2025</v>
      </c>
      <c r="B998">
        <v>8</v>
      </c>
      <c r="C998">
        <v>2</v>
      </c>
      <c r="D998" t="s">
        <v>82</v>
      </c>
      <c r="E998" t="str">
        <f t="shared" si="60"/>
        <v>2025-Q8-2</v>
      </c>
      <c r="F998">
        <f t="shared" si="61"/>
        <v>1</v>
      </c>
      <c r="G998" t="s">
        <v>50</v>
      </c>
      <c r="H998">
        <f t="shared" si="62"/>
        <v>1</v>
      </c>
      <c r="I998" s="5">
        <f t="shared" si="63"/>
        <v>1</v>
      </c>
      <c r="J998" s="2" t="s">
        <v>1972</v>
      </c>
      <c r="K998" s="2" t="s">
        <v>1973</v>
      </c>
    </row>
    <row r="999" spans="1:11" ht="28.5" customHeight="1">
      <c r="A999">
        <v>2025</v>
      </c>
      <c r="B999">
        <v>8</v>
      </c>
      <c r="C999">
        <v>3</v>
      </c>
      <c r="D999" t="s">
        <v>82</v>
      </c>
      <c r="E999" t="str">
        <f t="shared" si="60"/>
        <v>2025-Q8-3</v>
      </c>
      <c r="F999">
        <f t="shared" si="61"/>
        <v>1</v>
      </c>
      <c r="G999" t="s">
        <v>50</v>
      </c>
      <c r="H999">
        <f t="shared" si="62"/>
        <v>1</v>
      </c>
      <c r="I999" s="5">
        <f t="shared" si="63"/>
        <v>1</v>
      </c>
      <c r="J999" s="2" t="s">
        <v>1974</v>
      </c>
      <c r="K999" s="2" t="s">
        <v>1975</v>
      </c>
    </row>
    <row r="1000" spans="1:11" ht="28.5" customHeight="1">
      <c r="A1000">
        <v>2025</v>
      </c>
      <c r="B1000">
        <v>8</v>
      </c>
      <c r="C1000">
        <v>4</v>
      </c>
      <c r="D1000" t="s">
        <v>82</v>
      </c>
      <c r="E1000" t="str">
        <f t="shared" si="60"/>
        <v>2025-Q8-4</v>
      </c>
      <c r="F1000">
        <f t="shared" si="61"/>
        <v>1</v>
      </c>
      <c r="G1000" t="s">
        <v>50</v>
      </c>
      <c r="H1000">
        <f t="shared" si="62"/>
        <v>1</v>
      </c>
      <c r="I1000" s="5">
        <f t="shared" si="63"/>
        <v>1</v>
      </c>
      <c r="J1000" s="2" t="s">
        <v>1976</v>
      </c>
      <c r="K1000" s="2" t="s">
        <v>1977</v>
      </c>
    </row>
    <row r="1001" spans="1:11" ht="28.5" customHeight="1">
      <c r="A1001">
        <v>2025</v>
      </c>
      <c r="B1001">
        <v>9</v>
      </c>
      <c r="C1001">
        <v>0</v>
      </c>
      <c r="D1001" t="s">
        <v>82</v>
      </c>
      <c r="E1001" t="str">
        <f t="shared" si="60"/>
        <v>2025-Q9-0</v>
      </c>
      <c r="F1001">
        <f t="shared" si="61"/>
        <v>1</v>
      </c>
      <c r="G1001" t="s">
        <v>8</v>
      </c>
      <c r="H1001">
        <f t="shared" si="62"/>
        <v>1</v>
      </c>
      <c r="I1001" s="5">
        <f t="shared" si="63"/>
        <v>1</v>
      </c>
      <c r="J1001" s="2" t="s">
        <v>1978</v>
      </c>
      <c r="K1001" s="2" t="s">
        <v>1979</v>
      </c>
    </row>
    <row r="1002" spans="1:11" ht="28.5" customHeight="1">
      <c r="A1002">
        <v>2025</v>
      </c>
      <c r="B1002">
        <v>9</v>
      </c>
      <c r="C1002">
        <v>1</v>
      </c>
      <c r="D1002" t="s">
        <v>82</v>
      </c>
      <c r="E1002" t="str">
        <f t="shared" si="60"/>
        <v>2025-Q9-1</v>
      </c>
      <c r="F1002">
        <f t="shared" si="61"/>
        <v>1</v>
      </c>
      <c r="G1002" t="s">
        <v>8</v>
      </c>
      <c r="H1002">
        <f t="shared" si="62"/>
        <v>1</v>
      </c>
      <c r="I1002" s="5">
        <f t="shared" si="63"/>
        <v>1</v>
      </c>
      <c r="J1002" s="2" t="s">
        <v>1980</v>
      </c>
      <c r="K1002" s="2" t="s">
        <v>1981</v>
      </c>
    </row>
    <row r="1003" spans="1:11" ht="28.5" customHeight="1">
      <c r="A1003">
        <v>2025</v>
      </c>
      <c r="B1003">
        <v>9</v>
      </c>
      <c r="C1003">
        <v>2</v>
      </c>
      <c r="D1003" t="s">
        <v>82</v>
      </c>
      <c r="E1003" t="str">
        <f t="shared" si="60"/>
        <v>2025-Q9-2</v>
      </c>
      <c r="F1003">
        <f t="shared" si="61"/>
        <v>1</v>
      </c>
      <c r="G1003" t="s">
        <v>8</v>
      </c>
      <c r="H1003">
        <f t="shared" si="62"/>
        <v>1</v>
      </c>
      <c r="I1003" s="5">
        <f t="shared" si="63"/>
        <v>1</v>
      </c>
      <c r="J1003" s="2" t="s">
        <v>1982</v>
      </c>
      <c r="K1003" s="2" t="s">
        <v>1983</v>
      </c>
    </row>
    <row r="1004" spans="1:11" ht="28.5" customHeight="1">
      <c r="A1004">
        <v>2025</v>
      </c>
      <c r="B1004">
        <v>9</v>
      </c>
      <c r="C1004">
        <v>3</v>
      </c>
      <c r="D1004" t="s">
        <v>82</v>
      </c>
      <c r="E1004" t="str">
        <f t="shared" si="60"/>
        <v>2025-Q9-3</v>
      </c>
      <c r="F1004">
        <f t="shared" si="61"/>
        <v>1</v>
      </c>
      <c r="G1004" t="s">
        <v>8</v>
      </c>
      <c r="H1004">
        <f t="shared" si="62"/>
        <v>1</v>
      </c>
      <c r="I1004" s="5">
        <f t="shared" si="63"/>
        <v>1</v>
      </c>
      <c r="J1004" s="2" t="s">
        <v>1984</v>
      </c>
      <c r="K1004" s="2" t="s">
        <v>1985</v>
      </c>
    </row>
    <row r="1005" spans="1:11" ht="28.5" customHeight="1">
      <c r="A1005">
        <v>2025</v>
      </c>
      <c r="B1005">
        <v>9</v>
      </c>
      <c r="C1005">
        <v>4</v>
      </c>
      <c r="D1005" t="s">
        <v>82</v>
      </c>
      <c r="E1005" t="str">
        <f t="shared" si="60"/>
        <v>2025-Q9-4</v>
      </c>
      <c r="F1005">
        <f t="shared" si="61"/>
        <v>1</v>
      </c>
      <c r="G1005" t="s">
        <v>8</v>
      </c>
      <c r="H1005">
        <f t="shared" si="62"/>
        <v>1</v>
      </c>
      <c r="I1005" s="5">
        <f t="shared" si="63"/>
        <v>1</v>
      </c>
      <c r="J1005" s="2" t="s">
        <v>1986</v>
      </c>
      <c r="K1005" s="2" t="s">
        <v>1987</v>
      </c>
    </row>
    <row r="1006" spans="1:11" ht="42.75" customHeight="1">
      <c r="A1006">
        <v>2025</v>
      </c>
      <c r="B1006">
        <v>10</v>
      </c>
      <c r="D1006" t="s">
        <v>193</v>
      </c>
      <c r="E1006" t="str">
        <f t="shared" si="60"/>
        <v>2025-Q10-ABERTA</v>
      </c>
      <c r="F1006">
        <f t="shared" si="61"/>
        <v>5</v>
      </c>
      <c r="G1006" t="s">
        <v>35</v>
      </c>
      <c r="H1006">
        <f t="shared" si="62"/>
        <v>1</v>
      </c>
      <c r="I1006" s="5">
        <f t="shared" si="63"/>
        <v>5</v>
      </c>
      <c r="J1006" s="2" t="s">
        <v>1988</v>
      </c>
      <c r="K1006" s="2" t="s">
        <v>1989</v>
      </c>
    </row>
    <row r="1007" spans="1:11" ht="28.5" customHeight="1">
      <c r="A1007">
        <v>2026</v>
      </c>
      <c r="B1007">
        <v>1</v>
      </c>
      <c r="C1007">
        <v>0</v>
      </c>
      <c r="D1007" t="s">
        <v>82</v>
      </c>
      <c r="E1007" t="str">
        <f t="shared" si="60"/>
        <v>2026-Q1-0</v>
      </c>
      <c r="F1007">
        <f t="shared" si="61"/>
        <v>1</v>
      </c>
      <c r="G1007" t="s">
        <v>29</v>
      </c>
      <c r="H1007">
        <f t="shared" si="62"/>
        <v>1</v>
      </c>
      <c r="I1007" s="5">
        <f t="shared" si="63"/>
        <v>1</v>
      </c>
      <c r="J1007" s="2" t="s">
        <v>1990</v>
      </c>
      <c r="K1007" s="2" t="s">
        <v>1991</v>
      </c>
    </row>
    <row r="1008" spans="1:11" ht="28.5" customHeight="1">
      <c r="A1008">
        <v>2026</v>
      </c>
      <c r="B1008">
        <v>1</v>
      </c>
      <c r="C1008">
        <v>1</v>
      </c>
      <c r="D1008" t="s">
        <v>82</v>
      </c>
      <c r="E1008" t="str">
        <f t="shared" si="60"/>
        <v>2026-Q1-1</v>
      </c>
      <c r="F1008">
        <f t="shared" si="61"/>
        <v>1</v>
      </c>
      <c r="G1008" t="s">
        <v>8</v>
      </c>
      <c r="H1008">
        <f t="shared" si="62"/>
        <v>1</v>
      </c>
      <c r="I1008" s="5">
        <f t="shared" si="63"/>
        <v>1</v>
      </c>
      <c r="J1008" s="2" t="s">
        <v>1992</v>
      </c>
      <c r="K1008" s="2" t="s">
        <v>1993</v>
      </c>
    </row>
    <row r="1009" spans="1:11" ht="28.5" customHeight="1">
      <c r="A1009">
        <v>2026</v>
      </c>
      <c r="B1009">
        <v>1</v>
      </c>
      <c r="C1009">
        <v>2</v>
      </c>
      <c r="D1009" t="s">
        <v>82</v>
      </c>
      <c r="E1009" t="str">
        <f t="shared" si="60"/>
        <v>2026-Q1-2</v>
      </c>
      <c r="F1009">
        <f t="shared" si="61"/>
        <v>1</v>
      </c>
      <c r="G1009" t="s">
        <v>8</v>
      </c>
      <c r="H1009">
        <f t="shared" si="62"/>
        <v>1</v>
      </c>
      <c r="I1009" s="5">
        <f t="shared" si="63"/>
        <v>1</v>
      </c>
      <c r="J1009" s="2" t="s">
        <v>1994</v>
      </c>
      <c r="K1009" s="2" t="s">
        <v>1995</v>
      </c>
    </row>
    <row r="1010" spans="1:11" ht="28.5" customHeight="1">
      <c r="A1010">
        <v>2026</v>
      </c>
      <c r="B1010">
        <v>1</v>
      </c>
      <c r="C1010">
        <v>3</v>
      </c>
      <c r="D1010" t="s">
        <v>82</v>
      </c>
      <c r="E1010" t="str">
        <f t="shared" si="60"/>
        <v>2026-Q1-3</v>
      </c>
      <c r="F1010">
        <f t="shared" si="61"/>
        <v>1</v>
      </c>
      <c r="G1010" t="s">
        <v>8</v>
      </c>
      <c r="H1010">
        <f t="shared" si="62"/>
        <v>1</v>
      </c>
      <c r="I1010" s="5">
        <f t="shared" si="63"/>
        <v>1</v>
      </c>
      <c r="J1010" s="2" t="s">
        <v>1996</v>
      </c>
      <c r="K1010" s="2" t="s">
        <v>1997</v>
      </c>
    </row>
    <row r="1011" spans="1:11">
      <c r="A1011">
        <v>2026</v>
      </c>
      <c r="B1011">
        <v>1</v>
      </c>
      <c r="C1011">
        <v>4</v>
      </c>
      <c r="D1011" t="s">
        <v>82</v>
      </c>
      <c r="E1011" t="str">
        <f t="shared" si="60"/>
        <v>2026-Q1-4</v>
      </c>
      <c r="F1011">
        <f t="shared" si="61"/>
        <v>1</v>
      </c>
      <c r="G1011" t="s">
        <v>8</v>
      </c>
      <c r="H1011">
        <f t="shared" si="62"/>
        <v>1</v>
      </c>
      <c r="I1011" s="5">
        <f t="shared" si="63"/>
        <v>1</v>
      </c>
      <c r="J1011" s="2" t="s">
        <v>1998</v>
      </c>
      <c r="K1011" s="2" t="s">
        <v>1999</v>
      </c>
    </row>
    <row r="1012" spans="1:11" ht="42.75" customHeight="1">
      <c r="A1012">
        <v>2026</v>
      </c>
      <c r="B1012">
        <v>2</v>
      </c>
      <c r="C1012">
        <v>0</v>
      </c>
      <c r="D1012" t="s">
        <v>82</v>
      </c>
      <c r="E1012" t="str">
        <f t="shared" si="60"/>
        <v>2026-Q2-0</v>
      </c>
      <c r="F1012">
        <f t="shared" si="61"/>
        <v>1</v>
      </c>
      <c r="G1012" t="s">
        <v>14</v>
      </c>
      <c r="H1012">
        <f t="shared" si="62"/>
        <v>2</v>
      </c>
      <c r="I1012" s="5">
        <f t="shared" si="63"/>
        <v>0.5</v>
      </c>
      <c r="J1012" s="2" t="s">
        <v>2000</v>
      </c>
      <c r="K1012" s="2" t="s">
        <v>2001</v>
      </c>
    </row>
    <row r="1013" spans="1:11" ht="42.75" customHeight="1">
      <c r="A1013">
        <v>2026</v>
      </c>
      <c r="B1013">
        <v>2</v>
      </c>
      <c r="C1013">
        <v>0</v>
      </c>
      <c r="D1013" t="s">
        <v>82</v>
      </c>
      <c r="E1013" t="str">
        <f t="shared" si="60"/>
        <v>2026-Q2-0</v>
      </c>
      <c r="F1013">
        <f t="shared" si="61"/>
        <v>1</v>
      </c>
      <c r="G1013" t="s">
        <v>17</v>
      </c>
      <c r="H1013">
        <f t="shared" si="62"/>
        <v>2</v>
      </c>
      <c r="I1013" s="5">
        <f t="shared" si="63"/>
        <v>0.5</v>
      </c>
      <c r="J1013" s="2" t="s">
        <v>2000</v>
      </c>
      <c r="K1013" s="2" t="s">
        <v>2001</v>
      </c>
    </row>
    <row r="1014" spans="1:11" ht="28.5" customHeight="1">
      <c r="A1014">
        <v>2026</v>
      </c>
      <c r="B1014">
        <v>2</v>
      </c>
      <c r="C1014">
        <v>1</v>
      </c>
      <c r="D1014" t="s">
        <v>82</v>
      </c>
      <c r="E1014" t="str">
        <f t="shared" si="60"/>
        <v>2026-Q2-1</v>
      </c>
      <c r="F1014">
        <f t="shared" si="61"/>
        <v>1</v>
      </c>
      <c r="G1014" t="s">
        <v>14</v>
      </c>
      <c r="H1014">
        <f t="shared" si="62"/>
        <v>1</v>
      </c>
      <c r="I1014" s="5">
        <f t="shared" si="63"/>
        <v>1</v>
      </c>
      <c r="J1014" s="2" t="s">
        <v>2002</v>
      </c>
      <c r="K1014" s="2" t="s">
        <v>2003</v>
      </c>
    </row>
    <row r="1015" spans="1:11" ht="28.5" customHeight="1">
      <c r="A1015">
        <v>2026</v>
      </c>
      <c r="B1015">
        <v>2</v>
      </c>
      <c r="C1015">
        <v>2</v>
      </c>
      <c r="D1015" t="s">
        <v>82</v>
      </c>
      <c r="E1015" t="str">
        <f t="shared" si="60"/>
        <v>2026-Q2-2</v>
      </c>
      <c r="F1015">
        <f t="shared" si="61"/>
        <v>1</v>
      </c>
      <c r="G1015" t="s">
        <v>14</v>
      </c>
      <c r="H1015">
        <f t="shared" si="62"/>
        <v>1</v>
      </c>
      <c r="I1015" s="5">
        <f t="shared" si="63"/>
        <v>1</v>
      </c>
      <c r="J1015" s="2" t="s">
        <v>2004</v>
      </c>
      <c r="K1015" s="2" t="s">
        <v>2005</v>
      </c>
    </row>
    <row r="1016" spans="1:11" ht="28.5" customHeight="1">
      <c r="A1016">
        <v>2026</v>
      </c>
      <c r="B1016">
        <v>2</v>
      </c>
      <c r="C1016">
        <v>3</v>
      </c>
      <c r="D1016" t="s">
        <v>82</v>
      </c>
      <c r="E1016" t="str">
        <f t="shared" si="60"/>
        <v>2026-Q2-3</v>
      </c>
      <c r="F1016">
        <f t="shared" si="61"/>
        <v>1</v>
      </c>
      <c r="G1016" t="s">
        <v>17</v>
      </c>
      <c r="H1016">
        <f t="shared" si="62"/>
        <v>1</v>
      </c>
      <c r="I1016" s="5">
        <f t="shared" si="63"/>
        <v>1</v>
      </c>
      <c r="J1016" s="2" t="s">
        <v>2006</v>
      </c>
      <c r="K1016" s="2" t="s">
        <v>2007</v>
      </c>
    </row>
    <row r="1017" spans="1:11" ht="28.5" customHeight="1">
      <c r="A1017">
        <v>2026</v>
      </c>
      <c r="B1017">
        <v>2</v>
      </c>
      <c r="C1017">
        <v>4</v>
      </c>
      <c r="D1017" t="s">
        <v>82</v>
      </c>
      <c r="E1017" t="str">
        <f t="shared" si="60"/>
        <v>2026-Q2-4</v>
      </c>
      <c r="F1017">
        <f t="shared" si="61"/>
        <v>1</v>
      </c>
      <c r="G1017" t="s">
        <v>17</v>
      </c>
      <c r="H1017">
        <f t="shared" si="62"/>
        <v>1</v>
      </c>
      <c r="I1017" s="5">
        <f t="shared" si="63"/>
        <v>1</v>
      </c>
      <c r="J1017" s="2" t="s">
        <v>2008</v>
      </c>
      <c r="K1017" s="2" t="s">
        <v>2009</v>
      </c>
    </row>
    <row r="1018" spans="1:11" ht="42.75" customHeight="1">
      <c r="A1018">
        <v>2026</v>
      </c>
      <c r="B1018">
        <v>3</v>
      </c>
      <c r="D1018" t="s">
        <v>193</v>
      </c>
      <c r="E1018" t="str">
        <f t="shared" si="60"/>
        <v>2026-Q3-ABERTA</v>
      </c>
      <c r="F1018">
        <f t="shared" si="61"/>
        <v>5</v>
      </c>
      <c r="G1018" t="s">
        <v>35</v>
      </c>
      <c r="H1018">
        <f t="shared" si="62"/>
        <v>1</v>
      </c>
      <c r="I1018" s="5">
        <f t="shared" si="63"/>
        <v>5</v>
      </c>
      <c r="J1018" s="2" t="s">
        <v>2010</v>
      </c>
      <c r="K1018" s="2" t="s">
        <v>2011</v>
      </c>
    </row>
    <row r="1019" spans="1:11">
      <c r="A1019">
        <v>2026</v>
      </c>
      <c r="B1019">
        <v>4</v>
      </c>
      <c r="C1019">
        <v>0</v>
      </c>
      <c r="D1019" t="s">
        <v>82</v>
      </c>
      <c r="E1019" t="str">
        <f t="shared" si="60"/>
        <v>2026-Q4-0</v>
      </c>
      <c r="F1019">
        <f t="shared" si="61"/>
        <v>1</v>
      </c>
      <c r="G1019" t="s">
        <v>20</v>
      </c>
      <c r="H1019">
        <f t="shared" si="62"/>
        <v>1</v>
      </c>
      <c r="I1019" s="5">
        <f t="shared" si="63"/>
        <v>1</v>
      </c>
      <c r="J1019" s="2" t="s">
        <v>2012</v>
      </c>
      <c r="K1019" s="2" t="s">
        <v>2013</v>
      </c>
    </row>
    <row r="1020" spans="1:11" ht="28.5" customHeight="1">
      <c r="A1020">
        <v>2026</v>
      </c>
      <c r="B1020">
        <v>4</v>
      </c>
      <c r="C1020">
        <v>1</v>
      </c>
      <c r="D1020" t="s">
        <v>82</v>
      </c>
      <c r="E1020" t="str">
        <f t="shared" si="60"/>
        <v>2026-Q4-1</v>
      </c>
      <c r="F1020">
        <f t="shared" si="61"/>
        <v>1</v>
      </c>
      <c r="G1020" t="s">
        <v>20</v>
      </c>
      <c r="H1020">
        <f t="shared" si="62"/>
        <v>2</v>
      </c>
      <c r="I1020" s="5">
        <f t="shared" si="63"/>
        <v>0.5</v>
      </c>
      <c r="J1020" s="2" t="s">
        <v>2014</v>
      </c>
      <c r="K1020" s="2" t="s">
        <v>2015</v>
      </c>
    </row>
    <row r="1021" spans="1:11" ht="28.5" customHeight="1">
      <c r="A1021">
        <v>2026</v>
      </c>
      <c r="B1021">
        <v>4</v>
      </c>
      <c r="C1021">
        <v>1</v>
      </c>
      <c r="D1021" t="s">
        <v>82</v>
      </c>
      <c r="E1021" t="str">
        <f t="shared" si="60"/>
        <v>2026-Q4-1</v>
      </c>
      <c r="F1021">
        <f t="shared" si="61"/>
        <v>1</v>
      </c>
      <c r="G1021" t="s">
        <v>32</v>
      </c>
      <c r="H1021">
        <f t="shared" si="62"/>
        <v>2</v>
      </c>
      <c r="I1021" s="5">
        <f t="shared" si="63"/>
        <v>0.5</v>
      </c>
      <c r="J1021" s="2" t="s">
        <v>2014</v>
      </c>
      <c r="K1021" s="2" t="s">
        <v>2015</v>
      </c>
    </row>
    <row r="1022" spans="1:11" ht="28.5" customHeight="1">
      <c r="A1022">
        <v>2026</v>
      </c>
      <c r="B1022">
        <v>4</v>
      </c>
      <c r="C1022">
        <v>2</v>
      </c>
      <c r="D1022" t="s">
        <v>82</v>
      </c>
      <c r="E1022" t="str">
        <f t="shared" si="60"/>
        <v>2026-Q4-2</v>
      </c>
      <c r="F1022">
        <f t="shared" si="61"/>
        <v>1</v>
      </c>
      <c r="G1022" t="s">
        <v>20</v>
      </c>
      <c r="H1022">
        <f t="shared" si="62"/>
        <v>2</v>
      </c>
      <c r="I1022" s="5">
        <f t="shared" si="63"/>
        <v>0.5</v>
      </c>
      <c r="J1022" s="2" t="s">
        <v>2016</v>
      </c>
      <c r="K1022" s="2" t="s">
        <v>2017</v>
      </c>
    </row>
    <row r="1023" spans="1:11" ht="28.5" customHeight="1">
      <c r="A1023">
        <v>2026</v>
      </c>
      <c r="B1023">
        <v>4</v>
      </c>
      <c r="C1023">
        <v>2</v>
      </c>
      <c r="D1023" t="s">
        <v>82</v>
      </c>
      <c r="E1023" t="str">
        <f t="shared" si="60"/>
        <v>2026-Q4-2</v>
      </c>
      <c r="F1023">
        <f t="shared" si="61"/>
        <v>1</v>
      </c>
      <c r="G1023" t="s">
        <v>32</v>
      </c>
      <c r="H1023">
        <f t="shared" si="62"/>
        <v>2</v>
      </c>
      <c r="I1023" s="5">
        <f t="shared" si="63"/>
        <v>0.5</v>
      </c>
      <c r="J1023" s="2" t="s">
        <v>2016</v>
      </c>
      <c r="K1023" s="2" t="s">
        <v>2017</v>
      </c>
    </row>
    <row r="1024" spans="1:11" ht="28.5" customHeight="1">
      <c r="A1024">
        <v>2026</v>
      </c>
      <c r="B1024">
        <v>4</v>
      </c>
      <c r="C1024">
        <v>3</v>
      </c>
      <c r="D1024" t="s">
        <v>82</v>
      </c>
      <c r="E1024" t="str">
        <f t="shared" si="60"/>
        <v>2026-Q4-3</v>
      </c>
      <c r="F1024">
        <f t="shared" si="61"/>
        <v>1</v>
      </c>
      <c r="G1024" t="s">
        <v>20</v>
      </c>
      <c r="H1024">
        <f t="shared" si="62"/>
        <v>2</v>
      </c>
      <c r="I1024" s="5">
        <f t="shared" si="63"/>
        <v>0.5</v>
      </c>
      <c r="J1024" s="2" t="s">
        <v>2018</v>
      </c>
      <c r="K1024" s="2" t="s">
        <v>2019</v>
      </c>
    </row>
    <row r="1025" spans="1:11" ht="28.5" customHeight="1">
      <c r="A1025">
        <v>2026</v>
      </c>
      <c r="B1025">
        <v>4</v>
      </c>
      <c r="C1025">
        <v>3</v>
      </c>
      <c r="D1025" t="s">
        <v>82</v>
      </c>
      <c r="E1025" t="str">
        <f t="shared" si="60"/>
        <v>2026-Q4-3</v>
      </c>
      <c r="F1025">
        <f t="shared" si="61"/>
        <v>1</v>
      </c>
      <c r="G1025" t="s">
        <v>32</v>
      </c>
      <c r="H1025">
        <f t="shared" si="62"/>
        <v>2</v>
      </c>
      <c r="I1025" s="5">
        <f t="shared" si="63"/>
        <v>0.5</v>
      </c>
      <c r="J1025" s="2" t="s">
        <v>2018</v>
      </c>
      <c r="K1025" s="2" t="s">
        <v>2019</v>
      </c>
    </row>
    <row r="1026" spans="1:11" ht="28.5" customHeight="1">
      <c r="A1026">
        <v>2026</v>
      </c>
      <c r="B1026">
        <v>4</v>
      </c>
      <c r="C1026">
        <v>4</v>
      </c>
      <c r="D1026" t="s">
        <v>82</v>
      </c>
      <c r="E1026" t="str">
        <f t="shared" si="60"/>
        <v>2026-Q4-4</v>
      </c>
      <c r="F1026">
        <f t="shared" si="61"/>
        <v>1</v>
      </c>
      <c r="G1026" t="s">
        <v>29</v>
      </c>
      <c r="H1026">
        <f t="shared" si="62"/>
        <v>1</v>
      </c>
      <c r="I1026" s="5">
        <f t="shared" si="63"/>
        <v>1</v>
      </c>
      <c r="J1026" s="2" t="s">
        <v>2020</v>
      </c>
      <c r="K1026" s="2" t="s">
        <v>2021</v>
      </c>
    </row>
    <row r="1027" spans="1:11" ht="28.5" customHeight="1">
      <c r="A1027">
        <v>2026</v>
      </c>
      <c r="B1027">
        <v>5</v>
      </c>
      <c r="C1027">
        <v>0</v>
      </c>
      <c r="D1027" t="s">
        <v>82</v>
      </c>
      <c r="E1027" t="str">
        <f t="shared" si="60"/>
        <v>2026-Q5-0</v>
      </c>
      <c r="F1027">
        <f t="shared" si="61"/>
        <v>1</v>
      </c>
      <c r="G1027" t="s">
        <v>41</v>
      </c>
      <c r="H1027">
        <f t="shared" si="62"/>
        <v>1</v>
      </c>
      <c r="I1027" s="5">
        <f t="shared" si="63"/>
        <v>1</v>
      </c>
      <c r="J1027" s="2" t="s">
        <v>2022</v>
      </c>
      <c r="K1027" s="2" t="s">
        <v>2023</v>
      </c>
    </row>
    <row r="1028" spans="1:11" ht="28.5" customHeight="1">
      <c r="A1028">
        <v>2026</v>
      </c>
      <c r="B1028">
        <v>5</v>
      </c>
      <c r="C1028">
        <v>1</v>
      </c>
      <c r="D1028" t="s">
        <v>82</v>
      </c>
      <c r="E1028" t="str">
        <f t="shared" si="60"/>
        <v>2026-Q5-1</v>
      </c>
      <c r="F1028">
        <f t="shared" si="61"/>
        <v>1</v>
      </c>
      <c r="G1028" t="s">
        <v>41</v>
      </c>
      <c r="H1028">
        <f t="shared" si="62"/>
        <v>1</v>
      </c>
      <c r="I1028" s="5">
        <f t="shared" si="63"/>
        <v>1</v>
      </c>
      <c r="J1028" s="2" t="s">
        <v>2024</v>
      </c>
      <c r="K1028" s="2" t="s">
        <v>2025</v>
      </c>
    </row>
    <row r="1029" spans="1:11" ht="28.5" customHeight="1">
      <c r="A1029">
        <v>2026</v>
      </c>
      <c r="B1029">
        <v>5</v>
      </c>
      <c r="C1029">
        <v>2</v>
      </c>
      <c r="D1029" t="s">
        <v>82</v>
      </c>
      <c r="E1029" t="str">
        <f t="shared" ref="E1029:E1092" si="64">IF(A1029="","",TEXT(A1029,"0")&amp;"-Q"&amp;TEXT(B1029,"0")&amp;"-"&amp;IF(C1029="","ABERTA",C1029))</f>
        <v>2026-Q5-2</v>
      </c>
      <c r="F1029">
        <f t="shared" ref="F1029:F1092" si="65">IF(D1029="V/F",1,IF(D1029="Aberta/numérica",5,""))</f>
        <v>1</v>
      </c>
      <c r="G1029" t="s">
        <v>41</v>
      </c>
      <c r="H1029">
        <f t="shared" ref="H1029:H1092" si="66">IF(A1029="","",IF(C1029="",COUNTIFS($A$5:$A$1504,A1029,$B$5:$B$1504,B1029,$C$5:$C$1504,"",$D$5:$D$1504,D1029),COUNTIFS($A$5:$A$1504,A1029,$B$5:$B$1504,B1029,$C$5:$C$1504,C1029,$D$5:$D$1504,D1029)))</f>
        <v>1</v>
      </c>
      <c r="I1029" s="5">
        <f t="shared" ref="I1029:I1092" si="67">IF(OR(F1029="",H1029="",G1029=""),"",F1029/H1029)</f>
        <v>1</v>
      </c>
      <c r="J1029" s="2" t="s">
        <v>2026</v>
      </c>
      <c r="K1029" s="2" t="s">
        <v>2027</v>
      </c>
    </row>
    <row r="1030" spans="1:11" ht="28.5" customHeight="1">
      <c r="A1030">
        <v>2026</v>
      </c>
      <c r="B1030">
        <v>5</v>
      </c>
      <c r="C1030">
        <v>3</v>
      </c>
      <c r="D1030" t="s">
        <v>82</v>
      </c>
      <c r="E1030" t="str">
        <f t="shared" si="64"/>
        <v>2026-Q5-3</v>
      </c>
      <c r="F1030">
        <f t="shared" si="65"/>
        <v>1</v>
      </c>
      <c r="G1030" t="s">
        <v>41</v>
      </c>
      <c r="H1030">
        <f t="shared" si="66"/>
        <v>1</v>
      </c>
      <c r="I1030" s="5">
        <f t="shared" si="67"/>
        <v>1</v>
      </c>
      <c r="J1030" s="2" t="s">
        <v>2028</v>
      </c>
      <c r="K1030" s="2" t="s">
        <v>2029</v>
      </c>
    </row>
    <row r="1031" spans="1:11">
      <c r="A1031">
        <v>2026</v>
      </c>
      <c r="B1031">
        <v>5</v>
      </c>
      <c r="C1031">
        <v>4</v>
      </c>
      <c r="D1031" t="s">
        <v>82</v>
      </c>
      <c r="E1031" t="str">
        <f t="shared" si="64"/>
        <v>2026-Q5-4</v>
      </c>
      <c r="F1031">
        <f t="shared" si="65"/>
        <v>1</v>
      </c>
      <c r="G1031" t="s">
        <v>41</v>
      </c>
      <c r="H1031">
        <f t="shared" si="66"/>
        <v>1</v>
      </c>
      <c r="I1031" s="5">
        <f t="shared" si="67"/>
        <v>1</v>
      </c>
      <c r="J1031" s="2" t="s">
        <v>2030</v>
      </c>
      <c r="K1031" s="2" t="s">
        <v>2031</v>
      </c>
    </row>
    <row r="1032" spans="1:11">
      <c r="A1032">
        <v>2026</v>
      </c>
      <c r="B1032">
        <v>6</v>
      </c>
      <c r="C1032">
        <v>0</v>
      </c>
      <c r="D1032" t="s">
        <v>82</v>
      </c>
      <c r="E1032" t="str">
        <f t="shared" si="64"/>
        <v>2026-Q6-0</v>
      </c>
      <c r="F1032">
        <f t="shared" si="65"/>
        <v>1</v>
      </c>
      <c r="G1032" t="s">
        <v>47</v>
      </c>
      <c r="H1032">
        <f t="shared" si="66"/>
        <v>1</v>
      </c>
      <c r="I1032" s="5">
        <f t="shared" si="67"/>
        <v>1</v>
      </c>
      <c r="J1032" s="2" t="s">
        <v>2032</v>
      </c>
      <c r="K1032" s="2" t="s">
        <v>2033</v>
      </c>
    </row>
    <row r="1033" spans="1:11" ht="28.5" customHeight="1">
      <c r="A1033">
        <v>2026</v>
      </c>
      <c r="B1033">
        <v>6</v>
      </c>
      <c r="C1033">
        <v>1</v>
      </c>
      <c r="D1033" t="s">
        <v>82</v>
      </c>
      <c r="E1033" t="str">
        <f t="shared" si="64"/>
        <v>2026-Q6-1</v>
      </c>
      <c r="F1033">
        <f t="shared" si="65"/>
        <v>1</v>
      </c>
      <c r="G1033" t="s">
        <v>47</v>
      </c>
      <c r="H1033">
        <f t="shared" si="66"/>
        <v>1</v>
      </c>
      <c r="I1033" s="5">
        <f t="shared" si="67"/>
        <v>1</v>
      </c>
      <c r="J1033" s="2" t="s">
        <v>2034</v>
      </c>
      <c r="K1033" s="2" t="s">
        <v>2035</v>
      </c>
    </row>
    <row r="1034" spans="1:11" ht="28.5" customHeight="1">
      <c r="A1034">
        <v>2026</v>
      </c>
      <c r="B1034">
        <v>6</v>
      </c>
      <c r="C1034">
        <v>2</v>
      </c>
      <c r="D1034" t="s">
        <v>82</v>
      </c>
      <c r="E1034" t="str">
        <f t="shared" si="64"/>
        <v>2026-Q6-2</v>
      </c>
      <c r="F1034">
        <f t="shared" si="65"/>
        <v>1</v>
      </c>
      <c r="G1034" t="s">
        <v>38</v>
      </c>
      <c r="H1034">
        <f t="shared" si="66"/>
        <v>1</v>
      </c>
      <c r="I1034" s="5">
        <f t="shared" si="67"/>
        <v>1</v>
      </c>
      <c r="J1034" s="2" t="s">
        <v>2036</v>
      </c>
      <c r="K1034" s="2" t="s">
        <v>2037</v>
      </c>
    </row>
    <row r="1035" spans="1:11" ht="28.5" customHeight="1">
      <c r="A1035">
        <v>2026</v>
      </c>
      <c r="B1035">
        <v>6</v>
      </c>
      <c r="C1035">
        <v>3</v>
      </c>
      <c r="D1035" t="s">
        <v>82</v>
      </c>
      <c r="E1035" t="str">
        <f t="shared" si="64"/>
        <v>2026-Q6-3</v>
      </c>
      <c r="F1035">
        <f t="shared" si="65"/>
        <v>1</v>
      </c>
      <c r="G1035" t="s">
        <v>35</v>
      </c>
      <c r="H1035">
        <f t="shared" si="66"/>
        <v>1</v>
      </c>
      <c r="I1035" s="5">
        <f t="shared" si="67"/>
        <v>1</v>
      </c>
      <c r="J1035" s="2" t="s">
        <v>2038</v>
      </c>
      <c r="K1035" s="2" t="s">
        <v>2039</v>
      </c>
    </row>
    <row r="1036" spans="1:11" ht="28.5" customHeight="1">
      <c r="A1036">
        <v>2026</v>
      </c>
      <c r="B1036">
        <v>6</v>
      </c>
      <c r="C1036">
        <v>4</v>
      </c>
      <c r="D1036" t="s">
        <v>82</v>
      </c>
      <c r="E1036" t="str">
        <f t="shared" si="64"/>
        <v>2026-Q6-4</v>
      </c>
      <c r="F1036">
        <f t="shared" si="65"/>
        <v>1</v>
      </c>
      <c r="G1036" t="s">
        <v>35</v>
      </c>
      <c r="H1036">
        <f t="shared" si="66"/>
        <v>1</v>
      </c>
      <c r="I1036" s="5">
        <f t="shared" si="67"/>
        <v>1</v>
      </c>
      <c r="J1036" s="2" t="s">
        <v>2040</v>
      </c>
      <c r="K1036" s="2" t="s">
        <v>2041</v>
      </c>
    </row>
    <row r="1037" spans="1:11" ht="42.75" customHeight="1">
      <c r="A1037">
        <v>2026</v>
      </c>
      <c r="B1037">
        <v>7</v>
      </c>
      <c r="D1037" t="s">
        <v>193</v>
      </c>
      <c r="E1037" t="str">
        <f t="shared" si="64"/>
        <v>2026-Q7-ABERTA</v>
      </c>
      <c r="F1037">
        <f t="shared" si="65"/>
        <v>5</v>
      </c>
      <c r="G1037" t="s">
        <v>35</v>
      </c>
      <c r="H1037">
        <f t="shared" si="66"/>
        <v>1</v>
      </c>
      <c r="I1037" s="5">
        <f t="shared" si="67"/>
        <v>5</v>
      </c>
      <c r="J1037" s="2" t="s">
        <v>2042</v>
      </c>
      <c r="K1037" s="2" t="s">
        <v>2043</v>
      </c>
    </row>
    <row r="1038" spans="1:11" ht="28.5" customHeight="1">
      <c r="A1038">
        <v>2026</v>
      </c>
      <c r="B1038">
        <v>8</v>
      </c>
      <c r="C1038">
        <v>0</v>
      </c>
      <c r="D1038" t="s">
        <v>82</v>
      </c>
      <c r="E1038" t="str">
        <f t="shared" si="64"/>
        <v>2026-Q8-0</v>
      </c>
      <c r="F1038">
        <f t="shared" si="65"/>
        <v>1</v>
      </c>
      <c r="G1038" t="s">
        <v>50</v>
      </c>
      <c r="H1038">
        <f t="shared" si="66"/>
        <v>1</v>
      </c>
      <c r="I1038" s="5">
        <f t="shared" si="67"/>
        <v>1</v>
      </c>
      <c r="J1038" s="2" t="s">
        <v>2044</v>
      </c>
      <c r="K1038" s="2" t="s">
        <v>2045</v>
      </c>
    </row>
    <row r="1039" spans="1:11" ht="28.5" customHeight="1">
      <c r="A1039">
        <v>2026</v>
      </c>
      <c r="B1039">
        <v>8</v>
      </c>
      <c r="C1039">
        <v>1</v>
      </c>
      <c r="D1039" t="s">
        <v>82</v>
      </c>
      <c r="E1039" t="str">
        <f t="shared" si="64"/>
        <v>2026-Q8-1</v>
      </c>
      <c r="F1039">
        <f t="shared" si="65"/>
        <v>1</v>
      </c>
      <c r="G1039" t="s">
        <v>44</v>
      </c>
      <c r="H1039">
        <f t="shared" si="66"/>
        <v>1</v>
      </c>
      <c r="I1039" s="5">
        <f t="shared" si="67"/>
        <v>1</v>
      </c>
      <c r="J1039" s="2" t="s">
        <v>2046</v>
      </c>
      <c r="K1039" s="2" t="s">
        <v>2047</v>
      </c>
    </row>
    <row r="1040" spans="1:11" ht="28.5" customHeight="1">
      <c r="A1040">
        <v>2026</v>
      </c>
      <c r="B1040">
        <v>8</v>
      </c>
      <c r="C1040">
        <v>2</v>
      </c>
      <c r="D1040" t="s">
        <v>82</v>
      </c>
      <c r="E1040" t="str">
        <f t="shared" si="64"/>
        <v>2026-Q8-2</v>
      </c>
      <c r="F1040">
        <f t="shared" si="65"/>
        <v>1</v>
      </c>
      <c r="G1040" t="s">
        <v>44</v>
      </c>
      <c r="H1040">
        <f t="shared" si="66"/>
        <v>1</v>
      </c>
      <c r="I1040" s="5">
        <f t="shared" si="67"/>
        <v>1</v>
      </c>
      <c r="J1040" s="2" t="s">
        <v>2048</v>
      </c>
      <c r="K1040" s="2" t="s">
        <v>2049</v>
      </c>
    </row>
    <row r="1041" spans="1:11" ht="28.5" customHeight="1">
      <c r="A1041">
        <v>2026</v>
      </c>
      <c r="B1041">
        <v>8</v>
      </c>
      <c r="C1041">
        <v>3</v>
      </c>
      <c r="D1041" t="s">
        <v>82</v>
      </c>
      <c r="E1041" t="str">
        <f t="shared" si="64"/>
        <v>2026-Q8-3</v>
      </c>
      <c r="F1041">
        <f t="shared" si="65"/>
        <v>1</v>
      </c>
      <c r="G1041" t="s">
        <v>50</v>
      </c>
      <c r="H1041">
        <f t="shared" si="66"/>
        <v>1</v>
      </c>
      <c r="I1041" s="5">
        <f t="shared" si="67"/>
        <v>1</v>
      </c>
      <c r="J1041" s="2" t="s">
        <v>2050</v>
      </c>
      <c r="K1041" s="2" t="s">
        <v>2051</v>
      </c>
    </row>
    <row r="1042" spans="1:11" ht="28.5" customHeight="1">
      <c r="A1042">
        <v>2026</v>
      </c>
      <c r="B1042">
        <v>8</v>
      </c>
      <c r="C1042">
        <v>4</v>
      </c>
      <c r="D1042" t="s">
        <v>82</v>
      </c>
      <c r="E1042" t="str">
        <f t="shared" si="64"/>
        <v>2026-Q8-4</v>
      </c>
      <c r="F1042">
        <f t="shared" si="65"/>
        <v>1</v>
      </c>
      <c r="G1042" t="s">
        <v>50</v>
      </c>
      <c r="H1042">
        <f t="shared" si="66"/>
        <v>1</v>
      </c>
      <c r="I1042" s="5">
        <f t="shared" si="67"/>
        <v>1</v>
      </c>
      <c r="J1042" s="2" t="s">
        <v>2052</v>
      </c>
      <c r="K1042" s="2" t="s">
        <v>2053</v>
      </c>
    </row>
    <row r="1043" spans="1:11" ht="28.5" customHeight="1">
      <c r="A1043">
        <v>2026</v>
      </c>
      <c r="B1043">
        <v>9</v>
      </c>
      <c r="C1043">
        <v>0</v>
      </c>
      <c r="D1043" t="s">
        <v>82</v>
      </c>
      <c r="E1043" t="str">
        <f t="shared" si="64"/>
        <v>2026-Q9-0</v>
      </c>
      <c r="F1043">
        <f t="shared" si="65"/>
        <v>1</v>
      </c>
      <c r="G1043" t="s">
        <v>11</v>
      </c>
      <c r="H1043">
        <f t="shared" si="66"/>
        <v>1</v>
      </c>
      <c r="I1043" s="5">
        <f t="shared" si="67"/>
        <v>1</v>
      </c>
      <c r="J1043" s="2" t="s">
        <v>2054</v>
      </c>
      <c r="K1043" s="2" t="s">
        <v>2055</v>
      </c>
    </row>
    <row r="1044" spans="1:11" ht="28.5" customHeight="1">
      <c r="A1044">
        <v>2026</v>
      </c>
      <c r="B1044">
        <v>9</v>
      </c>
      <c r="C1044">
        <v>1</v>
      </c>
      <c r="D1044" t="s">
        <v>82</v>
      </c>
      <c r="E1044" t="str">
        <f t="shared" si="64"/>
        <v>2026-Q9-1</v>
      </c>
      <c r="F1044">
        <f t="shared" si="65"/>
        <v>1</v>
      </c>
      <c r="G1044" t="s">
        <v>11</v>
      </c>
      <c r="H1044">
        <f t="shared" si="66"/>
        <v>1</v>
      </c>
      <c r="I1044" s="5">
        <f t="shared" si="67"/>
        <v>1</v>
      </c>
      <c r="J1044" s="2" t="s">
        <v>2056</v>
      </c>
      <c r="K1044" s="2" t="s">
        <v>2057</v>
      </c>
    </row>
    <row r="1045" spans="1:11" ht="28.5" customHeight="1">
      <c r="A1045">
        <v>2026</v>
      </c>
      <c r="B1045">
        <v>9</v>
      </c>
      <c r="C1045">
        <v>2</v>
      </c>
      <c r="D1045" t="s">
        <v>82</v>
      </c>
      <c r="E1045" t="str">
        <f t="shared" si="64"/>
        <v>2026-Q9-2</v>
      </c>
      <c r="F1045">
        <f t="shared" si="65"/>
        <v>1</v>
      </c>
      <c r="G1045" t="s">
        <v>11</v>
      </c>
      <c r="H1045">
        <f t="shared" si="66"/>
        <v>1</v>
      </c>
      <c r="I1045" s="5">
        <f t="shared" si="67"/>
        <v>1</v>
      </c>
      <c r="J1045" s="2" t="s">
        <v>2058</v>
      </c>
      <c r="K1045" s="2" t="s">
        <v>2059</v>
      </c>
    </row>
    <row r="1046" spans="1:11" ht="28.5" customHeight="1">
      <c r="A1046">
        <v>2026</v>
      </c>
      <c r="B1046">
        <v>9</v>
      </c>
      <c r="C1046">
        <v>3</v>
      </c>
      <c r="D1046" t="s">
        <v>82</v>
      </c>
      <c r="E1046" t="str">
        <f t="shared" si="64"/>
        <v>2026-Q9-3</v>
      </c>
      <c r="F1046">
        <f t="shared" si="65"/>
        <v>1</v>
      </c>
      <c r="G1046" t="s">
        <v>11</v>
      </c>
      <c r="H1046">
        <f t="shared" si="66"/>
        <v>1</v>
      </c>
      <c r="I1046" s="5">
        <f t="shared" si="67"/>
        <v>1</v>
      </c>
      <c r="J1046" s="2" t="s">
        <v>2060</v>
      </c>
      <c r="K1046" s="2" t="s">
        <v>2061</v>
      </c>
    </row>
    <row r="1047" spans="1:11" ht="28.5" customHeight="1">
      <c r="A1047">
        <v>2026</v>
      </c>
      <c r="B1047">
        <v>9</v>
      </c>
      <c r="C1047">
        <v>4</v>
      </c>
      <c r="D1047" t="s">
        <v>82</v>
      </c>
      <c r="E1047" t="str">
        <f t="shared" si="64"/>
        <v>2026-Q9-4</v>
      </c>
      <c r="F1047">
        <f t="shared" si="65"/>
        <v>1</v>
      </c>
      <c r="G1047" t="s">
        <v>11</v>
      </c>
      <c r="H1047">
        <f t="shared" si="66"/>
        <v>1</v>
      </c>
      <c r="I1047" s="5">
        <f t="shared" si="67"/>
        <v>1</v>
      </c>
      <c r="J1047" s="2" t="s">
        <v>2062</v>
      </c>
      <c r="K1047" s="2" t="s">
        <v>2063</v>
      </c>
    </row>
    <row r="1048" spans="1:11" ht="42.75" customHeight="1">
      <c r="A1048">
        <v>2026</v>
      </c>
      <c r="B1048">
        <v>10</v>
      </c>
      <c r="C1048">
        <v>0</v>
      </c>
      <c r="D1048" t="s">
        <v>82</v>
      </c>
      <c r="E1048" t="str">
        <f t="shared" si="64"/>
        <v>2026-Q10-0</v>
      </c>
      <c r="F1048">
        <f t="shared" si="65"/>
        <v>1</v>
      </c>
      <c r="G1048" t="s">
        <v>26</v>
      </c>
      <c r="H1048">
        <f t="shared" si="66"/>
        <v>1</v>
      </c>
      <c r="I1048" s="5">
        <f t="shared" si="67"/>
        <v>1</v>
      </c>
      <c r="J1048" s="2" t="s">
        <v>2064</v>
      </c>
      <c r="K1048" s="2" t="s">
        <v>2065</v>
      </c>
    </row>
    <row r="1049" spans="1:11" ht="28.5" customHeight="1">
      <c r="A1049">
        <v>2026</v>
      </c>
      <c r="B1049">
        <v>10</v>
      </c>
      <c r="C1049">
        <v>1</v>
      </c>
      <c r="D1049" t="s">
        <v>82</v>
      </c>
      <c r="E1049" t="str">
        <f t="shared" si="64"/>
        <v>2026-Q10-1</v>
      </c>
      <c r="F1049">
        <f t="shared" si="65"/>
        <v>1</v>
      </c>
      <c r="G1049" t="s">
        <v>26</v>
      </c>
      <c r="H1049">
        <f t="shared" si="66"/>
        <v>1</v>
      </c>
      <c r="I1049" s="5">
        <f t="shared" si="67"/>
        <v>1</v>
      </c>
      <c r="J1049" s="2" t="s">
        <v>2066</v>
      </c>
      <c r="K1049" s="2" t="s">
        <v>2067</v>
      </c>
    </row>
    <row r="1050" spans="1:11" ht="28.5" customHeight="1">
      <c r="A1050">
        <v>2026</v>
      </c>
      <c r="B1050">
        <v>10</v>
      </c>
      <c r="C1050">
        <v>2</v>
      </c>
      <c r="D1050" t="s">
        <v>82</v>
      </c>
      <c r="E1050" t="str">
        <f t="shared" si="64"/>
        <v>2026-Q10-2</v>
      </c>
      <c r="F1050">
        <f t="shared" si="65"/>
        <v>1</v>
      </c>
      <c r="G1050" t="s">
        <v>26</v>
      </c>
      <c r="H1050">
        <f t="shared" si="66"/>
        <v>1</v>
      </c>
      <c r="I1050" s="5">
        <f t="shared" si="67"/>
        <v>1</v>
      </c>
      <c r="J1050" s="2" t="s">
        <v>2068</v>
      </c>
      <c r="K1050" s="2" t="s">
        <v>2069</v>
      </c>
    </row>
    <row r="1051" spans="1:11" ht="28.5" customHeight="1">
      <c r="A1051">
        <v>2026</v>
      </c>
      <c r="B1051">
        <v>10</v>
      </c>
      <c r="C1051">
        <v>3</v>
      </c>
      <c r="D1051" t="s">
        <v>82</v>
      </c>
      <c r="E1051" t="str">
        <f t="shared" si="64"/>
        <v>2026-Q10-3</v>
      </c>
      <c r="F1051">
        <f t="shared" si="65"/>
        <v>1</v>
      </c>
      <c r="G1051" t="s">
        <v>26</v>
      </c>
      <c r="H1051">
        <f t="shared" si="66"/>
        <v>1</v>
      </c>
      <c r="I1051" s="5">
        <f t="shared" si="67"/>
        <v>1</v>
      </c>
      <c r="J1051" s="2" t="s">
        <v>2070</v>
      </c>
      <c r="K1051" s="2" t="s">
        <v>2071</v>
      </c>
    </row>
    <row r="1052" spans="1:11" ht="28.5" customHeight="1">
      <c r="A1052">
        <v>2026</v>
      </c>
      <c r="B1052">
        <v>10</v>
      </c>
      <c r="C1052">
        <v>4</v>
      </c>
      <c r="D1052" t="s">
        <v>82</v>
      </c>
      <c r="E1052" t="str">
        <f t="shared" si="64"/>
        <v>2026-Q10-4</v>
      </c>
      <c r="F1052">
        <f t="shared" si="65"/>
        <v>1</v>
      </c>
      <c r="G1052" t="s">
        <v>26</v>
      </c>
      <c r="H1052">
        <f t="shared" si="66"/>
        <v>1</v>
      </c>
      <c r="I1052" s="5">
        <f t="shared" si="67"/>
        <v>1</v>
      </c>
      <c r="J1052" s="2" t="s">
        <v>2072</v>
      </c>
      <c r="K1052" s="2" t="s">
        <v>2073</v>
      </c>
    </row>
    <row r="1053" spans="1:11">
      <c r="E1053" t="str">
        <f t="shared" si="64"/>
        <v/>
      </c>
      <c r="F1053" t="str">
        <f t="shared" si="65"/>
        <v/>
      </c>
      <c r="H1053" t="str">
        <f t="shared" si="66"/>
        <v/>
      </c>
      <c r="I1053" s="5" t="str">
        <f t="shared" si="67"/>
        <v/>
      </c>
      <c r="J1053" s="2"/>
      <c r="K1053" s="2"/>
    </row>
    <row r="1054" spans="1:11">
      <c r="E1054" t="str">
        <f t="shared" si="64"/>
        <v/>
      </c>
      <c r="F1054" t="str">
        <f t="shared" si="65"/>
        <v/>
      </c>
      <c r="H1054" t="str">
        <f t="shared" si="66"/>
        <v/>
      </c>
      <c r="I1054" s="5" t="str">
        <f t="shared" si="67"/>
        <v/>
      </c>
      <c r="J1054" s="2"/>
      <c r="K1054" s="2"/>
    </row>
    <row r="1055" spans="1:11">
      <c r="E1055" t="str">
        <f t="shared" si="64"/>
        <v/>
      </c>
      <c r="F1055" t="str">
        <f t="shared" si="65"/>
        <v/>
      </c>
      <c r="H1055" t="str">
        <f t="shared" si="66"/>
        <v/>
      </c>
      <c r="I1055" s="5" t="str">
        <f t="shared" si="67"/>
        <v/>
      </c>
      <c r="J1055" s="2"/>
      <c r="K1055" s="2"/>
    </row>
    <row r="1056" spans="1:11">
      <c r="E1056" t="str">
        <f t="shared" si="64"/>
        <v/>
      </c>
      <c r="F1056" t="str">
        <f t="shared" si="65"/>
        <v/>
      </c>
      <c r="H1056" t="str">
        <f t="shared" si="66"/>
        <v/>
      </c>
      <c r="I1056" s="5" t="str">
        <f t="shared" si="67"/>
        <v/>
      </c>
      <c r="J1056" s="2"/>
      <c r="K1056" s="2"/>
    </row>
    <row r="1057" spans="5:11">
      <c r="E1057" t="str">
        <f t="shared" si="64"/>
        <v/>
      </c>
      <c r="F1057" t="str">
        <f t="shared" si="65"/>
        <v/>
      </c>
      <c r="H1057" t="str">
        <f t="shared" si="66"/>
        <v/>
      </c>
      <c r="I1057" s="5" t="str">
        <f t="shared" si="67"/>
        <v/>
      </c>
      <c r="J1057" s="2"/>
      <c r="K1057" s="2"/>
    </row>
    <row r="1058" spans="5:11">
      <c r="E1058" t="str">
        <f t="shared" si="64"/>
        <v/>
      </c>
      <c r="F1058" t="str">
        <f t="shared" si="65"/>
        <v/>
      </c>
      <c r="H1058" t="str">
        <f t="shared" si="66"/>
        <v/>
      </c>
      <c r="I1058" s="5" t="str">
        <f t="shared" si="67"/>
        <v/>
      </c>
      <c r="J1058" s="2"/>
      <c r="K1058" s="2"/>
    </row>
    <row r="1059" spans="5:11">
      <c r="E1059" t="str">
        <f t="shared" si="64"/>
        <v/>
      </c>
      <c r="F1059" t="str">
        <f t="shared" si="65"/>
        <v/>
      </c>
      <c r="H1059" t="str">
        <f t="shared" si="66"/>
        <v/>
      </c>
      <c r="I1059" s="5" t="str">
        <f t="shared" si="67"/>
        <v/>
      </c>
      <c r="J1059" s="2"/>
      <c r="K1059" s="2"/>
    </row>
    <row r="1060" spans="5:11">
      <c r="E1060" t="str">
        <f t="shared" si="64"/>
        <v/>
      </c>
      <c r="F1060" t="str">
        <f t="shared" si="65"/>
        <v/>
      </c>
      <c r="H1060" t="str">
        <f t="shared" si="66"/>
        <v/>
      </c>
      <c r="I1060" s="5" t="str">
        <f t="shared" si="67"/>
        <v/>
      </c>
      <c r="J1060" s="2"/>
      <c r="K1060" s="2"/>
    </row>
    <row r="1061" spans="5:11">
      <c r="E1061" t="str">
        <f t="shared" si="64"/>
        <v/>
      </c>
      <c r="F1061" t="str">
        <f t="shared" si="65"/>
        <v/>
      </c>
      <c r="H1061" t="str">
        <f t="shared" si="66"/>
        <v/>
      </c>
      <c r="I1061" s="5" t="str">
        <f t="shared" si="67"/>
        <v/>
      </c>
      <c r="J1061" s="2"/>
      <c r="K1061" s="2"/>
    </row>
    <row r="1062" spans="5:11">
      <c r="E1062" t="str">
        <f t="shared" si="64"/>
        <v/>
      </c>
      <c r="F1062" t="str">
        <f t="shared" si="65"/>
        <v/>
      </c>
      <c r="H1062" t="str">
        <f t="shared" si="66"/>
        <v/>
      </c>
      <c r="I1062" s="5" t="str">
        <f t="shared" si="67"/>
        <v/>
      </c>
      <c r="J1062" s="2"/>
      <c r="K1062" s="2"/>
    </row>
    <row r="1063" spans="5:11">
      <c r="E1063" t="str">
        <f t="shared" si="64"/>
        <v/>
      </c>
      <c r="F1063" t="str">
        <f t="shared" si="65"/>
        <v/>
      </c>
      <c r="H1063" t="str">
        <f t="shared" si="66"/>
        <v/>
      </c>
      <c r="I1063" s="5" t="str">
        <f t="shared" si="67"/>
        <v/>
      </c>
      <c r="J1063" s="2"/>
      <c r="K1063" s="2"/>
    </row>
    <row r="1064" spans="5:11">
      <c r="E1064" t="str">
        <f t="shared" si="64"/>
        <v/>
      </c>
      <c r="F1064" t="str">
        <f t="shared" si="65"/>
        <v/>
      </c>
      <c r="H1064" t="str">
        <f t="shared" si="66"/>
        <v/>
      </c>
      <c r="I1064" s="5" t="str">
        <f t="shared" si="67"/>
        <v/>
      </c>
      <c r="J1064" s="2"/>
      <c r="K1064" s="2"/>
    </row>
    <row r="1065" spans="5:11">
      <c r="E1065" t="str">
        <f t="shared" si="64"/>
        <v/>
      </c>
      <c r="F1065" t="str">
        <f t="shared" si="65"/>
        <v/>
      </c>
      <c r="H1065" t="str">
        <f t="shared" si="66"/>
        <v/>
      </c>
      <c r="I1065" s="5" t="str">
        <f t="shared" si="67"/>
        <v/>
      </c>
      <c r="J1065" s="2"/>
      <c r="K1065" s="2"/>
    </row>
    <row r="1066" spans="5:11">
      <c r="E1066" t="str">
        <f t="shared" si="64"/>
        <v/>
      </c>
      <c r="F1066" t="str">
        <f t="shared" si="65"/>
        <v/>
      </c>
      <c r="H1066" t="str">
        <f t="shared" si="66"/>
        <v/>
      </c>
      <c r="I1066" s="5" t="str">
        <f t="shared" si="67"/>
        <v/>
      </c>
      <c r="J1066" s="2"/>
      <c r="K1066" s="2"/>
    </row>
    <row r="1067" spans="5:11">
      <c r="E1067" t="str">
        <f t="shared" si="64"/>
        <v/>
      </c>
      <c r="F1067" t="str">
        <f t="shared" si="65"/>
        <v/>
      </c>
      <c r="H1067" t="str">
        <f t="shared" si="66"/>
        <v/>
      </c>
      <c r="I1067" s="5" t="str">
        <f t="shared" si="67"/>
        <v/>
      </c>
      <c r="J1067" s="2"/>
      <c r="K1067" s="2"/>
    </row>
    <row r="1068" spans="5:11">
      <c r="E1068" t="str">
        <f t="shared" si="64"/>
        <v/>
      </c>
      <c r="F1068" t="str">
        <f t="shared" si="65"/>
        <v/>
      </c>
      <c r="H1068" t="str">
        <f t="shared" si="66"/>
        <v/>
      </c>
      <c r="I1068" s="5" t="str">
        <f t="shared" si="67"/>
        <v/>
      </c>
      <c r="J1068" s="2"/>
      <c r="K1068" s="2"/>
    </row>
    <row r="1069" spans="5:11">
      <c r="E1069" t="str">
        <f t="shared" si="64"/>
        <v/>
      </c>
      <c r="F1069" t="str">
        <f t="shared" si="65"/>
        <v/>
      </c>
      <c r="H1069" t="str">
        <f t="shared" si="66"/>
        <v/>
      </c>
      <c r="I1069" s="5" t="str">
        <f t="shared" si="67"/>
        <v/>
      </c>
      <c r="J1069" s="2"/>
      <c r="K1069" s="2"/>
    </row>
    <row r="1070" spans="5:11">
      <c r="E1070" t="str">
        <f t="shared" si="64"/>
        <v/>
      </c>
      <c r="F1070" t="str">
        <f t="shared" si="65"/>
        <v/>
      </c>
      <c r="H1070" t="str">
        <f t="shared" si="66"/>
        <v/>
      </c>
      <c r="I1070" s="5" t="str">
        <f t="shared" si="67"/>
        <v/>
      </c>
      <c r="J1070" s="2"/>
      <c r="K1070" s="2"/>
    </row>
    <row r="1071" spans="5:11">
      <c r="E1071" t="str">
        <f t="shared" si="64"/>
        <v/>
      </c>
      <c r="F1071" t="str">
        <f t="shared" si="65"/>
        <v/>
      </c>
      <c r="H1071" t="str">
        <f t="shared" si="66"/>
        <v/>
      </c>
      <c r="I1071" s="5" t="str">
        <f t="shared" si="67"/>
        <v/>
      </c>
      <c r="J1071" s="2"/>
      <c r="K1071" s="2"/>
    </row>
    <row r="1072" spans="5:11">
      <c r="E1072" t="str">
        <f t="shared" si="64"/>
        <v/>
      </c>
      <c r="F1072" t="str">
        <f t="shared" si="65"/>
        <v/>
      </c>
      <c r="H1072" t="str">
        <f t="shared" si="66"/>
        <v/>
      </c>
      <c r="I1072" s="5" t="str">
        <f t="shared" si="67"/>
        <v/>
      </c>
      <c r="J1072" s="2"/>
      <c r="K1072" s="2"/>
    </row>
    <row r="1073" spans="5:11">
      <c r="E1073" t="str">
        <f t="shared" si="64"/>
        <v/>
      </c>
      <c r="F1073" t="str">
        <f t="shared" si="65"/>
        <v/>
      </c>
      <c r="H1073" t="str">
        <f t="shared" si="66"/>
        <v/>
      </c>
      <c r="I1073" s="5" t="str">
        <f t="shared" si="67"/>
        <v/>
      </c>
      <c r="J1073" s="2"/>
      <c r="K1073" s="2"/>
    </row>
    <row r="1074" spans="5:11">
      <c r="E1074" t="str">
        <f t="shared" si="64"/>
        <v/>
      </c>
      <c r="F1074" t="str">
        <f t="shared" si="65"/>
        <v/>
      </c>
      <c r="H1074" t="str">
        <f t="shared" si="66"/>
        <v/>
      </c>
      <c r="I1074" s="5" t="str">
        <f t="shared" si="67"/>
        <v/>
      </c>
      <c r="J1074" s="2"/>
      <c r="K1074" s="2"/>
    </row>
    <row r="1075" spans="5:11">
      <c r="E1075" t="str">
        <f t="shared" si="64"/>
        <v/>
      </c>
      <c r="F1075" t="str">
        <f t="shared" si="65"/>
        <v/>
      </c>
      <c r="H1075" t="str">
        <f t="shared" si="66"/>
        <v/>
      </c>
      <c r="I1075" s="5" t="str">
        <f t="shared" si="67"/>
        <v/>
      </c>
      <c r="J1075" s="2"/>
      <c r="K1075" s="2"/>
    </row>
    <row r="1076" spans="5:11">
      <c r="E1076" t="str">
        <f t="shared" si="64"/>
        <v/>
      </c>
      <c r="F1076" t="str">
        <f t="shared" si="65"/>
        <v/>
      </c>
      <c r="H1076" t="str">
        <f t="shared" si="66"/>
        <v/>
      </c>
      <c r="I1076" s="5" t="str">
        <f t="shared" si="67"/>
        <v/>
      </c>
      <c r="J1076" s="2"/>
      <c r="K1076" s="2"/>
    </row>
    <row r="1077" spans="5:11">
      <c r="E1077" t="str">
        <f t="shared" si="64"/>
        <v/>
      </c>
      <c r="F1077" t="str">
        <f t="shared" si="65"/>
        <v/>
      </c>
      <c r="H1077" t="str">
        <f t="shared" si="66"/>
        <v/>
      </c>
      <c r="I1077" s="5" t="str">
        <f t="shared" si="67"/>
        <v/>
      </c>
      <c r="J1077" s="2"/>
      <c r="K1077" s="2"/>
    </row>
    <row r="1078" spans="5:11">
      <c r="E1078" t="str">
        <f t="shared" si="64"/>
        <v/>
      </c>
      <c r="F1078" t="str">
        <f t="shared" si="65"/>
        <v/>
      </c>
      <c r="H1078" t="str">
        <f t="shared" si="66"/>
        <v/>
      </c>
      <c r="I1078" s="5" t="str">
        <f t="shared" si="67"/>
        <v/>
      </c>
      <c r="J1078" s="2"/>
      <c r="K1078" s="2"/>
    </row>
    <row r="1079" spans="5:11">
      <c r="E1079" t="str">
        <f t="shared" si="64"/>
        <v/>
      </c>
      <c r="F1079" t="str">
        <f t="shared" si="65"/>
        <v/>
      </c>
      <c r="H1079" t="str">
        <f t="shared" si="66"/>
        <v/>
      </c>
      <c r="I1079" s="5" t="str">
        <f t="shared" si="67"/>
        <v/>
      </c>
      <c r="J1079" s="2"/>
      <c r="K1079" s="2"/>
    </row>
    <row r="1080" spans="5:11">
      <c r="E1080" t="str">
        <f t="shared" si="64"/>
        <v/>
      </c>
      <c r="F1080" t="str">
        <f t="shared" si="65"/>
        <v/>
      </c>
      <c r="H1080" t="str">
        <f t="shared" si="66"/>
        <v/>
      </c>
      <c r="I1080" s="5" t="str">
        <f t="shared" si="67"/>
        <v/>
      </c>
      <c r="J1080" s="2"/>
      <c r="K1080" s="2"/>
    </row>
    <row r="1081" spans="5:11">
      <c r="E1081" t="str">
        <f t="shared" si="64"/>
        <v/>
      </c>
      <c r="F1081" t="str">
        <f t="shared" si="65"/>
        <v/>
      </c>
      <c r="H1081" t="str">
        <f t="shared" si="66"/>
        <v/>
      </c>
      <c r="I1081" s="5" t="str">
        <f t="shared" si="67"/>
        <v/>
      </c>
      <c r="J1081" s="2"/>
      <c r="K1081" s="2"/>
    </row>
    <row r="1082" spans="5:11">
      <c r="E1082" t="str">
        <f t="shared" si="64"/>
        <v/>
      </c>
      <c r="F1082" t="str">
        <f t="shared" si="65"/>
        <v/>
      </c>
      <c r="H1082" t="str">
        <f t="shared" si="66"/>
        <v/>
      </c>
      <c r="I1082" s="5" t="str">
        <f t="shared" si="67"/>
        <v/>
      </c>
      <c r="J1082" s="2"/>
      <c r="K1082" s="2"/>
    </row>
    <row r="1083" spans="5:11">
      <c r="E1083" t="str">
        <f t="shared" si="64"/>
        <v/>
      </c>
      <c r="F1083" t="str">
        <f t="shared" si="65"/>
        <v/>
      </c>
      <c r="H1083" t="str">
        <f t="shared" si="66"/>
        <v/>
      </c>
      <c r="I1083" s="5" t="str">
        <f t="shared" si="67"/>
        <v/>
      </c>
      <c r="J1083" s="2"/>
      <c r="K1083" s="2"/>
    </row>
    <row r="1084" spans="5:11">
      <c r="E1084" t="str">
        <f t="shared" si="64"/>
        <v/>
      </c>
      <c r="F1084" t="str">
        <f t="shared" si="65"/>
        <v/>
      </c>
      <c r="H1084" t="str">
        <f t="shared" si="66"/>
        <v/>
      </c>
      <c r="I1084" s="5" t="str">
        <f t="shared" si="67"/>
        <v/>
      </c>
      <c r="J1084" s="2"/>
      <c r="K1084" s="2"/>
    </row>
    <row r="1085" spans="5:11">
      <c r="E1085" t="str">
        <f t="shared" si="64"/>
        <v/>
      </c>
      <c r="F1085" t="str">
        <f t="shared" si="65"/>
        <v/>
      </c>
      <c r="H1085" t="str">
        <f t="shared" si="66"/>
        <v/>
      </c>
      <c r="I1085" s="5" t="str">
        <f t="shared" si="67"/>
        <v/>
      </c>
      <c r="J1085" s="2"/>
      <c r="K1085" s="2"/>
    </row>
    <row r="1086" spans="5:11">
      <c r="E1086" t="str">
        <f t="shared" si="64"/>
        <v/>
      </c>
      <c r="F1086" t="str">
        <f t="shared" si="65"/>
        <v/>
      </c>
      <c r="H1086" t="str">
        <f t="shared" si="66"/>
        <v/>
      </c>
      <c r="I1086" s="5" t="str">
        <f t="shared" si="67"/>
        <v/>
      </c>
      <c r="J1086" s="2"/>
      <c r="K1086" s="2"/>
    </row>
    <row r="1087" spans="5:11">
      <c r="E1087" t="str">
        <f t="shared" si="64"/>
        <v/>
      </c>
      <c r="F1087" t="str">
        <f t="shared" si="65"/>
        <v/>
      </c>
      <c r="H1087" t="str">
        <f t="shared" si="66"/>
        <v/>
      </c>
      <c r="I1087" s="5" t="str">
        <f t="shared" si="67"/>
        <v/>
      </c>
      <c r="J1087" s="2"/>
      <c r="K1087" s="2"/>
    </row>
    <row r="1088" spans="5:11">
      <c r="E1088" t="str">
        <f t="shared" si="64"/>
        <v/>
      </c>
      <c r="F1088" t="str">
        <f t="shared" si="65"/>
        <v/>
      </c>
      <c r="H1088" t="str">
        <f t="shared" si="66"/>
        <v/>
      </c>
      <c r="I1088" s="5" t="str">
        <f t="shared" si="67"/>
        <v/>
      </c>
      <c r="J1088" s="2"/>
      <c r="K1088" s="2"/>
    </row>
    <row r="1089" spans="5:11">
      <c r="E1089" t="str">
        <f t="shared" si="64"/>
        <v/>
      </c>
      <c r="F1089" t="str">
        <f t="shared" si="65"/>
        <v/>
      </c>
      <c r="H1089" t="str">
        <f t="shared" si="66"/>
        <v/>
      </c>
      <c r="I1089" s="5" t="str">
        <f t="shared" si="67"/>
        <v/>
      </c>
      <c r="J1089" s="2"/>
      <c r="K1089" s="2"/>
    </row>
    <row r="1090" spans="5:11">
      <c r="E1090" t="str">
        <f t="shared" si="64"/>
        <v/>
      </c>
      <c r="F1090" t="str">
        <f t="shared" si="65"/>
        <v/>
      </c>
      <c r="H1090" t="str">
        <f t="shared" si="66"/>
        <v/>
      </c>
      <c r="I1090" s="5" t="str">
        <f t="shared" si="67"/>
        <v/>
      </c>
      <c r="J1090" s="2"/>
      <c r="K1090" s="2"/>
    </row>
    <row r="1091" spans="5:11">
      <c r="E1091" t="str">
        <f t="shared" si="64"/>
        <v/>
      </c>
      <c r="F1091" t="str">
        <f t="shared" si="65"/>
        <v/>
      </c>
      <c r="H1091" t="str">
        <f t="shared" si="66"/>
        <v/>
      </c>
      <c r="I1091" s="5" t="str">
        <f t="shared" si="67"/>
        <v/>
      </c>
      <c r="J1091" s="2"/>
      <c r="K1091" s="2"/>
    </row>
    <row r="1092" spans="5:11">
      <c r="E1092" t="str">
        <f t="shared" si="64"/>
        <v/>
      </c>
      <c r="F1092" t="str">
        <f t="shared" si="65"/>
        <v/>
      </c>
      <c r="H1092" t="str">
        <f t="shared" si="66"/>
        <v/>
      </c>
      <c r="I1092" s="5" t="str">
        <f t="shared" si="67"/>
        <v/>
      </c>
      <c r="J1092" s="2"/>
      <c r="K1092" s="2"/>
    </row>
    <row r="1093" spans="5:11">
      <c r="E1093" t="str">
        <f t="shared" ref="E1093:E1156" si="68">IF(A1093="","",TEXT(A1093,"0")&amp;"-Q"&amp;TEXT(B1093,"0")&amp;"-"&amp;IF(C1093="","ABERTA",C1093))</f>
        <v/>
      </c>
      <c r="F1093" t="str">
        <f t="shared" ref="F1093:F1156" si="69">IF(D1093="V/F",1,IF(D1093="Aberta/numérica",5,""))</f>
        <v/>
      </c>
      <c r="H1093" t="str">
        <f t="shared" ref="H1093:H1156" si="70">IF(A1093="","",IF(C1093="",COUNTIFS($A$5:$A$1504,A1093,$B$5:$B$1504,B1093,$C$5:$C$1504,"",$D$5:$D$1504,D1093),COUNTIFS($A$5:$A$1504,A1093,$B$5:$B$1504,B1093,$C$5:$C$1504,C1093,$D$5:$D$1504,D1093)))</f>
        <v/>
      </c>
      <c r="I1093" s="5" t="str">
        <f t="shared" ref="I1093:I1156" si="71">IF(OR(F1093="",H1093="",G1093=""),"",F1093/H1093)</f>
        <v/>
      </c>
      <c r="J1093" s="2"/>
      <c r="K1093" s="2"/>
    </row>
    <row r="1094" spans="5:11">
      <c r="E1094" t="str">
        <f t="shared" si="68"/>
        <v/>
      </c>
      <c r="F1094" t="str">
        <f t="shared" si="69"/>
        <v/>
      </c>
      <c r="H1094" t="str">
        <f t="shared" si="70"/>
        <v/>
      </c>
      <c r="I1094" s="5" t="str">
        <f t="shared" si="71"/>
        <v/>
      </c>
      <c r="J1094" s="2"/>
      <c r="K1094" s="2"/>
    </row>
    <row r="1095" spans="5:11">
      <c r="E1095" t="str">
        <f t="shared" si="68"/>
        <v/>
      </c>
      <c r="F1095" t="str">
        <f t="shared" si="69"/>
        <v/>
      </c>
      <c r="H1095" t="str">
        <f t="shared" si="70"/>
        <v/>
      </c>
      <c r="I1095" s="5" t="str">
        <f t="shared" si="71"/>
        <v/>
      </c>
      <c r="J1095" s="2"/>
      <c r="K1095" s="2"/>
    </row>
    <row r="1096" spans="5:11">
      <c r="E1096" t="str">
        <f t="shared" si="68"/>
        <v/>
      </c>
      <c r="F1096" t="str">
        <f t="shared" si="69"/>
        <v/>
      </c>
      <c r="H1096" t="str">
        <f t="shared" si="70"/>
        <v/>
      </c>
      <c r="I1096" s="5" t="str">
        <f t="shared" si="71"/>
        <v/>
      </c>
      <c r="J1096" s="2"/>
      <c r="K1096" s="2"/>
    </row>
    <row r="1097" spans="5:11">
      <c r="E1097" t="str">
        <f t="shared" si="68"/>
        <v/>
      </c>
      <c r="F1097" t="str">
        <f t="shared" si="69"/>
        <v/>
      </c>
      <c r="H1097" t="str">
        <f t="shared" si="70"/>
        <v/>
      </c>
      <c r="I1097" s="5" t="str">
        <f t="shared" si="71"/>
        <v/>
      </c>
      <c r="J1097" s="2"/>
      <c r="K1097" s="2"/>
    </row>
    <row r="1098" spans="5:11">
      <c r="E1098" t="str">
        <f t="shared" si="68"/>
        <v/>
      </c>
      <c r="F1098" t="str">
        <f t="shared" si="69"/>
        <v/>
      </c>
      <c r="H1098" t="str">
        <f t="shared" si="70"/>
        <v/>
      </c>
      <c r="I1098" s="5" t="str">
        <f t="shared" si="71"/>
        <v/>
      </c>
      <c r="J1098" s="2"/>
      <c r="K1098" s="2"/>
    </row>
    <row r="1099" spans="5:11">
      <c r="E1099" t="str">
        <f t="shared" si="68"/>
        <v/>
      </c>
      <c r="F1099" t="str">
        <f t="shared" si="69"/>
        <v/>
      </c>
      <c r="H1099" t="str">
        <f t="shared" si="70"/>
        <v/>
      </c>
      <c r="I1099" s="5" t="str">
        <f t="shared" si="71"/>
        <v/>
      </c>
      <c r="J1099" s="2"/>
      <c r="K1099" s="2"/>
    </row>
    <row r="1100" spans="5:11">
      <c r="E1100" t="str">
        <f t="shared" si="68"/>
        <v/>
      </c>
      <c r="F1100" t="str">
        <f t="shared" si="69"/>
        <v/>
      </c>
      <c r="H1100" t="str">
        <f t="shared" si="70"/>
        <v/>
      </c>
      <c r="I1100" s="5" t="str">
        <f t="shared" si="71"/>
        <v/>
      </c>
      <c r="J1100" s="2"/>
      <c r="K1100" s="2"/>
    </row>
    <row r="1101" spans="5:11">
      <c r="E1101" t="str">
        <f t="shared" si="68"/>
        <v/>
      </c>
      <c r="F1101" t="str">
        <f t="shared" si="69"/>
        <v/>
      </c>
      <c r="H1101" t="str">
        <f t="shared" si="70"/>
        <v/>
      </c>
      <c r="I1101" s="5" t="str">
        <f t="shared" si="71"/>
        <v/>
      </c>
      <c r="J1101" s="2"/>
      <c r="K1101" s="2"/>
    </row>
    <row r="1102" spans="5:11">
      <c r="E1102" t="str">
        <f t="shared" si="68"/>
        <v/>
      </c>
      <c r="F1102" t="str">
        <f t="shared" si="69"/>
        <v/>
      </c>
      <c r="H1102" t="str">
        <f t="shared" si="70"/>
        <v/>
      </c>
      <c r="I1102" s="5" t="str">
        <f t="shared" si="71"/>
        <v/>
      </c>
      <c r="J1102" s="2"/>
      <c r="K1102" s="2"/>
    </row>
    <row r="1103" spans="5:11">
      <c r="E1103" t="str">
        <f t="shared" si="68"/>
        <v/>
      </c>
      <c r="F1103" t="str">
        <f t="shared" si="69"/>
        <v/>
      </c>
      <c r="H1103" t="str">
        <f t="shared" si="70"/>
        <v/>
      </c>
      <c r="I1103" s="5" t="str">
        <f t="shared" si="71"/>
        <v/>
      </c>
      <c r="J1103" s="2"/>
      <c r="K1103" s="2"/>
    </row>
    <row r="1104" spans="5:11">
      <c r="E1104" t="str">
        <f t="shared" si="68"/>
        <v/>
      </c>
      <c r="F1104" t="str">
        <f t="shared" si="69"/>
        <v/>
      </c>
      <c r="H1104" t="str">
        <f t="shared" si="70"/>
        <v/>
      </c>
      <c r="I1104" s="5" t="str">
        <f t="shared" si="71"/>
        <v/>
      </c>
      <c r="J1104" s="2"/>
      <c r="K1104" s="2"/>
    </row>
    <row r="1105" spans="5:11">
      <c r="E1105" t="str">
        <f t="shared" si="68"/>
        <v/>
      </c>
      <c r="F1105" t="str">
        <f t="shared" si="69"/>
        <v/>
      </c>
      <c r="H1105" t="str">
        <f t="shared" si="70"/>
        <v/>
      </c>
      <c r="I1105" s="5" t="str">
        <f t="shared" si="71"/>
        <v/>
      </c>
      <c r="J1105" s="2"/>
      <c r="K1105" s="2"/>
    </row>
    <row r="1106" spans="5:11">
      <c r="E1106" t="str">
        <f t="shared" si="68"/>
        <v/>
      </c>
      <c r="F1106" t="str">
        <f t="shared" si="69"/>
        <v/>
      </c>
      <c r="H1106" t="str">
        <f t="shared" si="70"/>
        <v/>
      </c>
      <c r="I1106" s="5" t="str">
        <f t="shared" si="71"/>
        <v/>
      </c>
      <c r="J1106" s="2"/>
      <c r="K1106" s="2"/>
    </row>
    <row r="1107" spans="5:11">
      <c r="E1107" t="str">
        <f t="shared" si="68"/>
        <v/>
      </c>
      <c r="F1107" t="str">
        <f t="shared" si="69"/>
        <v/>
      </c>
      <c r="H1107" t="str">
        <f t="shared" si="70"/>
        <v/>
      </c>
      <c r="I1107" s="5" t="str">
        <f t="shared" si="71"/>
        <v/>
      </c>
      <c r="J1107" s="2"/>
      <c r="K1107" s="2"/>
    </row>
    <row r="1108" spans="5:11">
      <c r="E1108" t="str">
        <f t="shared" si="68"/>
        <v/>
      </c>
      <c r="F1108" t="str">
        <f t="shared" si="69"/>
        <v/>
      </c>
      <c r="H1108" t="str">
        <f t="shared" si="70"/>
        <v/>
      </c>
      <c r="I1108" s="5" t="str">
        <f t="shared" si="71"/>
        <v/>
      </c>
      <c r="J1108" s="2"/>
      <c r="K1108" s="2"/>
    </row>
    <row r="1109" spans="5:11">
      <c r="E1109" t="str">
        <f t="shared" si="68"/>
        <v/>
      </c>
      <c r="F1109" t="str">
        <f t="shared" si="69"/>
        <v/>
      </c>
      <c r="H1109" t="str">
        <f t="shared" si="70"/>
        <v/>
      </c>
      <c r="I1109" s="5" t="str">
        <f t="shared" si="71"/>
        <v/>
      </c>
      <c r="J1109" s="2"/>
      <c r="K1109" s="2"/>
    </row>
    <row r="1110" spans="5:11">
      <c r="E1110" t="str">
        <f t="shared" si="68"/>
        <v/>
      </c>
      <c r="F1110" t="str">
        <f t="shared" si="69"/>
        <v/>
      </c>
      <c r="H1110" t="str">
        <f t="shared" si="70"/>
        <v/>
      </c>
      <c r="I1110" s="5" t="str">
        <f t="shared" si="71"/>
        <v/>
      </c>
      <c r="J1110" s="2"/>
      <c r="K1110" s="2"/>
    </row>
    <row r="1111" spans="5:11">
      <c r="E1111" t="str">
        <f t="shared" si="68"/>
        <v/>
      </c>
      <c r="F1111" t="str">
        <f t="shared" si="69"/>
        <v/>
      </c>
      <c r="H1111" t="str">
        <f t="shared" si="70"/>
        <v/>
      </c>
      <c r="I1111" s="5" t="str">
        <f t="shared" si="71"/>
        <v/>
      </c>
      <c r="J1111" s="2"/>
      <c r="K1111" s="2"/>
    </row>
    <row r="1112" spans="5:11">
      <c r="E1112" t="str">
        <f t="shared" si="68"/>
        <v/>
      </c>
      <c r="F1112" t="str">
        <f t="shared" si="69"/>
        <v/>
      </c>
      <c r="H1112" t="str">
        <f t="shared" si="70"/>
        <v/>
      </c>
      <c r="I1112" s="5" t="str">
        <f t="shared" si="71"/>
        <v/>
      </c>
      <c r="J1112" s="2"/>
      <c r="K1112" s="2"/>
    </row>
    <row r="1113" spans="5:11">
      <c r="E1113" t="str">
        <f t="shared" si="68"/>
        <v/>
      </c>
      <c r="F1113" t="str">
        <f t="shared" si="69"/>
        <v/>
      </c>
      <c r="H1113" t="str">
        <f t="shared" si="70"/>
        <v/>
      </c>
      <c r="I1113" s="5" t="str">
        <f t="shared" si="71"/>
        <v/>
      </c>
      <c r="J1113" s="2"/>
      <c r="K1113" s="2"/>
    </row>
    <row r="1114" spans="5:11">
      <c r="E1114" t="str">
        <f t="shared" si="68"/>
        <v/>
      </c>
      <c r="F1114" t="str">
        <f t="shared" si="69"/>
        <v/>
      </c>
      <c r="H1114" t="str">
        <f t="shared" si="70"/>
        <v/>
      </c>
      <c r="I1114" s="5" t="str">
        <f t="shared" si="71"/>
        <v/>
      </c>
      <c r="J1114" s="2"/>
      <c r="K1114" s="2"/>
    </row>
    <row r="1115" spans="5:11">
      <c r="E1115" t="str">
        <f t="shared" si="68"/>
        <v/>
      </c>
      <c r="F1115" t="str">
        <f t="shared" si="69"/>
        <v/>
      </c>
      <c r="H1115" t="str">
        <f t="shared" si="70"/>
        <v/>
      </c>
      <c r="I1115" s="5" t="str">
        <f t="shared" si="71"/>
        <v/>
      </c>
      <c r="J1115" s="2"/>
      <c r="K1115" s="2"/>
    </row>
    <row r="1116" spans="5:11">
      <c r="E1116" t="str">
        <f t="shared" si="68"/>
        <v/>
      </c>
      <c r="F1116" t="str">
        <f t="shared" si="69"/>
        <v/>
      </c>
      <c r="H1116" t="str">
        <f t="shared" si="70"/>
        <v/>
      </c>
      <c r="I1116" s="5" t="str">
        <f t="shared" si="71"/>
        <v/>
      </c>
      <c r="J1116" s="2"/>
      <c r="K1116" s="2"/>
    </row>
    <row r="1117" spans="5:11">
      <c r="E1117" t="str">
        <f t="shared" si="68"/>
        <v/>
      </c>
      <c r="F1117" t="str">
        <f t="shared" si="69"/>
        <v/>
      </c>
      <c r="H1117" t="str">
        <f t="shared" si="70"/>
        <v/>
      </c>
      <c r="I1117" s="5" t="str">
        <f t="shared" si="71"/>
        <v/>
      </c>
      <c r="J1117" s="2"/>
      <c r="K1117" s="2"/>
    </row>
    <row r="1118" spans="5:11">
      <c r="E1118" t="str">
        <f t="shared" si="68"/>
        <v/>
      </c>
      <c r="F1118" t="str">
        <f t="shared" si="69"/>
        <v/>
      </c>
      <c r="H1118" t="str">
        <f t="shared" si="70"/>
        <v/>
      </c>
      <c r="I1118" s="5" t="str">
        <f t="shared" si="71"/>
        <v/>
      </c>
      <c r="J1118" s="2"/>
      <c r="K1118" s="2"/>
    </row>
    <row r="1119" spans="5:11">
      <c r="E1119" t="str">
        <f t="shared" si="68"/>
        <v/>
      </c>
      <c r="F1119" t="str">
        <f t="shared" si="69"/>
        <v/>
      </c>
      <c r="H1119" t="str">
        <f t="shared" si="70"/>
        <v/>
      </c>
      <c r="I1119" s="5" t="str">
        <f t="shared" si="71"/>
        <v/>
      </c>
      <c r="J1119" s="2"/>
      <c r="K1119" s="2"/>
    </row>
    <row r="1120" spans="5:11">
      <c r="E1120" t="str">
        <f t="shared" si="68"/>
        <v/>
      </c>
      <c r="F1120" t="str">
        <f t="shared" si="69"/>
        <v/>
      </c>
      <c r="H1120" t="str">
        <f t="shared" si="70"/>
        <v/>
      </c>
      <c r="I1120" s="5" t="str">
        <f t="shared" si="71"/>
        <v/>
      </c>
      <c r="J1120" s="2"/>
      <c r="K1120" s="2"/>
    </row>
    <row r="1121" spans="5:11">
      <c r="E1121" t="str">
        <f t="shared" si="68"/>
        <v/>
      </c>
      <c r="F1121" t="str">
        <f t="shared" si="69"/>
        <v/>
      </c>
      <c r="H1121" t="str">
        <f t="shared" si="70"/>
        <v/>
      </c>
      <c r="I1121" s="5" t="str">
        <f t="shared" si="71"/>
        <v/>
      </c>
      <c r="J1121" s="2"/>
      <c r="K1121" s="2"/>
    </row>
    <row r="1122" spans="5:11">
      <c r="E1122" t="str">
        <f t="shared" si="68"/>
        <v/>
      </c>
      <c r="F1122" t="str">
        <f t="shared" si="69"/>
        <v/>
      </c>
      <c r="H1122" t="str">
        <f t="shared" si="70"/>
        <v/>
      </c>
      <c r="I1122" s="5" t="str">
        <f t="shared" si="71"/>
        <v/>
      </c>
      <c r="J1122" s="2"/>
      <c r="K1122" s="2"/>
    </row>
    <row r="1123" spans="5:11">
      <c r="E1123" t="str">
        <f t="shared" si="68"/>
        <v/>
      </c>
      <c r="F1123" t="str">
        <f t="shared" si="69"/>
        <v/>
      </c>
      <c r="H1123" t="str">
        <f t="shared" si="70"/>
        <v/>
      </c>
      <c r="I1123" s="5" t="str">
        <f t="shared" si="71"/>
        <v/>
      </c>
      <c r="J1123" s="2"/>
      <c r="K1123" s="2"/>
    </row>
    <row r="1124" spans="5:11">
      <c r="E1124" t="str">
        <f t="shared" si="68"/>
        <v/>
      </c>
      <c r="F1124" t="str">
        <f t="shared" si="69"/>
        <v/>
      </c>
      <c r="H1124" t="str">
        <f t="shared" si="70"/>
        <v/>
      </c>
      <c r="I1124" s="5" t="str">
        <f t="shared" si="71"/>
        <v/>
      </c>
      <c r="J1124" s="2"/>
      <c r="K1124" s="2"/>
    </row>
    <row r="1125" spans="5:11">
      <c r="E1125" t="str">
        <f t="shared" si="68"/>
        <v/>
      </c>
      <c r="F1125" t="str">
        <f t="shared" si="69"/>
        <v/>
      </c>
      <c r="H1125" t="str">
        <f t="shared" si="70"/>
        <v/>
      </c>
      <c r="I1125" s="5" t="str">
        <f t="shared" si="71"/>
        <v/>
      </c>
      <c r="J1125" s="2"/>
      <c r="K1125" s="2"/>
    </row>
    <row r="1126" spans="5:11">
      <c r="E1126" t="str">
        <f t="shared" si="68"/>
        <v/>
      </c>
      <c r="F1126" t="str">
        <f t="shared" si="69"/>
        <v/>
      </c>
      <c r="H1126" t="str">
        <f t="shared" si="70"/>
        <v/>
      </c>
      <c r="I1126" s="5" t="str">
        <f t="shared" si="71"/>
        <v/>
      </c>
      <c r="J1126" s="2"/>
      <c r="K1126" s="2"/>
    </row>
    <row r="1127" spans="5:11">
      <c r="E1127" t="str">
        <f t="shared" si="68"/>
        <v/>
      </c>
      <c r="F1127" t="str">
        <f t="shared" si="69"/>
        <v/>
      </c>
      <c r="H1127" t="str">
        <f t="shared" si="70"/>
        <v/>
      </c>
      <c r="I1127" s="5" t="str">
        <f t="shared" si="71"/>
        <v/>
      </c>
      <c r="J1127" s="2"/>
      <c r="K1127" s="2"/>
    </row>
    <row r="1128" spans="5:11">
      <c r="E1128" t="str">
        <f t="shared" si="68"/>
        <v/>
      </c>
      <c r="F1128" t="str">
        <f t="shared" si="69"/>
        <v/>
      </c>
      <c r="H1128" t="str">
        <f t="shared" si="70"/>
        <v/>
      </c>
      <c r="I1128" s="5" t="str">
        <f t="shared" si="71"/>
        <v/>
      </c>
      <c r="J1128" s="2"/>
      <c r="K1128" s="2"/>
    </row>
    <row r="1129" spans="5:11">
      <c r="E1129" t="str">
        <f t="shared" si="68"/>
        <v/>
      </c>
      <c r="F1129" t="str">
        <f t="shared" si="69"/>
        <v/>
      </c>
      <c r="H1129" t="str">
        <f t="shared" si="70"/>
        <v/>
      </c>
      <c r="I1129" s="5" t="str">
        <f t="shared" si="71"/>
        <v/>
      </c>
      <c r="J1129" s="2"/>
      <c r="K1129" s="2"/>
    </row>
    <row r="1130" spans="5:11">
      <c r="E1130" t="str">
        <f t="shared" si="68"/>
        <v/>
      </c>
      <c r="F1130" t="str">
        <f t="shared" si="69"/>
        <v/>
      </c>
      <c r="H1130" t="str">
        <f t="shared" si="70"/>
        <v/>
      </c>
      <c r="I1130" s="5" t="str">
        <f t="shared" si="71"/>
        <v/>
      </c>
      <c r="J1130" s="2"/>
      <c r="K1130" s="2"/>
    </row>
    <row r="1131" spans="5:11">
      <c r="E1131" t="str">
        <f t="shared" si="68"/>
        <v/>
      </c>
      <c r="F1131" t="str">
        <f t="shared" si="69"/>
        <v/>
      </c>
      <c r="H1131" t="str">
        <f t="shared" si="70"/>
        <v/>
      </c>
      <c r="I1131" s="5" t="str">
        <f t="shared" si="71"/>
        <v/>
      </c>
      <c r="J1131" s="2"/>
      <c r="K1131" s="2"/>
    </row>
    <row r="1132" spans="5:11">
      <c r="E1132" t="str">
        <f t="shared" si="68"/>
        <v/>
      </c>
      <c r="F1132" t="str">
        <f t="shared" si="69"/>
        <v/>
      </c>
      <c r="H1132" t="str">
        <f t="shared" si="70"/>
        <v/>
      </c>
      <c r="I1132" s="5" t="str">
        <f t="shared" si="71"/>
        <v/>
      </c>
      <c r="J1132" s="2"/>
      <c r="K1132" s="2"/>
    </row>
    <row r="1133" spans="5:11">
      <c r="E1133" t="str">
        <f t="shared" si="68"/>
        <v/>
      </c>
      <c r="F1133" t="str">
        <f t="shared" si="69"/>
        <v/>
      </c>
      <c r="H1133" t="str">
        <f t="shared" si="70"/>
        <v/>
      </c>
      <c r="I1133" s="5" t="str">
        <f t="shared" si="71"/>
        <v/>
      </c>
      <c r="J1133" s="2"/>
      <c r="K1133" s="2"/>
    </row>
    <row r="1134" spans="5:11">
      <c r="E1134" t="str">
        <f t="shared" si="68"/>
        <v/>
      </c>
      <c r="F1134" t="str">
        <f t="shared" si="69"/>
        <v/>
      </c>
      <c r="H1134" t="str">
        <f t="shared" si="70"/>
        <v/>
      </c>
      <c r="I1134" s="5" t="str">
        <f t="shared" si="71"/>
        <v/>
      </c>
      <c r="J1134" s="2"/>
      <c r="K1134" s="2"/>
    </row>
    <row r="1135" spans="5:11">
      <c r="E1135" t="str">
        <f t="shared" si="68"/>
        <v/>
      </c>
      <c r="F1135" t="str">
        <f t="shared" si="69"/>
        <v/>
      </c>
      <c r="H1135" t="str">
        <f t="shared" si="70"/>
        <v/>
      </c>
      <c r="I1135" s="5" t="str">
        <f t="shared" si="71"/>
        <v/>
      </c>
      <c r="J1135" s="2"/>
      <c r="K1135" s="2"/>
    </row>
    <row r="1136" spans="5:11">
      <c r="E1136" t="str">
        <f t="shared" si="68"/>
        <v/>
      </c>
      <c r="F1136" t="str">
        <f t="shared" si="69"/>
        <v/>
      </c>
      <c r="H1136" t="str">
        <f t="shared" si="70"/>
        <v/>
      </c>
      <c r="I1136" s="5" t="str">
        <f t="shared" si="71"/>
        <v/>
      </c>
      <c r="J1136" s="2"/>
      <c r="K1136" s="2"/>
    </row>
    <row r="1137" spans="5:11">
      <c r="E1137" t="str">
        <f t="shared" si="68"/>
        <v/>
      </c>
      <c r="F1137" t="str">
        <f t="shared" si="69"/>
        <v/>
      </c>
      <c r="H1137" t="str">
        <f t="shared" si="70"/>
        <v/>
      </c>
      <c r="I1137" s="5" t="str">
        <f t="shared" si="71"/>
        <v/>
      </c>
      <c r="J1137" s="2"/>
      <c r="K1137" s="2"/>
    </row>
    <row r="1138" spans="5:11">
      <c r="E1138" t="str">
        <f t="shared" si="68"/>
        <v/>
      </c>
      <c r="F1138" t="str">
        <f t="shared" si="69"/>
        <v/>
      </c>
      <c r="H1138" t="str">
        <f t="shared" si="70"/>
        <v/>
      </c>
      <c r="I1138" s="5" t="str">
        <f t="shared" si="71"/>
        <v/>
      </c>
      <c r="J1138" s="2"/>
      <c r="K1138" s="2"/>
    </row>
    <row r="1139" spans="5:11">
      <c r="E1139" t="str">
        <f t="shared" si="68"/>
        <v/>
      </c>
      <c r="F1139" t="str">
        <f t="shared" si="69"/>
        <v/>
      </c>
      <c r="H1139" t="str">
        <f t="shared" si="70"/>
        <v/>
      </c>
      <c r="I1139" s="5" t="str">
        <f t="shared" si="71"/>
        <v/>
      </c>
      <c r="J1139" s="2"/>
      <c r="K1139" s="2"/>
    </row>
    <row r="1140" spans="5:11">
      <c r="E1140" t="str">
        <f t="shared" si="68"/>
        <v/>
      </c>
      <c r="F1140" t="str">
        <f t="shared" si="69"/>
        <v/>
      </c>
      <c r="H1140" t="str">
        <f t="shared" si="70"/>
        <v/>
      </c>
      <c r="I1140" s="5" t="str">
        <f t="shared" si="71"/>
        <v/>
      </c>
      <c r="J1140" s="2"/>
      <c r="K1140" s="2"/>
    </row>
    <row r="1141" spans="5:11">
      <c r="E1141" t="str">
        <f t="shared" si="68"/>
        <v/>
      </c>
      <c r="F1141" t="str">
        <f t="shared" si="69"/>
        <v/>
      </c>
      <c r="H1141" t="str">
        <f t="shared" si="70"/>
        <v/>
      </c>
      <c r="I1141" s="5" t="str">
        <f t="shared" si="71"/>
        <v/>
      </c>
      <c r="J1141" s="2"/>
      <c r="K1141" s="2"/>
    </row>
    <row r="1142" spans="5:11">
      <c r="E1142" t="str">
        <f t="shared" si="68"/>
        <v/>
      </c>
      <c r="F1142" t="str">
        <f t="shared" si="69"/>
        <v/>
      </c>
      <c r="H1142" t="str">
        <f t="shared" si="70"/>
        <v/>
      </c>
      <c r="I1142" s="5" t="str">
        <f t="shared" si="71"/>
        <v/>
      </c>
      <c r="J1142" s="2"/>
      <c r="K1142" s="2"/>
    </row>
    <row r="1143" spans="5:11">
      <c r="E1143" t="str">
        <f t="shared" si="68"/>
        <v/>
      </c>
      <c r="F1143" t="str">
        <f t="shared" si="69"/>
        <v/>
      </c>
      <c r="H1143" t="str">
        <f t="shared" si="70"/>
        <v/>
      </c>
      <c r="I1143" s="5" t="str">
        <f t="shared" si="71"/>
        <v/>
      </c>
      <c r="J1143" s="2"/>
      <c r="K1143" s="2"/>
    </row>
    <row r="1144" spans="5:11">
      <c r="E1144" t="str">
        <f t="shared" si="68"/>
        <v/>
      </c>
      <c r="F1144" t="str">
        <f t="shared" si="69"/>
        <v/>
      </c>
      <c r="H1144" t="str">
        <f t="shared" si="70"/>
        <v/>
      </c>
      <c r="I1144" s="5" t="str">
        <f t="shared" si="71"/>
        <v/>
      </c>
      <c r="J1144" s="2"/>
      <c r="K1144" s="2"/>
    </row>
    <row r="1145" spans="5:11">
      <c r="E1145" t="str">
        <f t="shared" si="68"/>
        <v/>
      </c>
      <c r="F1145" t="str">
        <f t="shared" si="69"/>
        <v/>
      </c>
      <c r="H1145" t="str">
        <f t="shared" si="70"/>
        <v/>
      </c>
      <c r="I1145" s="5" t="str">
        <f t="shared" si="71"/>
        <v/>
      </c>
      <c r="J1145" s="2"/>
      <c r="K1145" s="2"/>
    </row>
    <row r="1146" spans="5:11">
      <c r="E1146" t="str">
        <f t="shared" si="68"/>
        <v/>
      </c>
      <c r="F1146" t="str">
        <f t="shared" si="69"/>
        <v/>
      </c>
      <c r="H1146" t="str">
        <f t="shared" si="70"/>
        <v/>
      </c>
      <c r="I1146" s="5" t="str">
        <f t="shared" si="71"/>
        <v/>
      </c>
      <c r="J1146" s="2"/>
      <c r="K1146" s="2"/>
    </row>
    <row r="1147" spans="5:11">
      <c r="E1147" t="str">
        <f t="shared" si="68"/>
        <v/>
      </c>
      <c r="F1147" t="str">
        <f t="shared" si="69"/>
        <v/>
      </c>
      <c r="H1147" t="str">
        <f t="shared" si="70"/>
        <v/>
      </c>
      <c r="I1147" s="5" t="str">
        <f t="shared" si="71"/>
        <v/>
      </c>
      <c r="J1147" s="2"/>
      <c r="K1147" s="2"/>
    </row>
    <row r="1148" spans="5:11">
      <c r="E1148" t="str">
        <f t="shared" si="68"/>
        <v/>
      </c>
      <c r="F1148" t="str">
        <f t="shared" si="69"/>
        <v/>
      </c>
      <c r="H1148" t="str">
        <f t="shared" si="70"/>
        <v/>
      </c>
      <c r="I1148" s="5" t="str">
        <f t="shared" si="71"/>
        <v/>
      </c>
      <c r="J1148" s="2"/>
      <c r="K1148" s="2"/>
    </row>
    <row r="1149" spans="5:11">
      <c r="E1149" t="str">
        <f t="shared" si="68"/>
        <v/>
      </c>
      <c r="F1149" t="str">
        <f t="shared" si="69"/>
        <v/>
      </c>
      <c r="H1149" t="str">
        <f t="shared" si="70"/>
        <v/>
      </c>
      <c r="I1149" s="5" t="str">
        <f t="shared" si="71"/>
        <v/>
      </c>
      <c r="J1149" s="2"/>
      <c r="K1149" s="2"/>
    </row>
    <row r="1150" spans="5:11">
      <c r="E1150" t="str">
        <f t="shared" si="68"/>
        <v/>
      </c>
      <c r="F1150" t="str">
        <f t="shared" si="69"/>
        <v/>
      </c>
      <c r="H1150" t="str">
        <f t="shared" si="70"/>
        <v/>
      </c>
      <c r="I1150" s="5" t="str">
        <f t="shared" si="71"/>
        <v/>
      </c>
      <c r="J1150" s="2"/>
      <c r="K1150" s="2"/>
    </row>
    <row r="1151" spans="5:11">
      <c r="E1151" t="str">
        <f t="shared" si="68"/>
        <v/>
      </c>
      <c r="F1151" t="str">
        <f t="shared" si="69"/>
        <v/>
      </c>
      <c r="H1151" t="str">
        <f t="shared" si="70"/>
        <v/>
      </c>
      <c r="I1151" s="5" t="str">
        <f t="shared" si="71"/>
        <v/>
      </c>
      <c r="J1151" s="2"/>
      <c r="K1151" s="2"/>
    </row>
    <row r="1152" spans="5:11">
      <c r="E1152" t="str">
        <f t="shared" si="68"/>
        <v/>
      </c>
      <c r="F1152" t="str">
        <f t="shared" si="69"/>
        <v/>
      </c>
      <c r="H1152" t="str">
        <f t="shared" si="70"/>
        <v/>
      </c>
      <c r="I1152" s="5" t="str">
        <f t="shared" si="71"/>
        <v/>
      </c>
      <c r="J1152" s="2"/>
      <c r="K1152" s="2"/>
    </row>
    <row r="1153" spans="5:11">
      <c r="E1153" t="str">
        <f t="shared" si="68"/>
        <v/>
      </c>
      <c r="F1153" t="str">
        <f t="shared" si="69"/>
        <v/>
      </c>
      <c r="H1153" t="str">
        <f t="shared" si="70"/>
        <v/>
      </c>
      <c r="I1153" s="5" t="str">
        <f t="shared" si="71"/>
        <v/>
      </c>
      <c r="J1153" s="2"/>
      <c r="K1153" s="2"/>
    </row>
    <row r="1154" spans="5:11">
      <c r="E1154" t="str">
        <f t="shared" si="68"/>
        <v/>
      </c>
      <c r="F1154" t="str">
        <f t="shared" si="69"/>
        <v/>
      </c>
      <c r="H1154" t="str">
        <f t="shared" si="70"/>
        <v/>
      </c>
      <c r="I1154" s="5" t="str">
        <f t="shared" si="71"/>
        <v/>
      </c>
      <c r="J1154" s="2"/>
      <c r="K1154" s="2"/>
    </row>
    <row r="1155" spans="5:11">
      <c r="E1155" t="str">
        <f t="shared" si="68"/>
        <v/>
      </c>
      <c r="F1155" t="str">
        <f t="shared" si="69"/>
        <v/>
      </c>
      <c r="H1155" t="str">
        <f t="shared" si="70"/>
        <v/>
      </c>
      <c r="I1155" s="5" t="str">
        <f t="shared" si="71"/>
        <v/>
      </c>
      <c r="J1155" s="2"/>
      <c r="K1155" s="2"/>
    </row>
    <row r="1156" spans="5:11">
      <c r="E1156" t="str">
        <f t="shared" si="68"/>
        <v/>
      </c>
      <c r="F1156" t="str">
        <f t="shared" si="69"/>
        <v/>
      </c>
      <c r="H1156" t="str">
        <f t="shared" si="70"/>
        <v/>
      </c>
      <c r="I1156" s="5" t="str">
        <f t="shared" si="71"/>
        <v/>
      </c>
      <c r="J1156" s="2"/>
      <c r="K1156" s="2"/>
    </row>
    <row r="1157" spans="5:11">
      <c r="E1157" t="str">
        <f t="shared" ref="E1157:E1220" si="72">IF(A1157="","",TEXT(A1157,"0")&amp;"-Q"&amp;TEXT(B1157,"0")&amp;"-"&amp;IF(C1157="","ABERTA",C1157))</f>
        <v/>
      </c>
      <c r="F1157" t="str">
        <f t="shared" ref="F1157:F1220" si="73">IF(D1157="V/F",1,IF(D1157="Aberta/numérica",5,""))</f>
        <v/>
      </c>
      <c r="H1157" t="str">
        <f t="shared" ref="H1157:H1220" si="74">IF(A1157="","",IF(C1157="",COUNTIFS($A$5:$A$1504,A1157,$B$5:$B$1504,B1157,$C$5:$C$1504,"",$D$5:$D$1504,D1157),COUNTIFS($A$5:$A$1504,A1157,$B$5:$B$1504,B1157,$C$5:$C$1504,C1157,$D$5:$D$1504,D1157)))</f>
        <v/>
      </c>
      <c r="I1157" s="5" t="str">
        <f t="shared" ref="I1157:I1220" si="75">IF(OR(F1157="",H1157="",G1157=""),"",F1157/H1157)</f>
        <v/>
      </c>
      <c r="J1157" s="2"/>
      <c r="K1157" s="2"/>
    </row>
    <row r="1158" spans="5:11">
      <c r="E1158" t="str">
        <f t="shared" si="72"/>
        <v/>
      </c>
      <c r="F1158" t="str">
        <f t="shared" si="73"/>
        <v/>
      </c>
      <c r="H1158" t="str">
        <f t="shared" si="74"/>
        <v/>
      </c>
      <c r="I1158" s="5" t="str">
        <f t="shared" si="75"/>
        <v/>
      </c>
      <c r="J1158" s="2"/>
      <c r="K1158" s="2"/>
    </row>
    <row r="1159" spans="5:11">
      <c r="E1159" t="str">
        <f t="shared" si="72"/>
        <v/>
      </c>
      <c r="F1159" t="str">
        <f t="shared" si="73"/>
        <v/>
      </c>
      <c r="H1159" t="str">
        <f t="shared" si="74"/>
        <v/>
      </c>
      <c r="I1159" s="5" t="str">
        <f t="shared" si="75"/>
        <v/>
      </c>
      <c r="J1159" s="2"/>
      <c r="K1159" s="2"/>
    </row>
    <row r="1160" spans="5:11">
      <c r="E1160" t="str">
        <f t="shared" si="72"/>
        <v/>
      </c>
      <c r="F1160" t="str">
        <f t="shared" si="73"/>
        <v/>
      </c>
      <c r="H1160" t="str">
        <f t="shared" si="74"/>
        <v/>
      </c>
      <c r="I1160" s="5" t="str">
        <f t="shared" si="75"/>
        <v/>
      </c>
      <c r="J1160" s="2"/>
      <c r="K1160" s="2"/>
    </row>
    <row r="1161" spans="5:11">
      <c r="E1161" t="str">
        <f t="shared" si="72"/>
        <v/>
      </c>
      <c r="F1161" t="str">
        <f t="shared" si="73"/>
        <v/>
      </c>
      <c r="H1161" t="str">
        <f t="shared" si="74"/>
        <v/>
      </c>
      <c r="I1161" s="5" t="str">
        <f t="shared" si="75"/>
        <v/>
      </c>
      <c r="J1161" s="2"/>
      <c r="K1161" s="2"/>
    </row>
    <row r="1162" spans="5:11">
      <c r="E1162" t="str">
        <f t="shared" si="72"/>
        <v/>
      </c>
      <c r="F1162" t="str">
        <f t="shared" si="73"/>
        <v/>
      </c>
      <c r="H1162" t="str">
        <f t="shared" si="74"/>
        <v/>
      </c>
      <c r="I1162" s="5" t="str">
        <f t="shared" si="75"/>
        <v/>
      </c>
      <c r="J1162" s="2"/>
      <c r="K1162" s="2"/>
    </row>
    <row r="1163" spans="5:11">
      <c r="E1163" t="str">
        <f t="shared" si="72"/>
        <v/>
      </c>
      <c r="F1163" t="str">
        <f t="shared" si="73"/>
        <v/>
      </c>
      <c r="H1163" t="str">
        <f t="shared" si="74"/>
        <v/>
      </c>
      <c r="I1163" s="5" t="str">
        <f t="shared" si="75"/>
        <v/>
      </c>
      <c r="J1163" s="2"/>
      <c r="K1163" s="2"/>
    </row>
    <row r="1164" spans="5:11">
      <c r="E1164" t="str">
        <f t="shared" si="72"/>
        <v/>
      </c>
      <c r="F1164" t="str">
        <f t="shared" si="73"/>
        <v/>
      </c>
      <c r="H1164" t="str">
        <f t="shared" si="74"/>
        <v/>
      </c>
      <c r="I1164" s="5" t="str">
        <f t="shared" si="75"/>
        <v/>
      </c>
      <c r="J1164" s="2"/>
      <c r="K1164" s="2"/>
    </row>
    <row r="1165" spans="5:11">
      <c r="E1165" t="str">
        <f t="shared" si="72"/>
        <v/>
      </c>
      <c r="F1165" t="str">
        <f t="shared" si="73"/>
        <v/>
      </c>
      <c r="H1165" t="str">
        <f t="shared" si="74"/>
        <v/>
      </c>
      <c r="I1165" s="5" t="str">
        <f t="shared" si="75"/>
        <v/>
      </c>
      <c r="J1165" s="2"/>
      <c r="K1165" s="2"/>
    </row>
    <row r="1166" spans="5:11">
      <c r="E1166" t="str">
        <f t="shared" si="72"/>
        <v/>
      </c>
      <c r="F1166" t="str">
        <f t="shared" si="73"/>
        <v/>
      </c>
      <c r="H1166" t="str">
        <f t="shared" si="74"/>
        <v/>
      </c>
      <c r="I1166" s="5" t="str">
        <f t="shared" si="75"/>
        <v/>
      </c>
      <c r="J1166" s="2"/>
      <c r="K1166" s="2"/>
    </row>
    <row r="1167" spans="5:11">
      <c r="E1167" t="str">
        <f t="shared" si="72"/>
        <v/>
      </c>
      <c r="F1167" t="str">
        <f t="shared" si="73"/>
        <v/>
      </c>
      <c r="H1167" t="str">
        <f t="shared" si="74"/>
        <v/>
      </c>
      <c r="I1167" s="5" t="str">
        <f t="shared" si="75"/>
        <v/>
      </c>
      <c r="J1167" s="2"/>
      <c r="K1167" s="2"/>
    </row>
    <row r="1168" spans="5:11">
      <c r="E1168" t="str">
        <f t="shared" si="72"/>
        <v/>
      </c>
      <c r="F1168" t="str">
        <f t="shared" si="73"/>
        <v/>
      </c>
      <c r="H1168" t="str">
        <f t="shared" si="74"/>
        <v/>
      </c>
      <c r="I1168" s="5" t="str">
        <f t="shared" si="75"/>
        <v/>
      </c>
      <c r="J1168" s="2"/>
      <c r="K1168" s="2"/>
    </row>
    <row r="1169" spans="5:11">
      <c r="E1169" t="str">
        <f t="shared" si="72"/>
        <v/>
      </c>
      <c r="F1169" t="str">
        <f t="shared" si="73"/>
        <v/>
      </c>
      <c r="H1169" t="str">
        <f t="shared" si="74"/>
        <v/>
      </c>
      <c r="I1169" s="5" t="str">
        <f t="shared" si="75"/>
        <v/>
      </c>
      <c r="J1169" s="2"/>
      <c r="K1169" s="2"/>
    </row>
    <row r="1170" spans="5:11">
      <c r="E1170" t="str">
        <f t="shared" si="72"/>
        <v/>
      </c>
      <c r="F1170" t="str">
        <f t="shared" si="73"/>
        <v/>
      </c>
      <c r="H1170" t="str">
        <f t="shared" si="74"/>
        <v/>
      </c>
      <c r="I1170" s="5" t="str">
        <f t="shared" si="75"/>
        <v/>
      </c>
      <c r="J1170" s="2"/>
      <c r="K1170" s="2"/>
    </row>
    <row r="1171" spans="5:11">
      <c r="E1171" t="str">
        <f t="shared" si="72"/>
        <v/>
      </c>
      <c r="F1171" t="str">
        <f t="shared" si="73"/>
        <v/>
      </c>
      <c r="H1171" t="str">
        <f t="shared" si="74"/>
        <v/>
      </c>
      <c r="I1171" s="5" t="str">
        <f t="shared" si="75"/>
        <v/>
      </c>
      <c r="J1171" s="2"/>
      <c r="K1171" s="2"/>
    </row>
    <row r="1172" spans="5:11">
      <c r="E1172" t="str">
        <f t="shared" si="72"/>
        <v/>
      </c>
      <c r="F1172" t="str">
        <f t="shared" si="73"/>
        <v/>
      </c>
      <c r="H1172" t="str">
        <f t="shared" si="74"/>
        <v/>
      </c>
      <c r="I1172" s="5" t="str">
        <f t="shared" si="75"/>
        <v/>
      </c>
      <c r="J1172" s="2"/>
      <c r="K1172" s="2"/>
    </row>
    <row r="1173" spans="5:11">
      <c r="E1173" t="str">
        <f t="shared" si="72"/>
        <v/>
      </c>
      <c r="F1173" t="str">
        <f t="shared" si="73"/>
        <v/>
      </c>
      <c r="H1173" t="str">
        <f t="shared" si="74"/>
        <v/>
      </c>
      <c r="I1173" s="5" t="str">
        <f t="shared" si="75"/>
        <v/>
      </c>
      <c r="J1173" s="2"/>
      <c r="K1173" s="2"/>
    </row>
    <row r="1174" spans="5:11">
      <c r="E1174" t="str">
        <f t="shared" si="72"/>
        <v/>
      </c>
      <c r="F1174" t="str">
        <f t="shared" si="73"/>
        <v/>
      </c>
      <c r="H1174" t="str">
        <f t="shared" si="74"/>
        <v/>
      </c>
      <c r="I1174" s="5" t="str">
        <f t="shared" si="75"/>
        <v/>
      </c>
      <c r="J1174" s="2"/>
      <c r="K1174" s="2"/>
    </row>
    <row r="1175" spans="5:11">
      <c r="E1175" t="str">
        <f t="shared" si="72"/>
        <v/>
      </c>
      <c r="F1175" t="str">
        <f t="shared" si="73"/>
        <v/>
      </c>
      <c r="H1175" t="str">
        <f t="shared" si="74"/>
        <v/>
      </c>
      <c r="I1175" s="5" t="str">
        <f t="shared" si="75"/>
        <v/>
      </c>
      <c r="J1175" s="2"/>
      <c r="K1175" s="2"/>
    </row>
    <row r="1176" spans="5:11">
      <c r="E1176" t="str">
        <f t="shared" si="72"/>
        <v/>
      </c>
      <c r="F1176" t="str">
        <f t="shared" si="73"/>
        <v/>
      </c>
      <c r="H1176" t="str">
        <f t="shared" si="74"/>
        <v/>
      </c>
      <c r="I1176" s="5" t="str">
        <f t="shared" si="75"/>
        <v/>
      </c>
      <c r="J1176" s="2"/>
      <c r="K1176" s="2"/>
    </row>
    <row r="1177" spans="5:11">
      <c r="E1177" t="str">
        <f t="shared" si="72"/>
        <v/>
      </c>
      <c r="F1177" t="str">
        <f t="shared" si="73"/>
        <v/>
      </c>
      <c r="H1177" t="str">
        <f t="shared" si="74"/>
        <v/>
      </c>
      <c r="I1177" s="5" t="str">
        <f t="shared" si="75"/>
        <v/>
      </c>
      <c r="J1177" s="2"/>
      <c r="K1177" s="2"/>
    </row>
    <row r="1178" spans="5:11">
      <c r="E1178" t="str">
        <f t="shared" si="72"/>
        <v/>
      </c>
      <c r="F1178" t="str">
        <f t="shared" si="73"/>
        <v/>
      </c>
      <c r="H1178" t="str">
        <f t="shared" si="74"/>
        <v/>
      </c>
      <c r="I1178" s="5" t="str">
        <f t="shared" si="75"/>
        <v/>
      </c>
      <c r="J1178" s="2"/>
      <c r="K1178" s="2"/>
    </row>
    <row r="1179" spans="5:11">
      <c r="E1179" t="str">
        <f t="shared" si="72"/>
        <v/>
      </c>
      <c r="F1179" t="str">
        <f t="shared" si="73"/>
        <v/>
      </c>
      <c r="H1179" t="str">
        <f t="shared" si="74"/>
        <v/>
      </c>
      <c r="I1179" s="5" t="str">
        <f t="shared" si="75"/>
        <v/>
      </c>
      <c r="J1179" s="2"/>
      <c r="K1179" s="2"/>
    </row>
    <row r="1180" spans="5:11">
      <c r="E1180" t="str">
        <f t="shared" si="72"/>
        <v/>
      </c>
      <c r="F1180" t="str">
        <f t="shared" si="73"/>
        <v/>
      </c>
      <c r="H1180" t="str">
        <f t="shared" si="74"/>
        <v/>
      </c>
      <c r="I1180" s="5" t="str">
        <f t="shared" si="75"/>
        <v/>
      </c>
      <c r="J1180" s="2"/>
      <c r="K1180" s="2"/>
    </row>
    <row r="1181" spans="5:11">
      <c r="E1181" t="str">
        <f t="shared" si="72"/>
        <v/>
      </c>
      <c r="F1181" t="str">
        <f t="shared" si="73"/>
        <v/>
      </c>
      <c r="H1181" t="str">
        <f t="shared" si="74"/>
        <v/>
      </c>
      <c r="I1181" s="5" t="str">
        <f t="shared" si="75"/>
        <v/>
      </c>
      <c r="J1181" s="2"/>
      <c r="K1181" s="2"/>
    </row>
    <row r="1182" spans="5:11">
      <c r="E1182" t="str">
        <f t="shared" si="72"/>
        <v/>
      </c>
      <c r="F1182" t="str">
        <f t="shared" si="73"/>
        <v/>
      </c>
      <c r="H1182" t="str">
        <f t="shared" si="74"/>
        <v/>
      </c>
      <c r="I1182" s="5" t="str">
        <f t="shared" si="75"/>
        <v/>
      </c>
      <c r="J1182" s="2"/>
      <c r="K1182" s="2"/>
    </row>
    <row r="1183" spans="5:11">
      <c r="E1183" t="str">
        <f t="shared" si="72"/>
        <v/>
      </c>
      <c r="F1183" t="str">
        <f t="shared" si="73"/>
        <v/>
      </c>
      <c r="H1183" t="str">
        <f t="shared" si="74"/>
        <v/>
      </c>
      <c r="I1183" s="5" t="str">
        <f t="shared" si="75"/>
        <v/>
      </c>
      <c r="J1183" s="2"/>
      <c r="K1183" s="2"/>
    </row>
    <row r="1184" spans="5:11">
      <c r="E1184" t="str">
        <f t="shared" si="72"/>
        <v/>
      </c>
      <c r="F1184" t="str">
        <f t="shared" si="73"/>
        <v/>
      </c>
      <c r="H1184" t="str">
        <f t="shared" si="74"/>
        <v/>
      </c>
      <c r="I1184" s="5" t="str">
        <f t="shared" si="75"/>
        <v/>
      </c>
      <c r="J1184" s="2"/>
      <c r="K1184" s="2"/>
    </row>
    <row r="1185" spans="5:11">
      <c r="E1185" t="str">
        <f t="shared" si="72"/>
        <v/>
      </c>
      <c r="F1185" t="str">
        <f t="shared" si="73"/>
        <v/>
      </c>
      <c r="H1185" t="str">
        <f t="shared" si="74"/>
        <v/>
      </c>
      <c r="I1185" s="5" t="str">
        <f t="shared" si="75"/>
        <v/>
      </c>
      <c r="J1185" s="2"/>
      <c r="K1185" s="2"/>
    </row>
    <row r="1186" spans="5:11">
      <c r="E1186" t="str">
        <f t="shared" si="72"/>
        <v/>
      </c>
      <c r="F1186" t="str">
        <f t="shared" si="73"/>
        <v/>
      </c>
      <c r="H1186" t="str">
        <f t="shared" si="74"/>
        <v/>
      </c>
      <c r="I1186" s="5" t="str">
        <f t="shared" si="75"/>
        <v/>
      </c>
      <c r="J1186" s="2"/>
      <c r="K1186" s="2"/>
    </row>
    <row r="1187" spans="5:11">
      <c r="E1187" t="str">
        <f t="shared" si="72"/>
        <v/>
      </c>
      <c r="F1187" t="str">
        <f t="shared" si="73"/>
        <v/>
      </c>
      <c r="H1187" t="str">
        <f t="shared" si="74"/>
        <v/>
      </c>
      <c r="I1187" s="5" t="str">
        <f t="shared" si="75"/>
        <v/>
      </c>
      <c r="J1187" s="2"/>
      <c r="K1187" s="2"/>
    </row>
    <row r="1188" spans="5:11">
      <c r="E1188" t="str">
        <f t="shared" si="72"/>
        <v/>
      </c>
      <c r="F1188" t="str">
        <f t="shared" si="73"/>
        <v/>
      </c>
      <c r="H1188" t="str">
        <f t="shared" si="74"/>
        <v/>
      </c>
      <c r="I1188" s="5" t="str">
        <f t="shared" si="75"/>
        <v/>
      </c>
      <c r="J1188" s="2"/>
      <c r="K1188" s="2"/>
    </row>
    <row r="1189" spans="5:11">
      <c r="E1189" t="str">
        <f t="shared" si="72"/>
        <v/>
      </c>
      <c r="F1189" t="str">
        <f t="shared" si="73"/>
        <v/>
      </c>
      <c r="H1189" t="str">
        <f t="shared" si="74"/>
        <v/>
      </c>
      <c r="I1189" s="5" t="str">
        <f t="shared" si="75"/>
        <v/>
      </c>
      <c r="J1189" s="2"/>
      <c r="K1189" s="2"/>
    </row>
    <row r="1190" spans="5:11">
      <c r="E1190" t="str">
        <f t="shared" si="72"/>
        <v/>
      </c>
      <c r="F1190" t="str">
        <f t="shared" si="73"/>
        <v/>
      </c>
      <c r="H1190" t="str">
        <f t="shared" si="74"/>
        <v/>
      </c>
      <c r="I1190" s="5" t="str">
        <f t="shared" si="75"/>
        <v/>
      </c>
      <c r="J1190" s="2"/>
      <c r="K1190" s="2"/>
    </row>
    <row r="1191" spans="5:11">
      <c r="E1191" t="str">
        <f t="shared" si="72"/>
        <v/>
      </c>
      <c r="F1191" t="str">
        <f t="shared" si="73"/>
        <v/>
      </c>
      <c r="H1191" t="str">
        <f t="shared" si="74"/>
        <v/>
      </c>
      <c r="I1191" s="5" t="str">
        <f t="shared" si="75"/>
        <v/>
      </c>
      <c r="J1191" s="2"/>
      <c r="K1191" s="2"/>
    </row>
    <row r="1192" spans="5:11">
      <c r="E1192" t="str">
        <f t="shared" si="72"/>
        <v/>
      </c>
      <c r="F1192" t="str">
        <f t="shared" si="73"/>
        <v/>
      </c>
      <c r="H1192" t="str">
        <f t="shared" si="74"/>
        <v/>
      </c>
      <c r="I1192" s="5" t="str">
        <f t="shared" si="75"/>
        <v/>
      </c>
      <c r="J1192" s="2"/>
      <c r="K1192" s="2"/>
    </row>
    <row r="1193" spans="5:11">
      <c r="E1193" t="str">
        <f t="shared" si="72"/>
        <v/>
      </c>
      <c r="F1193" t="str">
        <f t="shared" si="73"/>
        <v/>
      </c>
      <c r="H1193" t="str">
        <f t="shared" si="74"/>
        <v/>
      </c>
      <c r="I1193" s="5" t="str">
        <f t="shared" si="75"/>
        <v/>
      </c>
      <c r="J1193" s="2"/>
      <c r="K1193" s="2"/>
    </row>
    <row r="1194" spans="5:11">
      <c r="E1194" t="str">
        <f t="shared" si="72"/>
        <v/>
      </c>
      <c r="F1194" t="str">
        <f t="shared" si="73"/>
        <v/>
      </c>
      <c r="H1194" t="str">
        <f t="shared" si="74"/>
        <v/>
      </c>
      <c r="I1194" s="5" t="str">
        <f t="shared" si="75"/>
        <v/>
      </c>
      <c r="J1194" s="2"/>
      <c r="K1194" s="2"/>
    </row>
    <row r="1195" spans="5:11">
      <c r="E1195" t="str">
        <f t="shared" si="72"/>
        <v/>
      </c>
      <c r="F1195" t="str">
        <f t="shared" si="73"/>
        <v/>
      </c>
      <c r="H1195" t="str">
        <f t="shared" si="74"/>
        <v/>
      </c>
      <c r="I1195" s="5" t="str">
        <f t="shared" si="75"/>
        <v/>
      </c>
      <c r="J1195" s="2"/>
      <c r="K1195" s="2"/>
    </row>
    <row r="1196" spans="5:11">
      <c r="E1196" t="str">
        <f t="shared" si="72"/>
        <v/>
      </c>
      <c r="F1196" t="str">
        <f t="shared" si="73"/>
        <v/>
      </c>
      <c r="H1196" t="str">
        <f t="shared" si="74"/>
        <v/>
      </c>
      <c r="I1196" s="5" t="str">
        <f t="shared" si="75"/>
        <v/>
      </c>
      <c r="J1196" s="2"/>
      <c r="K1196" s="2"/>
    </row>
    <row r="1197" spans="5:11">
      <c r="E1197" t="str">
        <f t="shared" si="72"/>
        <v/>
      </c>
      <c r="F1197" t="str">
        <f t="shared" si="73"/>
        <v/>
      </c>
      <c r="H1197" t="str">
        <f t="shared" si="74"/>
        <v/>
      </c>
      <c r="I1197" s="5" t="str">
        <f t="shared" si="75"/>
        <v/>
      </c>
      <c r="J1197" s="2"/>
      <c r="K1197" s="2"/>
    </row>
    <row r="1198" spans="5:11">
      <c r="E1198" t="str">
        <f t="shared" si="72"/>
        <v/>
      </c>
      <c r="F1198" t="str">
        <f t="shared" si="73"/>
        <v/>
      </c>
      <c r="H1198" t="str">
        <f t="shared" si="74"/>
        <v/>
      </c>
      <c r="I1198" s="5" t="str">
        <f t="shared" si="75"/>
        <v/>
      </c>
      <c r="J1198" s="2"/>
      <c r="K1198" s="2"/>
    </row>
    <row r="1199" spans="5:11">
      <c r="E1199" t="str">
        <f t="shared" si="72"/>
        <v/>
      </c>
      <c r="F1199" t="str">
        <f t="shared" si="73"/>
        <v/>
      </c>
      <c r="H1199" t="str">
        <f t="shared" si="74"/>
        <v/>
      </c>
      <c r="I1199" s="5" t="str">
        <f t="shared" si="75"/>
        <v/>
      </c>
      <c r="J1199" s="2"/>
      <c r="K1199" s="2"/>
    </row>
    <row r="1200" spans="5:11">
      <c r="E1200" t="str">
        <f t="shared" si="72"/>
        <v/>
      </c>
      <c r="F1200" t="str">
        <f t="shared" si="73"/>
        <v/>
      </c>
      <c r="H1200" t="str">
        <f t="shared" si="74"/>
        <v/>
      </c>
      <c r="I1200" s="5" t="str">
        <f t="shared" si="75"/>
        <v/>
      </c>
      <c r="J1200" s="2"/>
      <c r="K1200" s="2"/>
    </row>
    <row r="1201" spans="5:11">
      <c r="E1201" t="str">
        <f t="shared" si="72"/>
        <v/>
      </c>
      <c r="F1201" t="str">
        <f t="shared" si="73"/>
        <v/>
      </c>
      <c r="H1201" t="str">
        <f t="shared" si="74"/>
        <v/>
      </c>
      <c r="I1201" s="5" t="str">
        <f t="shared" si="75"/>
        <v/>
      </c>
      <c r="J1201" s="2"/>
      <c r="K1201" s="2"/>
    </row>
    <row r="1202" spans="5:11">
      <c r="E1202" t="str">
        <f t="shared" si="72"/>
        <v/>
      </c>
      <c r="F1202" t="str">
        <f t="shared" si="73"/>
        <v/>
      </c>
      <c r="H1202" t="str">
        <f t="shared" si="74"/>
        <v/>
      </c>
      <c r="I1202" s="5" t="str">
        <f t="shared" si="75"/>
        <v/>
      </c>
      <c r="J1202" s="2"/>
      <c r="K1202" s="2"/>
    </row>
    <row r="1203" spans="5:11">
      <c r="E1203" t="str">
        <f t="shared" si="72"/>
        <v/>
      </c>
      <c r="F1203" t="str">
        <f t="shared" si="73"/>
        <v/>
      </c>
      <c r="H1203" t="str">
        <f t="shared" si="74"/>
        <v/>
      </c>
      <c r="I1203" s="5" t="str">
        <f t="shared" si="75"/>
        <v/>
      </c>
      <c r="J1203" s="2"/>
      <c r="K1203" s="2"/>
    </row>
    <row r="1204" spans="5:11">
      <c r="E1204" t="str">
        <f t="shared" si="72"/>
        <v/>
      </c>
      <c r="F1204" t="str">
        <f t="shared" si="73"/>
        <v/>
      </c>
      <c r="H1204" t="str">
        <f t="shared" si="74"/>
        <v/>
      </c>
      <c r="I1204" s="5" t="str">
        <f t="shared" si="75"/>
        <v/>
      </c>
      <c r="J1204" s="2"/>
      <c r="K1204" s="2"/>
    </row>
    <row r="1205" spans="5:11">
      <c r="E1205" t="str">
        <f t="shared" si="72"/>
        <v/>
      </c>
      <c r="F1205" t="str">
        <f t="shared" si="73"/>
        <v/>
      </c>
      <c r="H1205" t="str">
        <f t="shared" si="74"/>
        <v/>
      </c>
      <c r="I1205" s="5" t="str">
        <f t="shared" si="75"/>
        <v/>
      </c>
      <c r="J1205" s="2"/>
      <c r="K1205" s="2"/>
    </row>
    <row r="1206" spans="5:11">
      <c r="E1206" t="str">
        <f t="shared" si="72"/>
        <v/>
      </c>
      <c r="F1206" t="str">
        <f t="shared" si="73"/>
        <v/>
      </c>
      <c r="H1206" t="str">
        <f t="shared" si="74"/>
        <v/>
      </c>
      <c r="I1206" s="5" t="str">
        <f t="shared" si="75"/>
        <v/>
      </c>
      <c r="J1206" s="2"/>
      <c r="K1206" s="2"/>
    </row>
    <row r="1207" spans="5:11">
      <c r="E1207" t="str">
        <f t="shared" si="72"/>
        <v/>
      </c>
      <c r="F1207" t="str">
        <f t="shared" si="73"/>
        <v/>
      </c>
      <c r="H1207" t="str">
        <f t="shared" si="74"/>
        <v/>
      </c>
      <c r="I1207" s="5" t="str">
        <f t="shared" si="75"/>
        <v/>
      </c>
      <c r="J1207" s="2"/>
      <c r="K1207" s="2"/>
    </row>
    <row r="1208" spans="5:11">
      <c r="E1208" t="str">
        <f t="shared" si="72"/>
        <v/>
      </c>
      <c r="F1208" t="str">
        <f t="shared" si="73"/>
        <v/>
      </c>
      <c r="H1208" t="str">
        <f t="shared" si="74"/>
        <v/>
      </c>
      <c r="I1208" s="5" t="str">
        <f t="shared" si="75"/>
        <v/>
      </c>
      <c r="J1208" s="2"/>
      <c r="K1208" s="2"/>
    </row>
    <row r="1209" spans="5:11">
      <c r="E1209" t="str">
        <f t="shared" si="72"/>
        <v/>
      </c>
      <c r="F1209" t="str">
        <f t="shared" si="73"/>
        <v/>
      </c>
      <c r="H1209" t="str">
        <f t="shared" si="74"/>
        <v/>
      </c>
      <c r="I1209" s="5" t="str">
        <f t="shared" si="75"/>
        <v/>
      </c>
      <c r="J1209" s="2"/>
      <c r="K1209" s="2"/>
    </row>
    <row r="1210" spans="5:11">
      <c r="E1210" t="str">
        <f t="shared" si="72"/>
        <v/>
      </c>
      <c r="F1210" t="str">
        <f t="shared" si="73"/>
        <v/>
      </c>
      <c r="H1210" t="str">
        <f t="shared" si="74"/>
        <v/>
      </c>
      <c r="I1210" s="5" t="str">
        <f t="shared" si="75"/>
        <v/>
      </c>
      <c r="J1210" s="2"/>
      <c r="K1210" s="2"/>
    </row>
    <row r="1211" spans="5:11">
      <c r="E1211" t="str">
        <f t="shared" si="72"/>
        <v/>
      </c>
      <c r="F1211" t="str">
        <f t="shared" si="73"/>
        <v/>
      </c>
      <c r="H1211" t="str">
        <f t="shared" si="74"/>
        <v/>
      </c>
      <c r="I1211" s="5" t="str">
        <f t="shared" si="75"/>
        <v/>
      </c>
      <c r="J1211" s="2"/>
      <c r="K1211" s="2"/>
    </row>
    <row r="1212" spans="5:11">
      <c r="E1212" t="str">
        <f t="shared" si="72"/>
        <v/>
      </c>
      <c r="F1212" t="str">
        <f t="shared" si="73"/>
        <v/>
      </c>
      <c r="H1212" t="str">
        <f t="shared" si="74"/>
        <v/>
      </c>
      <c r="I1212" s="5" t="str">
        <f t="shared" si="75"/>
        <v/>
      </c>
      <c r="J1212" s="2"/>
      <c r="K1212" s="2"/>
    </row>
    <row r="1213" spans="5:11">
      <c r="E1213" t="str">
        <f t="shared" si="72"/>
        <v/>
      </c>
      <c r="F1213" t="str">
        <f t="shared" si="73"/>
        <v/>
      </c>
      <c r="H1213" t="str">
        <f t="shared" si="74"/>
        <v/>
      </c>
      <c r="I1213" s="5" t="str">
        <f t="shared" si="75"/>
        <v/>
      </c>
      <c r="J1213" s="2"/>
      <c r="K1213" s="2"/>
    </row>
    <row r="1214" spans="5:11">
      <c r="E1214" t="str">
        <f t="shared" si="72"/>
        <v/>
      </c>
      <c r="F1214" t="str">
        <f t="shared" si="73"/>
        <v/>
      </c>
      <c r="H1214" t="str">
        <f t="shared" si="74"/>
        <v/>
      </c>
      <c r="I1214" s="5" t="str">
        <f t="shared" si="75"/>
        <v/>
      </c>
      <c r="J1214" s="2"/>
      <c r="K1214" s="2"/>
    </row>
    <row r="1215" spans="5:11">
      <c r="E1215" t="str">
        <f t="shared" si="72"/>
        <v/>
      </c>
      <c r="F1215" t="str">
        <f t="shared" si="73"/>
        <v/>
      </c>
      <c r="H1215" t="str">
        <f t="shared" si="74"/>
        <v/>
      </c>
      <c r="I1215" s="5" t="str">
        <f t="shared" si="75"/>
        <v/>
      </c>
      <c r="J1215" s="2"/>
      <c r="K1215" s="2"/>
    </row>
    <row r="1216" spans="5:11">
      <c r="E1216" t="str">
        <f t="shared" si="72"/>
        <v/>
      </c>
      <c r="F1216" t="str">
        <f t="shared" si="73"/>
        <v/>
      </c>
      <c r="H1216" t="str">
        <f t="shared" si="74"/>
        <v/>
      </c>
      <c r="I1216" s="5" t="str">
        <f t="shared" si="75"/>
        <v/>
      </c>
      <c r="J1216" s="2"/>
      <c r="K1216" s="2"/>
    </row>
    <row r="1217" spans="5:11">
      <c r="E1217" t="str">
        <f t="shared" si="72"/>
        <v/>
      </c>
      <c r="F1217" t="str">
        <f t="shared" si="73"/>
        <v/>
      </c>
      <c r="H1217" t="str">
        <f t="shared" si="74"/>
        <v/>
      </c>
      <c r="I1217" s="5" t="str">
        <f t="shared" si="75"/>
        <v/>
      </c>
      <c r="J1217" s="2"/>
      <c r="K1217" s="2"/>
    </row>
    <row r="1218" spans="5:11">
      <c r="E1218" t="str">
        <f t="shared" si="72"/>
        <v/>
      </c>
      <c r="F1218" t="str">
        <f t="shared" si="73"/>
        <v/>
      </c>
      <c r="H1218" t="str">
        <f t="shared" si="74"/>
        <v/>
      </c>
      <c r="I1218" s="5" t="str">
        <f t="shared" si="75"/>
        <v/>
      </c>
      <c r="J1218" s="2"/>
      <c r="K1218" s="2"/>
    </row>
    <row r="1219" spans="5:11">
      <c r="E1219" t="str">
        <f t="shared" si="72"/>
        <v/>
      </c>
      <c r="F1219" t="str">
        <f t="shared" si="73"/>
        <v/>
      </c>
      <c r="H1219" t="str">
        <f t="shared" si="74"/>
        <v/>
      </c>
      <c r="I1219" s="5" t="str">
        <f t="shared" si="75"/>
        <v/>
      </c>
      <c r="J1219" s="2"/>
      <c r="K1219" s="2"/>
    </row>
    <row r="1220" spans="5:11">
      <c r="E1220" t="str">
        <f t="shared" si="72"/>
        <v/>
      </c>
      <c r="F1220" t="str">
        <f t="shared" si="73"/>
        <v/>
      </c>
      <c r="H1220" t="str">
        <f t="shared" si="74"/>
        <v/>
      </c>
      <c r="I1220" s="5" t="str">
        <f t="shared" si="75"/>
        <v/>
      </c>
      <c r="J1220" s="2"/>
      <c r="K1220" s="2"/>
    </row>
    <row r="1221" spans="5:11">
      <c r="E1221" t="str">
        <f t="shared" ref="E1221:E1284" si="76">IF(A1221="","",TEXT(A1221,"0")&amp;"-Q"&amp;TEXT(B1221,"0")&amp;"-"&amp;IF(C1221="","ABERTA",C1221))</f>
        <v/>
      </c>
      <c r="F1221" t="str">
        <f t="shared" ref="F1221:F1284" si="77">IF(D1221="V/F",1,IF(D1221="Aberta/numérica",5,""))</f>
        <v/>
      </c>
      <c r="H1221" t="str">
        <f t="shared" ref="H1221:H1284" si="78">IF(A1221="","",IF(C1221="",COUNTIFS($A$5:$A$1504,A1221,$B$5:$B$1504,B1221,$C$5:$C$1504,"",$D$5:$D$1504,D1221),COUNTIFS($A$5:$A$1504,A1221,$B$5:$B$1504,B1221,$C$5:$C$1504,C1221,$D$5:$D$1504,D1221)))</f>
        <v/>
      </c>
      <c r="I1221" s="5" t="str">
        <f t="shared" ref="I1221:I1284" si="79">IF(OR(F1221="",H1221="",G1221=""),"",F1221/H1221)</f>
        <v/>
      </c>
      <c r="J1221" s="2"/>
      <c r="K1221" s="2"/>
    </row>
    <row r="1222" spans="5:11">
      <c r="E1222" t="str">
        <f t="shared" si="76"/>
        <v/>
      </c>
      <c r="F1222" t="str">
        <f t="shared" si="77"/>
        <v/>
      </c>
      <c r="H1222" t="str">
        <f t="shared" si="78"/>
        <v/>
      </c>
      <c r="I1222" s="5" t="str">
        <f t="shared" si="79"/>
        <v/>
      </c>
      <c r="J1222" s="2"/>
      <c r="K1222" s="2"/>
    </row>
    <row r="1223" spans="5:11">
      <c r="E1223" t="str">
        <f t="shared" si="76"/>
        <v/>
      </c>
      <c r="F1223" t="str">
        <f t="shared" si="77"/>
        <v/>
      </c>
      <c r="H1223" t="str">
        <f t="shared" si="78"/>
        <v/>
      </c>
      <c r="I1223" s="5" t="str">
        <f t="shared" si="79"/>
        <v/>
      </c>
      <c r="J1223" s="2"/>
      <c r="K1223" s="2"/>
    </row>
    <row r="1224" spans="5:11">
      <c r="E1224" t="str">
        <f t="shared" si="76"/>
        <v/>
      </c>
      <c r="F1224" t="str">
        <f t="shared" si="77"/>
        <v/>
      </c>
      <c r="H1224" t="str">
        <f t="shared" si="78"/>
        <v/>
      </c>
      <c r="I1224" s="5" t="str">
        <f t="shared" si="79"/>
        <v/>
      </c>
      <c r="J1224" s="2"/>
      <c r="K1224" s="2"/>
    </row>
    <row r="1225" spans="5:11">
      <c r="E1225" t="str">
        <f t="shared" si="76"/>
        <v/>
      </c>
      <c r="F1225" t="str">
        <f t="shared" si="77"/>
        <v/>
      </c>
      <c r="H1225" t="str">
        <f t="shared" si="78"/>
        <v/>
      </c>
      <c r="I1225" s="5" t="str">
        <f t="shared" si="79"/>
        <v/>
      </c>
      <c r="J1225" s="2"/>
      <c r="K1225" s="2"/>
    </row>
    <row r="1226" spans="5:11">
      <c r="E1226" t="str">
        <f t="shared" si="76"/>
        <v/>
      </c>
      <c r="F1226" t="str">
        <f t="shared" si="77"/>
        <v/>
      </c>
      <c r="H1226" t="str">
        <f t="shared" si="78"/>
        <v/>
      </c>
      <c r="I1226" s="5" t="str">
        <f t="shared" si="79"/>
        <v/>
      </c>
      <c r="J1226" s="2"/>
      <c r="K1226" s="2"/>
    </row>
    <row r="1227" spans="5:11">
      <c r="E1227" t="str">
        <f t="shared" si="76"/>
        <v/>
      </c>
      <c r="F1227" t="str">
        <f t="shared" si="77"/>
        <v/>
      </c>
      <c r="H1227" t="str">
        <f t="shared" si="78"/>
        <v/>
      </c>
      <c r="I1227" s="5" t="str">
        <f t="shared" si="79"/>
        <v/>
      </c>
      <c r="J1227" s="2"/>
      <c r="K1227" s="2"/>
    </row>
    <row r="1228" spans="5:11">
      <c r="E1228" t="str">
        <f t="shared" si="76"/>
        <v/>
      </c>
      <c r="F1228" t="str">
        <f t="shared" si="77"/>
        <v/>
      </c>
      <c r="H1228" t="str">
        <f t="shared" si="78"/>
        <v/>
      </c>
      <c r="I1228" s="5" t="str">
        <f t="shared" si="79"/>
        <v/>
      </c>
      <c r="J1228" s="2"/>
      <c r="K1228" s="2"/>
    </row>
    <row r="1229" spans="5:11">
      <c r="E1229" t="str">
        <f t="shared" si="76"/>
        <v/>
      </c>
      <c r="F1229" t="str">
        <f t="shared" si="77"/>
        <v/>
      </c>
      <c r="H1229" t="str">
        <f t="shared" si="78"/>
        <v/>
      </c>
      <c r="I1229" s="5" t="str">
        <f t="shared" si="79"/>
        <v/>
      </c>
      <c r="J1229" s="2"/>
      <c r="K1229" s="2"/>
    </row>
    <row r="1230" spans="5:11">
      <c r="E1230" t="str">
        <f t="shared" si="76"/>
        <v/>
      </c>
      <c r="F1230" t="str">
        <f t="shared" si="77"/>
        <v/>
      </c>
      <c r="H1230" t="str">
        <f t="shared" si="78"/>
        <v/>
      </c>
      <c r="I1230" s="5" t="str">
        <f t="shared" si="79"/>
        <v/>
      </c>
      <c r="J1230" s="2"/>
      <c r="K1230" s="2"/>
    </row>
    <row r="1231" spans="5:11">
      <c r="E1231" t="str">
        <f t="shared" si="76"/>
        <v/>
      </c>
      <c r="F1231" t="str">
        <f t="shared" si="77"/>
        <v/>
      </c>
      <c r="H1231" t="str">
        <f t="shared" si="78"/>
        <v/>
      </c>
      <c r="I1231" s="5" t="str">
        <f t="shared" si="79"/>
        <v/>
      </c>
      <c r="J1231" s="2"/>
      <c r="K1231" s="2"/>
    </row>
    <row r="1232" spans="5:11">
      <c r="E1232" t="str">
        <f t="shared" si="76"/>
        <v/>
      </c>
      <c r="F1232" t="str">
        <f t="shared" si="77"/>
        <v/>
      </c>
      <c r="H1232" t="str">
        <f t="shared" si="78"/>
        <v/>
      </c>
      <c r="I1232" s="5" t="str">
        <f t="shared" si="79"/>
        <v/>
      </c>
      <c r="J1232" s="2"/>
      <c r="K1232" s="2"/>
    </row>
    <row r="1233" spans="5:11">
      <c r="E1233" t="str">
        <f t="shared" si="76"/>
        <v/>
      </c>
      <c r="F1233" t="str">
        <f t="shared" si="77"/>
        <v/>
      </c>
      <c r="H1233" t="str">
        <f t="shared" si="78"/>
        <v/>
      </c>
      <c r="I1233" s="5" t="str">
        <f t="shared" si="79"/>
        <v/>
      </c>
      <c r="J1233" s="2"/>
      <c r="K1233" s="2"/>
    </row>
    <row r="1234" spans="5:11">
      <c r="E1234" t="str">
        <f t="shared" si="76"/>
        <v/>
      </c>
      <c r="F1234" t="str">
        <f t="shared" si="77"/>
        <v/>
      </c>
      <c r="H1234" t="str">
        <f t="shared" si="78"/>
        <v/>
      </c>
      <c r="I1234" s="5" t="str">
        <f t="shared" si="79"/>
        <v/>
      </c>
      <c r="J1234" s="2"/>
      <c r="K1234" s="2"/>
    </row>
    <row r="1235" spans="5:11">
      <c r="E1235" t="str">
        <f t="shared" si="76"/>
        <v/>
      </c>
      <c r="F1235" t="str">
        <f t="shared" si="77"/>
        <v/>
      </c>
      <c r="H1235" t="str">
        <f t="shared" si="78"/>
        <v/>
      </c>
      <c r="I1235" s="5" t="str">
        <f t="shared" si="79"/>
        <v/>
      </c>
      <c r="J1235" s="2"/>
      <c r="K1235" s="2"/>
    </row>
    <row r="1236" spans="5:11">
      <c r="E1236" t="str">
        <f t="shared" si="76"/>
        <v/>
      </c>
      <c r="F1236" t="str">
        <f t="shared" si="77"/>
        <v/>
      </c>
      <c r="H1236" t="str">
        <f t="shared" si="78"/>
        <v/>
      </c>
      <c r="I1236" s="5" t="str">
        <f t="shared" si="79"/>
        <v/>
      </c>
      <c r="J1236" s="2"/>
      <c r="K1236" s="2"/>
    </row>
    <row r="1237" spans="5:11">
      <c r="E1237" t="str">
        <f t="shared" si="76"/>
        <v/>
      </c>
      <c r="F1237" t="str">
        <f t="shared" si="77"/>
        <v/>
      </c>
      <c r="H1237" t="str">
        <f t="shared" si="78"/>
        <v/>
      </c>
      <c r="I1237" s="5" t="str">
        <f t="shared" si="79"/>
        <v/>
      </c>
      <c r="J1237" s="2"/>
      <c r="K1237" s="2"/>
    </row>
    <row r="1238" spans="5:11">
      <c r="E1238" t="str">
        <f t="shared" si="76"/>
        <v/>
      </c>
      <c r="F1238" t="str">
        <f t="shared" si="77"/>
        <v/>
      </c>
      <c r="H1238" t="str">
        <f t="shared" si="78"/>
        <v/>
      </c>
      <c r="I1238" s="5" t="str">
        <f t="shared" si="79"/>
        <v/>
      </c>
      <c r="J1238" s="2"/>
      <c r="K1238" s="2"/>
    </row>
    <row r="1239" spans="5:11">
      <c r="E1239" t="str">
        <f t="shared" si="76"/>
        <v/>
      </c>
      <c r="F1239" t="str">
        <f t="shared" si="77"/>
        <v/>
      </c>
      <c r="H1239" t="str">
        <f t="shared" si="78"/>
        <v/>
      </c>
      <c r="I1239" s="5" t="str">
        <f t="shared" si="79"/>
        <v/>
      </c>
      <c r="J1239" s="2"/>
      <c r="K1239" s="2"/>
    </row>
    <row r="1240" spans="5:11">
      <c r="E1240" t="str">
        <f t="shared" si="76"/>
        <v/>
      </c>
      <c r="F1240" t="str">
        <f t="shared" si="77"/>
        <v/>
      </c>
      <c r="H1240" t="str">
        <f t="shared" si="78"/>
        <v/>
      </c>
      <c r="I1240" s="5" t="str">
        <f t="shared" si="79"/>
        <v/>
      </c>
      <c r="J1240" s="2"/>
      <c r="K1240" s="2"/>
    </row>
    <row r="1241" spans="5:11">
      <c r="E1241" t="str">
        <f t="shared" si="76"/>
        <v/>
      </c>
      <c r="F1241" t="str">
        <f t="shared" si="77"/>
        <v/>
      </c>
      <c r="H1241" t="str">
        <f t="shared" si="78"/>
        <v/>
      </c>
      <c r="I1241" s="5" t="str">
        <f t="shared" si="79"/>
        <v/>
      </c>
      <c r="J1241" s="2"/>
      <c r="K1241" s="2"/>
    </row>
    <row r="1242" spans="5:11">
      <c r="E1242" t="str">
        <f t="shared" si="76"/>
        <v/>
      </c>
      <c r="F1242" t="str">
        <f t="shared" si="77"/>
        <v/>
      </c>
      <c r="H1242" t="str">
        <f t="shared" si="78"/>
        <v/>
      </c>
      <c r="I1242" s="5" t="str">
        <f t="shared" si="79"/>
        <v/>
      </c>
      <c r="J1242" s="2"/>
      <c r="K1242" s="2"/>
    </row>
    <row r="1243" spans="5:11">
      <c r="E1243" t="str">
        <f t="shared" si="76"/>
        <v/>
      </c>
      <c r="F1243" t="str">
        <f t="shared" si="77"/>
        <v/>
      </c>
      <c r="H1243" t="str">
        <f t="shared" si="78"/>
        <v/>
      </c>
      <c r="I1243" s="5" t="str">
        <f t="shared" si="79"/>
        <v/>
      </c>
      <c r="J1243" s="2"/>
      <c r="K1243" s="2"/>
    </row>
    <row r="1244" spans="5:11">
      <c r="E1244" t="str">
        <f t="shared" si="76"/>
        <v/>
      </c>
      <c r="F1244" t="str">
        <f t="shared" si="77"/>
        <v/>
      </c>
      <c r="H1244" t="str">
        <f t="shared" si="78"/>
        <v/>
      </c>
      <c r="I1244" s="5" t="str">
        <f t="shared" si="79"/>
        <v/>
      </c>
      <c r="J1244" s="2"/>
      <c r="K1244" s="2"/>
    </row>
    <row r="1245" spans="5:11">
      <c r="E1245" t="str">
        <f t="shared" si="76"/>
        <v/>
      </c>
      <c r="F1245" t="str">
        <f t="shared" si="77"/>
        <v/>
      </c>
      <c r="H1245" t="str">
        <f t="shared" si="78"/>
        <v/>
      </c>
      <c r="I1245" s="5" t="str">
        <f t="shared" si="79"/>
        <v/>
      </c>
      <c r="J1245" s="2"/>
      <c r="K1245" s="2"/>
    </row>
    <row r="1246" spans="5:11">
      <c r="E1246" t="str">
        <f t="shared" si="76"/>
        <v/>
      </c>
      <c r="F1246" t="str">
        <f t="shared" si="77"/>
        <v/>
      </c>
      <c r="H1246" t="str">
        <f t="shared" si="78"/>
        <v/>
      </c>
      <c r="I1246" s="5" t="str">
        <f t="shared" si="79"/>
        <v/>
      </c>
      <c r="J1246" s="2"/>
      <c r="K1246" s="2"/>
    </row>
    <row r="1247" spans="5:11">
      <c r="E1247" t="str">
        <f t="shared" si="76"/>
        <v/>
      </c>
      <c r="F1247" t="str">
        <f t="shared" si="77"/>
        <v/>
      </c>
      <c r="H1247" t="str">
        <f t="shared" si="78"/>
        <v/>
      </c>
      <c r="I1247" s="5" t="str">
        <f t="shared" si="79"/>
        <v/>
      </c>
      <c r="J1247" s="2"/>
      <c r="K1247" s="2"/>
    </row>
    <row r="1248" spans="5:11">
      <c r="E1248" t="str">
        <f t="shared" si="76"/>
        <v/>
      </c>
      <c r="F1248" t="str">
        <f t="shared" si="77"/>
        <v/>
      </c>
      <c r="H1248" t="str">
        <f t="shared" si="78"/>
        <v/>
      </c>
      <c r="I1248" s="5" t="str">
        <f t="shared" si="79"/>
        <v/>
      </c>
      <c r="J1248" s="2"/>
      <c r="K1248" s="2"/>
    </row>
    <row r="1249" spans="5:11">
      <c r="E1249" t="str">
        <f t="shared" si="76"/>
        <v/>
      </c>
      <c r="F1249" t="str">
        <f t="shared" si="77"/>
        <v/>
      </c>
      <c r="H1249" t="str">
        <f t="shared" si="78"/>
        <v/>
      </c>
      <c r="I1249" s="5" t="str">
        <f t="shared" si="79"/>
        <v/>
      </c>
      <c r="J1249" s="2"/>
      <c r="K1249" s="2"/>
    </row>
    <row r="1250" spans="5:11">
      <c r="E1250" t="str">
        <f t="shared" si="76"/>
        <v/>
      </c>
      <c r="F1250" t="str">
        <f t="shared" si="77"/>
        <v/>
      </c>
      <c r="H1250" t="str">
        <f t="shared" si="78"/>
        <v/>
      </c>
      <c r="I1250" s="5" t="str">
        <f t="shared" si="79"/>
        <v/>
      </c>
      <c r="J1250" s="2"/>
      <c r="K1250" s="2"/>
    </row>
    <row r="1251" spans="5:11">
      <c r="E1251" t="str">
        <f t="shared" si="76"/>
        <v/>
      </c>
      <c r="F1251" t="str">
        <f t="shared" si="77"/>
        <v/>
      </c>
      <c r="H1251" t="str">
        <f t="shared" si="78"/>
        <v/>
      </c>
      <c r="I1251" s="5" t="str">
        <f t="shared" si="79"/>
        <v/>
      </c>
      <c r="J1251" s="2"/>
      <c r="K1251" s="2"/>
    </row>
    <row r="1252" spans="5:11">
      <c r="E1252" t="str">
        <f t="shared" si="76"/>
        <v/>
      </c>
      <c r="F1252" t="str">
        <f t="shared" si="77"/>
        <v/>
      </c>
      <c r="H1252" t="str">
        <f t="shared" si="78"/>
        <v/>
      </c>
      <c r="I1252" s="5" t="str">
        <f t="shared" si="79"/>
        <v/>
      </c>
      <c r="J1252" s="2"/>
      <c r="K1252" s="2"/>
    </row>
    <row r="1253" spans="5:11">
      <c r="E1253" t="str">
        <f t="shared" si="76"/>
        <v/>
      </c>
      <c r="F1253" t="str">
        <f t="shared" si="77"/>
        <v/>
      </c>
      <c r="H1253" t="str">
        <f t="shared" si="78"/>
        <v/>
      </c>
      <c r="I1253" s="5" t="str">
        <f t="shared" si="79"/>
        <v/>
      </c>
      <c r="J1253" s="2"/>
      <c r="K1253" s="2"/>
    </row>
    <row r="1254" spans="5:11">
      <c r="E1254" t="str">
        <f t="shared" si="76"/>
        <v/>
      </c>
      <c r="F1254" t="str">
        <f t="shared" si="77"/>
        <v/>
      </c>
      <c r="H1254" t="str">
        <f t="shared" si="78"/>
        <v/>
      </c>
      <c r="I1254" s="5" t="str">
        <f t="shared" si="79"/>
        <v/>
      </c>
      <c r="J1254" s="2"/>
      <c r="K1254" s="2"/>
    </row>
    <row r="1255" spans="5:11">
      <c r="E1255" t="str">
        <f t="shared" si="76"/>
        <v/>
      </c>
      <c r="F1255" t="str">
        <f t="shared" si="77"/>
        <v/>
      </c>
      <c r="H1255" t="str">
        <f t="shared" si="78"/>
        <v/>
      </c>
      <c r="I1255" s="5" t="str">
        <f t="shared" si="79"/>
        <v/>
      </c>
      <c r="J1255" s="2"/>
      <c r="K1255" s="2"/>
    </row>
    <row r="1256" spans="5:11">
      <c r="E1256" t="str">
        <f t="shared" si="76"/>
        <v/>
      </c>
      <c r="F1256" t="str">
        <f t="shared" si="77"/>
        <v/>
      </c>
      <c r="H1256" t="str">
        <f t="shared" si="78"/>
        <v/>
      </c>
      <c r="I1256" s="5" t="str">
        <f t="shared" si="79"/>
        <v/>
      </c>
      <c r="J1256" s="2"/>
      <c r="K1256" s="2"/>
    </row>
    <row r="1257" spans="5:11">
      <c r="E1257" t="str">
        <f t="shared" si="76"/>
        <v/>
      </c>
      <c r="F1257" t="str">
        <f t="shared" si="77"/>
        <v/>
      </c>
      <c r="H1257" t="str">
        <f t="shared" si="78"/>
        <v/>
      </c>
      <c r="I1257" s="5" t="str">
        <f t="shared" si="79"/>
        <v/>
      </c>
      <c r="J1257" s="2"/>
      <c r="K1257" s="2"/>
    </row>
    <row r="1258" spans="5:11">
      <c r="E1258" t="str">
        <f t="shared" si="76"/>
        <v/>
      </c>
      <c r="F1258" t="str">
        <f t="shared" si="77"/>
        <v/>
      </c>
      <c r="H1258" t="str">
        <f t="shared" si="78"/>
        <v/>
      </c>
      <c r="I1258" s="5" t="str">
        <f t="shared" si="79"/>
        <v/>
      </c>
      <c r="J1258" s="2"/>
      <c r="K1258" s="2"/>
    </row>
    <row r="1259" spans="5:11">
      <c r="E1259" t="str">
        <f t="shared" si="76"/>
        <v/>
      </c>
      <c r="F1259" t="str">
        <f t="shared" si="77"/>
        <v/>
      </c>
      <c r="H1259" t="str">
        <f t="shared" si="78"/>
        <v/>
      </c>
      <c r="I1259" s="5" t="str">
        <f t="shared" si="79"/>
        <v/>
      </c>
      <c r="J1259" s="2"/>
      <c r="K1259" s="2"/>
    </row>
    <row r="1260" spans="5:11">
      <c r="E1260" t="str">
        <f t="shared" si="76"/>
        <v/>
      </c>
      <c r="F1260" t="str">
        <f t="shared" si="77"/>
        <v/>
      </c>
      <c r="H1260" t="str">
        <f t="shared" si="78"/>
        <v/>
      </c>
      <c r="I1260" s="5" t="str">
        <f t="shared" si="79"/>
        <v/>
      </c>
      <c r="J1260" s="2"/>
      <c r="K1260" s="2"/>
    </row>
    <row r="1261" spans="5:11">
      <c r="E1261" t="str">
        <f t="shared" si="76"/>
        <v/>
      </c>
      <c r="F1261" t="str">
        <f t="shared" si="77"/>
        <v/>
      </c>
      <c r="H1261" t="str">
        <f t="shared" si="78"/>
        <v/>
      </c>
      <c r="I1261" s="5" t="str">
        <f t="shared" si="79"/>
        <v/>
      </c>
      <c r="J1261" s="2"/>
      <c r="K1261" s="2"/>
    </row>
    <row r="1262" spans="5:11">
      <c r="E1262" t="str">
        <f t="shared" si="76"/>
        <v/>
      </c>
      <c r="F1262" t="str">
        <f t="shared" si="77"/>
        <v/>
      </c>
      <c r="H1262" t="str">
        <f t="shared" si="78"/>
        <v/>
      </c>
      <c r="I1262" s="5" t="str">
        <f t="shared" si="79"/>
        <v/>
      </c>
      <c r="J1262" s="2"/>
      <c r="K1262" s="2"/>
    </row>
    <row r="1263" spans="5:11">
      <c r="E1263" t="str">
        <f t="shared" si="76"/>
        <v/>
      </c>
      <c r="F1263" t="str">
        <f t="shared" si="77"/>
        <v/>
      </c>
      <c r="H1263" t="str">
        <f t="shared" si="78"/>
        <v/>
      </c>
      <c r="I1263" s="5" t="str">
        <f t="shared" si="79"/>
        <v/>
      </c>
      <c r="J1263" s="2"/>
      <c r="K1263" s="2"/>
    </row>
    <row r="1264" spans="5:11">
      <c r="E1264" t="str">
        <f t="shared" si="76"/>
        <v/>
      </c>
      <c r="F1264" t="str">
        <f t="shared" si="77"/>
        <v/>
      </c>
      <c r="H1264" t="str">
        <f t="shared" si="78"/>
        <v/>
      </c>
      <c r="I1264" s="5" t="str">
        <f t="shared" si="79"/>
        <v/>
      </c>
      <c r="J1264" s="2"/>
      <c r="K1264" s="2"/>
    </row>
    <row r="1265" spans="5:11">
      <c r="E1265" t="str">
        <f t="shared" si="76"/>
        <v/>
      </c>
      <c r="F1265" t="str">
        <f t="shared" si="77"/>
        <v/>
      </c>
      <c r="H1265" t="str">
        <f t="shared" si="78"/>
        <v/>
      </c>
      <c r="I1265" s="5" t="str">
        <f t="shared" si="79"/>
        <v/>
      </c>
      <c r="J1265" s="2"/>
      <c r="K1265" s="2"/>
    </row>
    <row r="1266" spans="5:11">
      <c r="E1266" t="str">
        <f t="shared" si="76"/>
        <v/>
      </c>
      <c r="F1266" t="str">
        <f t="shared" si="77"/>
        <v/>
      </c>
      <c r="H1266" t="str">
        <f t="shared" si="78"/>
        <v/>
      </c>
      <c r="I1266" s="5" t="str">
        <f t="shared" si="79"/>
        <v/>
      </c>
      <c r="J1266" s="2"/>
      <c r="K1266" s="2"/>
    </row>
    <row r="1267" spans="5:11">
      <c r="E1267" t="str">
        <f t="shared" si="76"/>
        <v/>
      </c>
      <c r="F1267" t="str">
        <f t="shared" si="77"/>
        <v/>
      </c>
      <c r="H1267" t="str">
        <f t="shared" si="78"/>
        <v/>
      </c>
      <c r="I1267" s="5" t="str">
        <f t="shared" si="79"/>
        <v/>
      </c>
      <c r="J1267" s="2"/>
      <c r="K1267" s="2"/>
    </row>
    <row r="1268" spans="5:11">
      <c r="E1268" t="str">
        <f t="shared" si="76"/>
        <v/>
      </c>
      <c r="F1268" t="str">
        <f t="shared" si="77"/>
        <v/>
      </c>
      <c r="H1268" t="str">
        <f t="shared" si="78"/>
        <v/>
      </c>
      <c r="I1268" s="5" t="str">
        <f t="shared" si="79"/>
        <v/>
      </c>
      <c r="J1268" s="2"/>
      <c r="K1268" s="2"/>
    </row>
    <row r="1269" spans="5:11">
      <c r="E1269" t="str">
        <f t="shared" si="76"/>
        <v/>
      </c>
      <c r="F1269" t="str">
        <f t="shared" si="77"/>
        <v/>
      </c>
      <c r="H1269" t="str">
        <f t="shared" si="78"/>
        <v/>
      </c>
      <c r="I1269" s="5" t="str">
        <f t="shared" si="79"/>
        <v/>
      </c>
      <c r="J1269" s="2"/>
      <c r="K1269" s="2"/>
    </row>
    <row r="1270" spans="5:11">
      <c r="E1270" t="str">
        <f t="shared" si="76"/>
        <v/>
      </c>
      <c r="F1270" t="str">
        <f t="shared" si="77"/>
        <v/>
      </c>
      <c r="H1270" t="str">
        <f t="shared" si="78"/>
        <v/>
      </c>
      <c r="I1270" s="5" t="str">
        <f t="shared" si="79"/>
        <v/>
      </c>
      <c r="J1270" s="2"/>
      <c r="K1270" s="2"/>
    </row>
    <row r="1271" spans="5:11">
      <c r="E1271" t="str">
        <f t="shared" si="76"/>
        <v/>
      </c>
      <c r="F1271" t="str">
        <f t="shared" si="77"/>
        <v/>
      </c>
      <c r="H1271" t="str">
        <f t="shared" si="78"/>
        <v/>
      </c>
      <c r="I1271" s="5" t="str">
        <f t="shared" si="79"/>
        <v/>
      </c>
      <c r="J1271" s="2"/>
      <c r="K1271" s="2"/>
    </row>
    <row r="1272" spans="5:11">
      <c r="E1272" t="str">
        <f t="shared" si="76"/>
        <v/>
      </c>
      <c r="F1272" t="str">
        <f t="shared" si="77"/>
        <v/>
      </c>
      <c r="H1272" t="str">
        <f t="shared" si="78"/>
        <v/>
      </c>
      <c r="I1272" s="5" t="str">
        <f t="shared" si="79"/>
        <v/>
      </c>
      <c r="J1272" s="2"/>
      <c r="K1272" s="2"/>
    </row>
    <row r="1273" spans="5:11">
      <c r="E1273" t="str">
        <f t="shared" si="76"/>
        <v/>
      </c>
      <c r="F1273" t="str">
        <f t="shared" si="77"/>
        <v/>
      </c>
      <c r="H1273" t="str">
        <f t="shared" si="78"/>
        <v/>
      </c>
      <c r="I1273" s="5" t="str">
        <f t="shared" si="79"/>
        <v/>
      </c>
      <c r="J1273" s="2"/>
      <c r="K1273" s="2"/>
    </row>
    <row r="1274" spans="5:11">
      <c r="E1274" t="str">
        <f t="shared" si="76"/>
        <v/>
      </c>
      <c r="F1274" t="str">
        <f t="shared" si="77"/>
        <v/>
      </c>
      <c r="H1274" t="str">
        <f t="shared" si="78"/>
        <v/>
      </c>
      <c r="I1274" s="5" t="str">
        <f t="shared" si="79"/>
        <v/>
      </c>
      <c r="J1274" s="2"/>
      <c r="K1274" s="2"/>
    </row>
    <row r="1275" spans="5:11">
      <c r="E1275" t="str">
        <f t="shared" si="76"/>
        <v/>
      </c>
      <c r="F1275" t="str">
        <f t="shared" si="77"/>
        <v/>
      </c>
      <c r="H1275" t="str">
        <f t="shared" si="78"/>
        <v/>
      </c>
      <c r="I1275" s="5" t="str">
        <f t="shared" si="79"/>
        <v/>
      </c>
      <c r="J1275" s="2"/>
      <c r="K1275" s="2"/>
    </row>
    <row r="1276" spans="5:11">
      <c r="E1276" t="str">
        <f t="shared" si="76"/>
        <v/>
      </c>
      <c r="F1276" t="str">
        <f t="shared" si="77"/>
        <v/>
      </c>
      <c r="H1276" t="str">
        <f t="shared" si="78"/>
        <v/>
      </c>
      <c r="I1276" s="5" t="str">
        <f t="shared" si="79"/>
        <v/>
      </c>
      <c r="J1276" s="2"/>
      <c r="K1276" s="2"/>
    </row>
    <row r="1277" spans="5:11">
      <c r="E1277" t="str">
        <f t="shared" si="76"/>
        <v/>
      </c>
      <c r="F1277" t="str">
        <f t="shared" si="77"/>
        <v/>
      </c>
      <c r="H1277" t="str">
        <f t="shared" si="78"/>
        <v/>
      </c>
      <c r="I1277" s="5" t="str">
        <f t="shared" si="79"/>
        <v/>
      </c>
      <c r="J1277" s="2"/>
      <c r="K1277" s="2"/>
    </row>
    <row r="1278" spans="5:11">
      <c r="E1278" t="str">
        <f t="shared" si="76"/>
        <v/>
      </c>
      <c r="F1278" t="str">
        <f t="shared" si="77"/>
        <v/>
      </c>
      <c r="H1278" t="str">
        <f t="shared" si="78"/>
        <v/>
      </c>
      <c r="I1278" s="5" t="str">
        <f t="shared" si="79"/>
        <v/>
      </c>
      <c r="J1278" s="2"/>
      <c r="K1278" s="2"/>
    </row>
    <row r="1279" spans="5:11">
      <c r="E1279" t="str">
        <f t="shared" si="76"/>
        <v/>
      </c>
      <c r="F1279" t="str">
        <f t="shared" si="77"/>
        <v/>
      </c>
      <c r="H1279" t="str">
        <f t="shared" si="78"/>
        <v/>
      </c>
      <c r="I1279" s="5" t="str">
        <f t="shared" si="79"/>
        <v/>
      </c>
      <c r="J1279" s="2"/>
      <c r="K1279" s="2"/>
    </row>
    <row r="1280" spans="5:11">
      <c r="E1280" t="str">
        <f t="shared" si="76"/>
        <v/>
      </c>
      <c r="F1280" t="str">
        <f t="shared" si="77"/>
        <v/>
      </c>
      <c r="H1280" t="str">
        <f t="shared" si="78"/>
        <v/>
      </c>
      <c r="I1280" s="5" t="str">
        <f t="shared" si="79"/>
        <v/>
      </c>
      <c r="J1280" s="2"/>
      <c r="K1280" s="2"/>
    </row>
    <row r="1281" spans="5:11">
      <c r="E1281" t="str">
        <f t="shared" si="76"/>
        <v/>
      </c>
      <c r="F1281" t="str">
        <f t="shared" si="77"/>
        <v/>
      </c>
      <c r="H1281" t="str">
        <f t="shared" si="78"/>
        <v/>
      </c>
      <c r="I1281" s="5" t="str">
        <f t="shared" si="79"/>
        <v/>
      </c>
      <c r="J1281" s="2"/>
      <c r="K1281" s="2"/>
    </row>
    <row r="1282" spans="5:11">
      <c r="E1282" t="str">
        <f t="shared" si="76"/>
        <v/>
      </c>
      <c r="F1282" t="str">
        <f t="shared" si="77"/>
        <v/>
      </c>
      <c r="H1282" t="str">
        <f t="shared" si="78"/>
        <v/>
      </c>
      <c r="I1282" s="5" t="str">
        <f t="shared" si="79"/>
        <v/>
      </c>
      <c r="J1282" s="2"/>
      <c r="K1282" s="2"/>
    </row>
    <row r="1283" spans="5:11">
      <c r="E1283" t="str">
        <f t="shared" si="76"/>
        <v/>
      </c>
      <c r="F1283" t="str">
        <f t="shared" si="77"/>
        <v/>
      </c>
      <c r="H1283" t="str">
        <f t="shared" si="78"/>
        <v/>
      </c>
      <c r="I1283" s="5" t="str">
        <f t="shared" si="79"/>
        <v/>
      </c>
      <c r="J1283" s="2"/>
      <c r="K1283" s="2"/>
    </row>
    <row r="1284" spans="5:11">
      <c r="E1284" t="str">
        <f t="shared" si="76"/>
        <v/>
      </c>
      <c r="F1284" t="str">
        <f t="shared" si="77"/>
        <v/>
      </c>
      <c r="H1284" t="str">
        <f t="shared" si="78"/>
        <v/>
      </c>
      <c r="I1284" s="5" t="str">
        <f t="shared" si="79"/>
        <v/>
      </c>
      <c r="J1284" s="2"/>
      <c r="K1284" s="2"/>
    </row>
    <row r="1285" spans="5:11">
      <c r="E1285" t="str">
        <f t="shared" ref="E1285:E1348" si="80">IF(A1285="","",TEXT(A1285,"0")&amp;"-Q"&amp;TEXT(B1285,"0")&amp;"-"&amp;IF(C1285="","ABERTA",C1285))</f>
        <v/>
      </c>
      <c r="F1285" t="str">
        <f t="shared" ref="F1285:F1348" si="81">IF(D1285="V/F",1,IF(D1285="Aberta/numérica",5,""))</f>
        <v/>
      </c>
      <c r="H1285" t="str">
        <f t="shared" ref="H1285:H1348" si="82">IF(A1285="","",IF(C1285="",COUNTIFS($A$5:$A$1504,A1285,$B$5:$B$1504,B1285,$C$5:$C$1504,"",$D$5:$D$1504,D1285),COUNTIFS($A$5:$A$1504,A1285,$B$5:$B$1504,B1285,$C$5:$C$1504,C1285,$D$5:$D$1504,D1285)))</f>
        <v/>
      </c>
      <c r="I1285" s="5" t="str">
        <f t="shared" ref="I1285:I1348" si="83">IF(OR(F1285="",H1285="",G1285=""),"",F1285/H1285)</f>
        <v/>
      </c>
      <c r="J1285" s="2"/>
      <c r="K1285" s="2"/>
    </row>
    <row r="1286" spans="5:11">
      <c r="E1286" t="str">
        <f t="shared" si="80"/>
        <v/>
      </c>
      <c r="F1286" t="str">
        <f t="shared" si="81"/>
        <v/>
      </c>
      <c r="H1286" t="str">
        <f t="shared" si="82"/>
        <v/>
      </c>
      <c r="I1286" s="5" t="str">
        <f t="shared" si="83"/>
        <v/>
      </c>
      <c r="J1286" s="2"/>
      <c r="K1286" s="2"/>
    </row>
    <row r="1287" spans="5:11">
      <c r="E1287" t="str">
        <f t="shared" si="80"/>
        <v/>
      </c>
      <c r="F1287" t="str">
        <f t="shared" si="81"/>
        <v/>
      </c>
      <c r="H1287" t="str">
        <f t="shared" si="82"/>
        <v/>
      </c>
      <c r="I1287" s="5" t="str">
        <f t="shared" si="83"/>
        <v/>
      </c>
      <c r="J1287" s="2"/>
      <c r="K1287" s="2"/>
    </row>
    <row r="1288" spans="5:11">
      <c r="E1288" t="str">
        <f t="shared" si="80"/>
        <v/>
      </c>
      <c r="F1288" t="str">
        <f t="shared" si="81"/>
        <v/>
      </c>
      <c r="H1288" t="str">
        <f t="shared" si="82"/>
        <v/>
      </c>
      <c r="I1288" s="5" t="str">
        <f t="shared" si="83"/>
        <v/>
      </c>
      <c r="J1288" s="2"/>
      <c r="K1288" s="2"/>
    </row>
    <row r="1289" spans="5:11">
      <c r="E1289" t="str">
        <f t="shared" si="80"/>
        <v/>
      </c>
      <c r="F1289" t="str">
        <f t="shared" si="81"/>
        <v/>
      </c>
      <c r="H1289" t="str">
        <f t="shared" si="82"/>
        <v/>
      </c>
      <c r="I1289" s="5" t="str">
        <f t="shared" si="83"/>
        <v/>
      </c>
      <c r="J1289" s="2"/>
      <c r="K1289" s="2"/>
    </row>
    <row r="1290" spans="5:11">
      <c r="E1290" t="str">
        <f t="shared" si="80"/>
        <v/>
      </c>
      <c r="F1290" t="str">
        <f t="shared" si="81"/>
        <v/>
      </c>
      <c r="H1290" t="str">
        <f t="shared" si="82"/>
        <v/>
      </c>
      <c r="I1290" s="5" t="str">
        <f t="shared" si="83"/>
        <v/>
      </c>
      <c r="J1290" s="2"/>
      <c r="K1290" s="2"/>
    </row>
    <row r="1291" spans="5:11">
      <c r="E1291" t="str">
        <f t="shared" si="80"/>
        <v/>
      </c>
      <c r="F1291" t="str">
        <f t="shared" si="81"/>
        <v/>
      </c>
      <c r="H1291" t="str">
        <f t="shared" si="82"/>
        <v/>
      </c>
      <c r="I1291" s="5" t="str">
        <f t="shared" si="83"/>
        <v/>
      </c>
      <c r="J1291" s="2"/>
      <c r="K1291" s="2"/>
    </row>
    <row r="1292" spans="5:11">
      <c r="E1292" t="str">
        <f t="shared" si="80"/>
        <v/>
      </c>
      <c r="F1292" t="str">
        <f t="shared" si="81"/>
        <v/>
      </c>
      <c r="H1292" t="str">
        <f t="shared" si="82"/>
        <v/>
      </c>
      <c r="I1292" s="5" t="str">
        <f t="shared" si="83"/>
        <v/>
      </c>
      <c r="J1292" s="2"/>
      <c r="K1292" s="2"/>
    </row>
    <row r="1293" spans="5:11">
      <c r="E1293" t="str">
        <f t="shared" si="80"/>
        <v/>
      </c>
      <c r="F1293" t="str">
        <f t="shared" si="81"/>
        <v/>
      </c>
      <c r="H1293" t="str">
        <f t="shared" si="82"/>
        <v/>
      </c>
      <c r="I1293" s="5" t="str">
        <f t="shared" si="83"/>
        <v/>
      </c>
      <c r="J1293" s="2"/>
      <c r="K1293" s="2"/>
    </row>
    <row r="1294" spans="5:11">
      <c r="E1294" t="str">
        <f t="shared" si="80"/>
        <v/>
      </c>
      <c r="F1294" t="str">
        <f t="shared" si="81"/>
        <v/>
      </c>
      <c r="H1294" t="str">
        <f t="shared" si="82"/>
        <v/>
      </c>
      <c r="I1294" s="5" t="str">
        <f t="shared" si="83"/>
        <v/>
      </c>
      <c r="J1294" s="2"/>
      <c r="K1294" s="2"/>
    </row>
    <row r="1295" spans="5:11">
      <c r="E1295" t="str">
        <f t="shared" si="80"/>
        <v/>
      </c>
      <c r="F1295" t="str">
        <f t="shared" si="81"/>
        <v/>
      </c>
      <c r="H1295" t="str">
        <f t="shared" si="82"/>
        <v/>
      </c>
      <c r="I1295" s="5" t="str">
        <f t="shared" si="83"/>
        <v/>
      </c>
      <c r="J1295" s="2"/>
      <c r="K1295" s="2"/>
    </row>
    <row r="1296" spans="5:11">
      <c r="E1296" t="str">
        <f t="shared" si="80"/>
        <v/>
      </c>
      <c r="F1296" t="str">
        <f t="shared" si="81"/>
        <v/>
      </c>
      <c r="H1296" t="str">
        <f t="shared" si="82"/>
        <v/>
      </c>
      <c r="I1296" s="5" t="str">
        <f t="shared" si="83"/>
        <v/>
      </c>
      <c r="J1296" s="2"/>
      <c r="K1296" s="2"/>
    </row>
    <row r="1297" spans="5:11">
      <c r="E1297" t="str">
        <f t="shared" si="80"/>
        <v/>
      </c>
      <c r="F1297" t="str">
        <f t="shared" si="81"/>
        <v/>
      </c>
      <c r="H1297" t="str">
        <f t="shared" si="82"/>
        <v/>
      </c>
      <c r="I1297" s="5" t="str">
        <f t="shared" si="83"/>
        <v/>
      </c>
      <c r="J1297" s="2"/>
      <c r="K1297" s="2"/>
    </row>
    <row r="1298" spans="5:11">
      <c r="E1298" t="str">
        <f t="shared" si="80"/>
        <v/>
      </c>
      <c r="F1298" t="str">
        <f t="shared" si="81"/>
        <v/>
      </c>
      <c r="H1298" t="str">
        <f t="shared" si="82"/>
        <v/>
      </c>
      <c r="I1298" s="5" t="str">
        <f t="shared" si="83"/>
        <v/>
      </c>
      <c r="J1298" s="2"/>
      <c r="K1298" s="2"/>
    </row>
    <row r="1299" spans="5:11">
      <c r="E1299" t="str">
        <f t="shared" si="80"/>
        <v/>
      </c>
      <c r="F1299" t="str">
        <f t="shared" si="81"/>
        <v/>
      </c>
      <c r="H1299" t="str">
        <f t="shared" si="82"/>
        <v/>
      </c>
      <c r="I1299" s="5" t="str">
        <f t="shared" si="83"/>
        <v/>
      </c>
      <c r="J1299" s="2"/>
      <c r="K1299" s="2"/>
    </row>
    <row r="1300" spans="5:11">
      <c r="E1300" t="str">
        <f t="shared" si="80"/>
        <v/>
      </c>
      <c r="F1300" t="str">
        <f t="shared" si="81"/>
        <v/>
      </c>
      <c r="H1300" t="str">
        <f t="shared" si="82"/>
        <v/>
      </c>
      <c r="I1300" s="5" t="str">
        <f t="shared" si="83"/>
        <v/>
      </c>
      <c r="J1300" s="2"/>
      <c r="K1300" s="2"/>
    </row>
    <row r="1301" spans="5:11">
      <c r="E1301" t="str">
        <f t="shared" si="80"/>
        <v/>
      </c>
      <c r="F1301" t="str">
        <f t="shared" si="81"/>
        <v/>
      </c>
      <c r="H1301" t="str">
        <f t="shared" si="82"/>
        <v/>
      </c>
      <c r="I1301" s="5" t="str">
        <f t="shared" si="83"/>
        <v/>
      </c>
      <c r="J1301" s="2"/>
      <c r="K1301" s="2"/>
    </row>
    <row r="1302" spans="5:11">
      <c r="E1302" t="str">
        <f t="shared" si="80"/>
        <v/>
      </c>
      <c r="F1302" t="str">
        <f t="shared" si="81"/>
        <v/>
      </c>
      <c r="H1302" t="str">
        <f t="shared" si="82"/>
        <v/>
      </c>
      <c r="I1302" s="5" t="str">
        <f t="shared" si="83"/>
        <v/>
      </c>
      <c r="J1302" s="2"/>
      <c r="K1302" s="2"/>
    </row>
    <row r="1303" spans="5:11">
      <c r="E1303" t="str">
        <f t="shared" si="80"/>
        <v/>
      </c>
      <c r="F1303" t="str">
        <f t="shared" si="81"/>
        <v/>
      </c>
      <c r="H1303" t="str">
        <f t="shared" si="82"/>
        <v/>
      </c>
      <c r="I1303" s="5" t="str">
        <f t="shared" si="83"/>
        <v/>
      </c>
      <c r="J1303" s="2"/>
      <c r="K1303" s="2"/>
    </row>
    <row r="1304" spans="5:11">
      <c r="E1304" t="str">
        <f t="shared" si="80"/>
        <v/>
      </c>
      <c r="F1304" t="str">
        <f t="shared" si="81"/>
        <v/>
      </c>
      <c r="H1304" t="str">
        <f t="shared" si="82"/>
        <v/>
      </c>
      <c r="I1304" s="5" t="str">
        <f t="shared" si="83"/>
        <v/>
      </c>
      <c r="J1304" s="2"/>
      <c r="K1304" s="2"/>
    </row>
    <row r="1305" spans="5:11">
      <c r="E1305" t="str">
        <f t="shared" si="80"/>
        <v/>
      </c>
      <c r="F1305" t="str">
        <f t="shared" si="81"/>
        <v/>
      </c>
      <c r="H1305" t="str">
        <f t="shared" si="82"/>
        <v/>
      </c>
      <c r="I1305" s="5" t="str">
        <f t="shared" si="83"/>
        <v/>
      </c>
      <c r="J1305" s="2"/>
      <c r="K1305" s="2"/>
    </row>
    <row r="1306" spans="5:11">
      <c r="E1306" t="str">
        <f t="shared" si="80"/>
        <v/>
      </c>
      <c r="F1306" t="str">
        <f t="shared" si="81"/>
        <v/>
      </c>
      <c r="H1306" t="str">
        <f t="shared" si="82"/>
        <v/>
      </c>
      <c r="I1306" s="5" t="str">
        <f t="shared" si="83"/>
        <v/>
      </c>
      <c r="J1306" s="2"/>
      <c r="K1306" s="2"/>
    </row>
    <row r="1307" spans="5:11">
      <c r="E1307" t="str">
        <f t="shared" si="80"/>
        <v/>
      </c>
      <c r="F1307" t="str">
        <f t="shared" si="81"/>
        <v/>
      </c>
      <c r="H1307" t="str">
        <f t="shared" si="82"/>
        <v/>
      </c>
      <c r="I1307" s="5" t="str">
        <f t="shared" si="83"/>
        <v/>
      </c>
      <c r="J1307" s="2"/>
      <c r="K1307" s="2"/>
    </row>
    <row r="1308" spans="5:11">
      <c r="E1308" t="str">
        <f t="shared" si="80"/>
        <v/>
      </c>
      <c r="F1308" t="str">
        <f t="shared" si="81"/>
        <v/>
      </c>
      <c r="H1308" t="str">
        <f t="shared" si="82"/>
        <v/>
      </c>
      <c r="I1308" s="5" t="str">
        <f t="shared" si="83"/>
        <v/>
      </c>
      <c r="J1308" s="2"/>
      <c r="K1308" s="2"/>
    </row>
    <row r="1309" spans="5:11">
      <c r="E1309" t="str">
        <f t="shared" si="80"/>
        <v/>
      </c>
      <c r="F1309" t="str">
        <f t="shared" si="81"/>
        <v/>
      </c>
      <c r="H1309" t="str">
        <f t="shared" si="82"/>
        <v/>
      </c>
      <c r="I1309" s="5" t="str">
        <f t="shared" si="83"/>
        <v/>
      </c>
      <c r="J1309" s="2"/>
      <c r="K1309" s="2"/>
    </row>
    <row r="1310" spans="5:11">
      <c r="E1310" t="str">
        <f t="shared" si="80"/>
        <v/>
      </c>
      <c r="F1310" t="str">
        <f t="shared" si="81"/>
        <v/>
      </c>
      <c r="H1310" t="str">
        <f t="shared" si="82"/>
        <v/>
      </c>
      <c r="I1310" s="5" t="str">
        <f t="shared" si="83"/>
        <v/>
      </c>
      <c r="J1310" s="2"/>
      <c r="K1310" s="2"/>
    </row>
    <row r="1311" spans="5:11">
      <c r="E1311" t="str">
        <f t="shared" si="80"/>
        <v/>
      </c>
      <c r="F1311" t="str">
        <f t="shared" si="81"/>
        <v/>
      </c>
      <c r="H1311" t="str">
        <f t="shared" si="82"/>
        <v/>
      </c>
      <c r="I1311" s="5" t="str">
        <f t="shared" si="83"/>
        <v/>
      </c>
      <c r="J1311" s="2"/>
      <c r="K1311" s="2"/>
    </row>
    <row r="1312" spans="5:11">
      <c r="E1312" t="str">
        <f t="shared" si="80"/>
        <v/>
      </c>
      <c r="F1312" t="str">
        <f t="shared" si="81"/>
        <v/>
      </c>
      <c r="H1312" t="str">
        <f t="shared" si="82"/>
        <v/>
      </c>
      <c r="I1312" s="5" t="str">
        <f t="shared" si="83"/>
        <v/>
      </c>
      <c r="J1312" s="2"/>
      <c r="K1312" s="2"/>
    </row>
    <row r="1313" spans="5:11">
      <c r="E1313" t="str">
        <f t="shared" si="80"/>
        <v/>
      </c>
      <c r="F1313" t="str">
        <f t="shared" si="81"/>
        <v/>
      </c>
      <c r="H1313" t="str">
        <f t="shared" si="82"/>
        <v/>
      </c>
      <c r="I1313" s="5" t="str">
        <f t="shared" si="83"/>
        <v/>
      </c>
      <c r="J1313" s="2"/>
      <c r="K1313" s="2"/>
    </row>
    <row r="1314" spans="5:11">
      <c r="E1314" t="str">
        <f t="shared" si="80"/>
        <v/>
      </c>
      <c r="F1314" t="str">
        <f t="shared" si="81"/>
        <v/>
      </c>
      <c r="H1314" t="str">
        <f t="shared" si="82"/>
        <v/>
      </c>
      <c r="I1314" s="5" t="str">
        <f t="shared" si="83"/>
        <v/>
      </c>
      <c r="J1314" s="2"/>
      <c r="K1314" s="2"/>
    </row>
    <row r="1315" spans="5:11">
      <c r="E1315" t="str">
        <f t="shared" si="80"/>
        <v/>
      </c>
      <c r="F1315" t="str">
        <f t="shared" si="81"/>
        <v/>
      </c>
      <c r="H1315" t="str">
        <f t="shared" si="82"/>
        <v/>
      </c>
      <c r="I1315" s="5" t="str">
        <f t="shared" si="83"/>
        <v/>
      </c>
      <c r="J1315" s="2"/>
      <c r="K1315" s="2"/>
    </row>
    <row r="1316" spans="5:11">
      <c r="E1316" t="str">
        <f t="shared" si="80"/>
        <v/>
      </c>
      <c r="F1316" t="str">
        <f t="shared" si="81"/>
        <v/>
      </c>
      <c r="H1316" t="str">
        <f t="shared" si="82"/>
        <v/>
      </c>
      <c r="I1316" s="5" t="str">
        <f t="shared" si="83"/>
        <v/>
      </c>
      <c r="J1316" s="2"/>
      <c r="K1316" s="2"/>
    </row>
    <row r="1317" spans="5:11">
      <c r="E1317" t="str">
        <f t="shared" si="80"/>
        <v/>
      </c>
      <c r="F1317" t="str">
        <f t="shared" si="81"/>
        <v/>
      </c>
      <c r="H1317" t="str">
        <f t="shared" si="82"/>
        <v/>
      </c>
      <c r="I1317" s="5" t="str">
        <f t="shared" si="83"/>
        <v/>
      </c>
      <c r="J1317" s="2"/>
      <c r="K1317" s="2"/>
    </row>
    <row r="1318" spans="5:11">
      <c r="E1318" t="str">
        <f t="shared" si="80"/>
        <v/>
      </c>
      <c r="F1318" t="str">
        <f t="shared" si="81"/>
        <v/>
      </c>
      <c r="H1318" t="str">
        <f t="shared" si="82"/>
        <v/>
      </c>
      <c r="I1318" s="5" t="str">
        <f t="shared" si="83"/>
        <v/>
      </c>
      <c r="J1318" s="2"/>
      <c r="K1318" s="2"/>
    </row>
    <row r="1319" spans="5:11">
      <c r="E1319" t="str">
        <f t="shared" si="80"/>
        <v/>
      </c>
      <c r="F1319" t="str">
        <f t="shared" si="81"/>
        <v/>
      </c>
      <c r="H1319" t="str">
        <f t="shared" si="82"/>
        <v/>
      </c>
      <c r="I1319" s="5" t="str">
        <f t="shared" si="83"/>
        <v/>
      </c>
      <c r="J1319" s="2"/>
      <c r="K1319" s="2"/>
    </row>
    <row r="1320" spans="5:11">
      <c r="E1320" t="str">
        <f t="shared" si="80"/>
        <v/>
      </c>
      <c r="F1320" t="str">
        <f t="shared" si="81"/>
        <v/>
      </c>
      <c r="H1320" t="str">
        <f t="shared" si="82"/>
        <v/>
      </c>
      <c r="I1320" s="5" t="str">
        <f t="shared" si="83"/>
        <v/>
      </c>
      <c r="J1320" s="2"/>
      <c r="K1320" s="2"/>
    </row>
    <row r="1321" spans="5:11">
      <c r="E1321" t="str">
        <f t="shared" si="80"/>
        <v/>
      </c>
      <c r="F1321" t="str">
        <f t="shared" si="81"/>
        <v/>
      </c>
      <c r="H1321" t="str">
        <f t="shared" si="82"/>
        <v/>
      </c>
      <c r="I1321" s="5" t="str">
        <f t="shared" si="83"/>
        <v/>
      </c>
      <c r="J1321" s="2"/>
      <c r="K1321" s="2"/>
    </row>
    <row r="1322" spans="5:11">
      <c r="E1322" t="str">
        <f t="shared" si="80"/>
        <v/>
      </c>
      <c r="F1322" t="str">
        <f t="shared" si="81"/>
        <v/>
      </c>
      <c r="H1322" t="str">
        <f t="shared" si="82"/>
        <v/>
      </c>
      <c r="I1322" s="5" t="str">
        <f t="shared" si="83"/>
        <v/>
      </c>
      <c r="J1322" s="2"/>
      <c r="K1322" s="2"/>
    </row>
    <row r="1323" spans="5:11">
      <c r="E1323" t="str">
        <f t="shared" si="80"/>
        <v/>
      </c>
      <c r="F1323" t="str">
        <f t="shared" si="81"/>
        <v/>
      </c>
      <c r="H1323" t="str">
        <f t="shared" si="82"/>
        <v/>
      </c>
      <c r="I1323" s="5" t="str">
        <f t="shared" si="83"/>
        <v/>
      </c>
      <c r="J1323" s="2"/>
      <c r="K1323" s="2"/>
    </row>
    <row r="1324" spans="5:11">
      <c r="E1324" t="str">
        <f t="shared" si="80"/>
        <v/>
      </c>
      <c r="F1324" t="str">
        <f t="shared" si="81"/>
        <v/>
      </c>
      <c r="H1324" t="str">
        <f t="shared" si="82"/>
        <v/>
      </c>
      <c r="I1324" s="5" t="str">
        <f t="shared" si="83"/>
        <v/>
      </c>
      <c r="J1324" s="2"/>
      <c r="K1324" s="2"/>
    </row>
    <row r="1325" spans="5:11">
      <c r="E1325" t="str">
        <f t="shared" si="80"/>
        <v/>
      </c>
      <c r="F1325" t="str">
        <f t="shared" si="81"/>
        <v/>
      </c>
      <c r="H1325" t="str">
        <f t="shared" si="82"/>
        <v/>
      </c>
      <c r="I1325" s="5" t="str">
        <f t="shared" si="83"/>
        <v/>
      </c>
      <c r="J1325" s="2"/>
      <c r="K1325" s="2"/>
    </row>
    <row r="1326" spans="5:11">
      <c r="E1326" t="str">
        <f t="shared" si="80"/>
        <v/>
      </c>
      <c r="F1326" t="str">
        <f t="shared" si="81"/>
        <v/>
      </c>
      <c r="H1326" t="str">
        <f t="shared" si="82"/>
        <v/>
      </c>
      <c r="I1326" s="5" t="str">
        <f t="shared" si="83"/>
        <v/>
      </c>
      <c r="J1326" s="2"/>
      <c r="K1326" s="2"/>
    </row>
    <row r="1327" spans="5:11">
      <c r="E1327" t="str">
        <f t="shared" si="80"/>
        <v/>
      </c>
      <c r="F1327" t="str">
        <f t="shared" si="81"/>
        <v/>
      </c>
      <c r="H1327" t="str">
        <f t="shared" si="82"/>
        <v/>
      </c>
      <c r="I1327" s="5" t="str">
        <f t="shared" si="83"/>
        <v/>
      </c>
      <c r="J1327" s="2"/>
      <c r="K1327" s="2"/>
    </row>
    <row r="1328" spans="5:11">
      <c r="E1328" t="str">
        <f t="shared" si="80"/>
        <v/>
      </c>
      <c r="F1328" t="str">
        <f t="shared" si="81"/>
        <v/>
      </c>
      <c r="H1328" t="str">
        <f t="shared" si="82"/>
        <v/>
      </c>
      <c r="I1328" s="5" t="str">
        <f t="shared" si="83"/>
        <v/>
      </c>
      <c r="J1328" s="2"/>
      <c r="K1328" s="2"/>
    </row>
    <row r="1329" spans="5:11">
      <c r="E1329" t="str">
        <f t="shared" si="80"/>
        <v/>
      </c>
      <c r="F1329" t="str">
        <f t="shared" si="81"/>
        <v/>
      </c>
      <c r="H1329" t="str">
        <f t="shared" si="82"/>
        <v/>
      </c>
      <c r="I1329" s="5" t="str">
        <f t="shared" si="83"/>
        <v/>
      </c>
      <c r="J1329" s="2"/>
      <c r="K1329" s="2"/>
    </row>
    <row r="1330" spans="5:11">
      <c r="E1330" t="str">
        <f t="shared" si="80"/>
        <v/>
      </c>
      <c r="F1330" t="str">
        <f t="shared" si="81"/>
        <v/>
      </c>
      <c r="H1330" t="str">
        <f t="shared" si="82"/>
        <v/>
      </c>
      <c r="I1330" s="5" t="str">
        <f t="shared" si="83"/>
        <v/>
      </c>
      <c r="J1330" s="2"/>
      <c r="K1330" s="2"/>
    </row>
    <row r="1331" spans="5:11">
      <c r="E1331" t="str">
        <f t="shared" si="80"/>
        <v/>
      </c>
      <c r="F1331" t="str">
        <f t="shared" si="81"/>
        <v/>
      </c>
      <c r="H1331" t="str">
        <f t="shared" si="82"/>
        <v/>
      </c>
      <c r="I1331" s="5" t="str">
        <f t="shared" si="83"/>
        <v/>
      </c>
      <c r="J1331" s="2"/>
      <c r="K1331" s="2"/>
    </row>
    <row r="1332" spans="5:11">
      <c r="E1332" t="str">
        <f t="shared" si="80"/>
        <v/>
      </c>
      <c r="F1332" t="str">
        <f t="shared" si="81"/>
        <v/>
      </c>
      <c r="H1332" t="str">
        <f t="shared" si="82"/>
        <v/>
      </c>
      <c r="I1332" s="5" t="str">
        <f t="shared" si="83"/>
        <v/>
      </c>
      <c r="J1332" s="2"/>
      <c r="K1332" s="2"/>
    </row>
    <row r="1333" spans="5:11">
      <c r="E1333" t="str">
        <f t="shared" si="80"/>
        <v/>
      </c>
      <c r="F1333" t="str">
        <f t="shared" si="81"/>
        <v/>
      </c>
      <c r="H1333" t="str">
        <f t="shared" si="82"/>
        <v/>
      </c>
      <c r="I1333" s="5" t="str">
        <f t="shared" si="83"/>
        <v/>
      </c>
      <c r="J1333" s="2"/>
      <c r="K1333" s="2"/>
    </row>
    <row r="1334" spans="5:11">
      <c r="E1334" t="str">
        <f t="shared" si="80"/>
        <v/>
      </c>
      <c r="F1334" t="str">
        <f t="shared" si="81"/>
        <v/>
      </c>
      <c r="H1334" t="str">
        <f t="shared" si="82"/>
        <v/>
      </c>
      <c r="I1334" s="5" t="str">
        <f t="shared" si="83"/>
        <v/>
      </c>
      <c r="J1334" s="2"/>
      <c r="K1334" s="2"/>
    </row>
    <row r="1335" spans="5:11">
      <c r="E1335" t="str">
        <f t="shared" si="80"/>
        <v/>
      </c>
      <c r="F1335" t="str">
        <f t="shared" si="81"/>
        <v/>
      </c>
      <c r="H1335" t="str">
        <f t="shared" si="82"/>
        <v/>
      </c>
      <c r="I1335" s="5" t="str">
        <f t="shared" si="83"/>
        <v/>
      </c>
      <c r="J1335" s="2"/>
      <c r="K1335" s="2"/>
    </row>
    <row r="1336" spans="5:11">
      <c r="E1336" t="str">
        <f t="shared" si="80"/>
        <v/>
      </c>
      <c r="F1336" t="str">
        <f t="shared" si="81"/>
        <v/>
      </c>
      <c r="H1336" t="str">
        <f t="shared" si="82"/>
        <v/>
      </c>
      <c r="I1336" s="5" t="str">
        <f t="shared" si="83"/>
        <v/>
      </c>
      <c r="J1336" s="2"/>
      <c r="K1336" s="2"/>
    </row>
    <row r="1337" spans="5:11">
      <c r="E1337" t="str">
        <f t="shared" si="80"/>
        <v/>
      </c>
      <c r="F1337" t="str">
        <f t="shared" si="81"/>
        <v/>
      </c>
      <c r="H1337" t="str">
        <f t="shared" si="82"/>
        <v/>
      </c>
      <c r="I1337" s="5" t="str">
        <f t="shared" si="83"/>
        <v/>
      </c>
      <c r="J1337" s="2"/>
      <c r="K1337" s="2"/>
    </row>
    <row r="1338" spans="5:11">
      <c r="E1338" t="str">
        <f t="shared" si="80"/>
        <v/>
      </c>
      <c r="F1338" t="str">
        <f t="shared" si="81"/>
        <v/>
      </c>
      <c r="H1338" t="str">
        <f t="shared" si="82"/>
        <v/>
      </c>
      <c r="I1338" s="5" t="str">
        <f t="shared" si="83"/>
        <v/>
      </c>
      <c r="J1338" s="2"/>
      <c r="K1338" s="2"/>
    </row>
    <row r="1339" spans="5:11">
      <c r="E1339" t="str">
        <f t="shared" si="80"/>
        <v/>
      </c>
      <c r="F1339" t="str">
        <f t="shared" si="81"/>
        <v/>
      </c>
      <c r="H1339" t="str">
        <f t="shared" si="82"/>
        <v/>
      </c>
      <c r="I1339" s="5" t="str">
        <f t="shared" si="83"/>
        <v/>
      </c>
      <c r="J1339" s="2"/>
      <c r="K1339" s="2"/>
    </row>
    <row r="1340" spans="5:11">
      <c r="E1340" t="str">
        <f t="shared" si="80"/>
        <v/>
      </c>
      <c r="F1340" t="str">
        <f t="shared" si="81"/>
        <v/>
      </c>
      <c r="H1340" t="str">
        <f t="shared" si="82"/>
        <v/>
      </c>
      <c r="I1340" s="5" t="str">
        <f t="shared" si="83"/>
        <v/>
      </c>
      <c r="J1340" s="2"/>
      <c r="K1340" s="2"/>
    </row>
    <row r="1341" spans="5:11">
      <c r="E1341" t="str">
        <f t="shared" si="80"/>
        <v/>
      </c>
      <c r="F1341" t="str">
        <f t="shared" si="81"/>
        <v/>
      </c>
      <c r="H1341" t="str">
        <f t="shared" si="82"/>
        <v/>
      </c>
      <c r="I1341" s="5" t="str">
        <f t="shared" si="83"/>
        <v/>
      </c>
      <c r="J1341" s="2"/>
      <c r="K1341" s="2"/>
    </row>
    <row r="1342" spans="5:11">
      <c r="E1342" t="str">
        <f t="shared" si="80"/>
        <v/>
      </c>
      <c r="F1342" t="str">
        <f t="shared" si="81"/>
        <v/>
      </c>
      <c r="H1342" t="str">
        <f t="shared" si="82"/>
        <v/>
      </c>
      <c r="I1342" s="5" t="str">
        <f t="shared" si="83"/>
        <v/>
      </c>
      <c r="J1342" s="2"/>
      <c r="K1342" s="2"/>
    </row>
    <row r="1343" spans="5:11">
      <c r="E1343" t="str">
        <f t="shared" si="80"/>
        <v/>
      </c>
      <c r="F1343" t="str">
        <f t="shared" si="81"/>
        <v/>
      </c>
      <c r="H1343" t="str">
        <f t="shared" si="82"/>
        <v/>
      </c>
      <c r="I1343" s="5" t="str">
        <f t="shared" si="83"/>
        <v/>
      </c>
      <c r="J1343" s="2"/>
      <c r="K1343" s="2"/>
    </row>
    <row r="1344" spans="5:11">
      <c r="E1344" t="str">
        <f t="shared" si="80"/>
        <v/>
      </c>
      <c r="F1344" t="str">
        <f t="shared" si="81"/>
        <v/>
      </c>
      <c r="H1344" t="str">
        <f t="shared" si="82"/>
        <v/>
      </c>
      <c r="I1344" s="5" t="str">
        <f t="shared" si="83"/>
        <v/>
      </c>
      <c r="J1344" s="2"/>
      <c r="K1344" s="2"/>
    </row>
    <row r="1345" spans="5:11">
      <c r="E1345" t="str">
        <f t="shared" si="80"/>
        <v/>
      </c>
      <c r="F1345" t="str">
        <f t="shared" si="81"/>
        <v/>
      </c>
      <c r="H1345" t="str">
        <f t="shared" si="82"/>
        <v/>
      </c>
      <c r="I1345" s="5" t="str">
        <f t="shared" si="83"/>
        <v/>
      </c>
      <c r="J1345" s="2"/>
      <c r="K1345" s="2"/>
    </row>
    <row r="1346" spans="5:11">
      <c r="E1346" t="str">
        <f t="shared" si="80"/>
        <v/>
      </c>
      <c r="F1346" t="str">
        <f t="shared" si="81"/>
        <v/>
      </c>
      <c r="H1346" t="str">
        <f t="shared" si="82"/>
        <v/>
      </c>
      <c r="I1346" s="5" t="str">
        <f t="shared" si="83"/>
        <v/>
      </c>
      <c r="J1346" s="2"/>
      <c r="K1346" s="2"/>
    </row>
    <row r="1347" spans="5:11">
      <c r="E1347" t="str">
        <f t="shared" si="80"/>
        <v/>
      </c>
      <c r="F1347" t="str">
        <f t="shared" si="81"/>
        <v/>
      </c>
      <c r="H1347" t="str">
        <f t="shared" si="82"/>
        <v/>
      </c>
      <c r="I1347" s="5" t="str">
        <f t="shared" si="83"/>
        <v/>
      </c>
      <c r="J1347" s="2"/>
      <c r="K1347" s="2"/>
    </row>
    <row r="1348" spans="5:11">
      <c r="E1348" t="str">
        <f t="shared" si="80"/>
        <v/>
      </c>
      <c r="F1348" t="str">
        <f t="shared" si="81"/>
        <v/>
      </c>
      <c r="H1348" t="str">
        <f t="shared" si="82"/>
        <v/>
      </c>
      <c r="I1348" s="5" t="str">
        <f t="shared" si="83"/>
        <v/>
      </c>
      <c r="J1348" s="2"/>
      <c r="K1348" s="2"/>
    </row>
    <row r="1349" spans="5:11">
      <c r="E1349" t="str">
        <f t="shared" ref="E1349:E1412" si="84">IF(A1349="","",TEXT(A1349,"0")&amp;"-Q"&amp;TEXT(B1349,"0")&amp;"-"&amp;IF(C1349="","ABERTA",C1349))</f>
        <v/>
      </c>
      <c r="F1349" t="str">
        <f t="shared" ref="F1349:F1412" si="85">IF(D1349="V/F",1,IF(D1349="Aberta/numérica",5,""))</f>
        <v/>
      </c>
      <c r="H1349" t="str">
        <f t="shared" ref="H1349:H1412" si="86">IF(A1349="","",IF(C1349="",COUNTIFS($A$5:$A$1504,A1349,$B$5:$B$1504,B1349,$C$5:$C$1504,"",$D$5:$D$1504,D1349),COUNTIFS($A$5:$A$1504,A1349,$B$5:$B$1504,B1349,$C$5:$C$1504,C1349,$D$5:$D$1504,D1349)))</f>
        <v/>
      </c>
      <c r="I1349" s="5" t="str">
        <f t="shared" ref="I1349:I1412" si="87">IF(OR(F1349="",H1349="",G1349=""),"",F1349/H1349)</f>
        <v/>
      </c>
      <c r="J1349" s="2"/>
      <c r="K1349" s="2"/>
    </row>
    <row r="1350" spans="5:11">
      <c r="E1350" t="str">
        <f t="shared" si="84"/>
        <v/>
      </c>
      <c r="F1350" t="str">
        <f t="shared" si="85"/>
        <v/>
      </c>
      <c r="H1350" t="str">
        <f t="shared" si="86"/>
        <v/>
      </c>
      <c r="I1350" s="5" t="str">
        <f t="shared" si="87"/>
        <v/>
      </c>
      <c r="J1350" s="2"/>
      <c r="K1350" s="2"/>
    </row>
    <row r="1351" spans="5:11">
      <c r="E1351" t="str">
        <f t="shared" si="84"/>
        <v/>
      </c>
      <c r="F1351" t="str">
        <f t="shared" si="85"/>
        <v/>
      </c>
      <c r="H1351" t="str">
        <f t="shared" si="86"/>
        <v/>
      </c>
      <c r="I1351" s="5" t="str">
        <f t="shared" si="87"/>
        <v/>
      </c>
      <c r="J1351" s="2"/>
      <c r="K1351" s="2"/>
    </row>
    <row r="1352" spans="5:11">
      <c r="E1352" t="str">
        <f t="shared" si="84"/>
        <v/>
      </c>
      <c r="F1352" t="str">
        <f t="shared" si="85"/>
        <v/>
      </c>
      <c r="H1352" t="str">
        <f t="shared" si="86"/>
        <v/>
      </c>
      <c r="I1352" s="5" t="str">
        <f t="shared" si="87"/>
        <v/>
      </c>
      <c r="J1352" s="2"/>
      <c r="K1352" s="2"/>
    </row>
    <row r="1353" spans="5:11">
      <c r="E1353" t="str">
        <f t="shared" si="84"/>
        <v/>
      </c>
      <c r="F1353" t="str">
        <f t="shared" si="85"/>
        <v/>
      </c>
      <c r="H1353" t="str">
        <f t="shared" si="86"/>
        <v/>
      </c>
      <c r="I1353" s="5" t="str">
        <f t="shared" si="87"/>
        <v/>
      </c>
      <c r="J1353" s="2"/>
      <c r="K1353" s="2"/>
    </row>
    <row r="1354" spans="5:11">
      <c r="E1354" t="str">
        <f t="shared" si="84"/>
        <v/>
      </c>
      <c r="F1354" t="str">
        <f t="shared" si="85"/>
        <v/>
      </c>
      <c r="H1354" t="str">
        <f t="shared" si="86"/>
        <v/>
      </c>
      <c r="I1354" s="5" t="str">
        <f t="shared" si="87"/>
        <v/>
      </c>
      <c r="J1354" s="2"/>
      <c r="K1354" s="2"/>
    </row>
    <row r="1355" spans="5:11">
      <c r="E1355" t="str">
        <f t="shared" si="84"/>
        <v/>
      </c>
      <c r="F1355" t="str">
        <f t="shared" si="85"/>
        <v/>
      </c>
      <c r="H1355" t="str">
        <f t="shared" si="86"/>
        <v/>
      </c>
      <c r="I1355" s="5" t="str">
        <f t="shared" si="87"/>
        <v/>
      </c>
      <c r="J1355" s="2"/>
      <c r="K1355" s="2"/>
    </row>
    <row r="1356" spans="5:11">
      <c r="E1356" t="str">
        <f t="shared" si="84"/>
        <v/>
      </c>
      <c r="F1356" t="str">
        <f t="shared" si="85"/>
        <v/>
      </c>
      <c r="H1356" t="str">
        <f t="shared" si="86"/>
        <v/>
      </c>
      <c r="I1356" s="5" t="str">
        <f t="shared" si="87"/>
        <v/>
      </c>
      <c r="J1356" s="2"/>
      <c r="K1356" s="2"/>
    </row>
    <row r="1357" spans="5:11">
      <c r="E1357" t="str">
        <f t="shared" si="84"/>
        <v/>
      </c>
      <c r="F1357" t="str">
        <f t="shared" si="85"/>
        <v/>
      </c>
      <c r="H1357" t="str">
        <f t="shared" si="86"/>
        <v/>
      </c>
      <c r="I1357" s="5" t="str">
        <f t="shared" si="87"/>
        <v/>
      </c>
      <c r="J1357" s="2"/>
      <c r="K1357" s="2"/>
    </row>
    <row r="1358" spans="5:11">
      <c r="E1358" t="str">
        <f t="shared" si="84"/>
        <v/>
      </c>
      <c r="F1358" t="str">
        <f t="shared" si="85"/>
        <v/>
      </c>
      <c r="H1358" t="str">
        <f t="shared" si="86"/>
        <v/>
      </c>
      <c r="I1358" s="5" t="str">
        <f t="shared" si="87"/>
        <v/>
      </c>
      <c r="J1358" s="2"/>
      <c r="K1358" s="2"/>
    </row>
    <row r="1359" spans="5:11">
      <c r="E1359" t="str">
        <f t="shared" si="84"/>
        <v/>
      </c>
      <c r="F1359" t="str">
        <f t="shared" si="85"/>
        <v/>
      </c>
      <c r="H1359" t="str">
        <f t="shared" si="86"/>
        <v/>
      </c>
      <c r="I1359" s="5" t="str">
        <f t="shared" si="87"/>
        <v/>
      </c>
      <c r="J1359" s="2"/>
      <c r="K1359" s="2"/>
    </row>
    <row r="1360" spans="5:11">
      <c r="E1360" t="str">
        <f t="shared" si="84"/>
        <v/>
      </c>
      <c r="F1360" t="str">
        <f t="shared" si="85"/>
        <v/>
      </c>
      <c r="H1360" t="str">
        <f t="shared" si="86"/>
        <v/>
      </c>
      <c r="I1360" s="5" t="str">
        <f t="shared" si="87"/>
        <v/>
      </c>
      <c r="J1360" s="2"/>
      <c r="K1360" s="2"/>
    </row>
    <row r="1361" spans="5:11">
      <c r="E1361" t="str">
        <f t="shared" si="84"/>
        <v/>
      </c>
      <c r="F1361" t="str">
        <f t="shared" si="85"/>
        <v/>
      </c>
      <c r="H1361" t="str">
        <f t="shared" si="86"/>
        <v/>
      </c>
      <c r="I1361" s="5" t="str">
        <f t="shared" si="87"/>
        <v/>
      </c>
      <c r="J1361" s="2"/>
      <c r="K1361" s="2"/>
    </row>
    <row r="1362" spans="5:11">
      <c r="E1362" t="str">
        <f t="shared" si="84"/>
        <v/>
      </c>
      <c r="F1362" t="str">
        <f t="shared" si="85"/>
        <v/>
      </c>
      <c r="H1362" t="str">
        <f t="shared" si="86"/>
        <v/>
      </c>
      <c r="I1362" s="5" t="str">
        <f t="shared" si="87"/>
        <v/>
      </c>
      <c r="J1362" s="2"/>
      <c r="K1362" s="2"/>
    </row>
    <row r="1363" spans="5:11">
      <c r="E1363" t="str">
        <f t="shared" si="84"/>
        <v/>
      </c>
      <c r="F1363" t="str">
        <f t="shared" si="85"/>
        <v/>
      </c>
      <c r="H1363" t="str">
        <f t="shared" si="86"/>
        <v/>
      </c>
      <c r="I1363" s="5" t="str">
        <f t="shared" si="87"/>
        <v/>
      </c>
      <c r="J1363" s="2"/>
      <c r="K1363" s="2"/>
    </row>
    <row r="1364" spans="5:11">
      <c r="E1364" t="str">
        <f t="shared" si="84"/>
        <v/>
      </c>
      <c r="F1364" t="str">
        <f t="shared" si="85"/>
        <v/>
      </c>
      <c r="H1364" t="str">
        <f t="shared" si="86"/>
        <v/>
      </c>
      <c r="I1364" s="5" t="str">
        <f t="shared" si="87"/>
        <v/>
      </c>
      <c r="J1364" s="2"/>
      <c r="K1364" s="2"/>
    </row>
    <row r="1365" spans="5:11">
      <c r="E1365" t="str">
        <f t="shared" si="84"/>
        <v/>
      </c>
      <c r="F1365" t="str">
        <f t="shared" si="85"/>
        <v/>
      </c>
      <c r="H1365" t="str">
        <f t="shared" si="86"/>
        <v/>
      </c>
      <c r="I1365" s="5" t="str">
        <f t="shared" si="87"/>
        <v/>
      </c>
      <c r="J1365" s="2"/>
      <c r="K1365" s="2"/>
    </row>
    <row r="1366" spans="5:11">
      <c r="E1366" t="str">
        <f t="shared" si="84"/>
        <v/>
      </c>
      <c r="F1366" t="str">
        <f t="shared" si="85"/>
        <v/>
      </c>
      <c r="H1366" t="str">
        <f t="shared" si="86"/>
        <v/>
      </c>
      <c r="I1366" s="5" t="str">
        <f t="shared" si="87"/>
        <v/>
      </c>
      <c r="J1366" s="2"/>
      <c r="K1366" s="2"/>
    </row>
    <row r="1367" spans="5:11">
      <c r="E1367" t="str">
        <f t="shared" si="84"/>
        <v/>
      </c>
      <c r="F1367" t="str">
        <f t="shared" si="85"/>
        <v/>
      </c>
      <c r="H1367" t="str">
        <f t="shared" si="86"/>
        <v/>
      </c>
      <c r="I1367" s="5" t="str">
        <f t="shared" si="87"/>
        <v/>
      </c>
      <c r="J1367" s="2"/>
      <c r="K1367" s="2"/>
    </row>
    <row r="1368" spans="5:11">
      <c r="E1368" t="str">
        <f t="shared" si="84"/>
        <v/>
      </c>
      <c r="F1368" t="str">
        <f t="shared" si="85"/>
        <v/>
      </c>
      <c r="H1368" t="str">
        <f t="shared" si="86"/>
        <v/>
      </c>
      <c r="I1368" s="5" t="str">
        <f t="shared" si="87"/>
        <v/>
      </c>
      <c r="J1368" s="2"/>
      <c r="K1368" s="2"/>
    </row>
    <row r="1369" spans="5:11">
      <c r="E1369" t="str">
        <f t="shared" si="84"/>
        <v/>
      </c>
      <c r="F1369" t="str">
        <f t="shared" si="85"/>
        <v/>
      </c>
      <c r="H1369" t="str">
        <f t="shared" si="86"/>
        <v/>
      </c>
      <c r="I1369" s="5" t="str">
        <f t="shared" si="87"/>
        <v/>
      </c>
      <c r="J1369" s="2"/>
      <c r="K1369" s="2"/>
    </row>
    <row r="1370" spans="5:11">
      <c r="E1370" t="str">
        <f t="shared" si="84"/>
        <v/>
      </c>
      <c r="F1370" t="str">
        <f t="shared" si="85"/>
        <v/>
      </c>
      <c r="H1370" t="str">
        <f t="shared" si="86"/>
        <v/>
      </c>
      <c r="I1370" s="5" t="str">
        <f t="shared" si="87"/>
        <v/>
      </c>
      <c r="J1370" s="2"/>
      <c r="K1370" s="2"/>
    </row>
    <row r="1371" spans="5:11">
      <c r="E1371" t="str">
        <f t="shared" si="84"/>
        <v/>
      </c>
      <c r="F1371" t="str">
        <f t="shared" si="85"/>
        <v/>
      </c>
      <c r="H1371" t="str">
        <f t="shared" si="86"/>
        <v/>
      </c>
      <c r="I1371" s="5" t="str">
        <f t="shared" si="87"/>
        <v/>
      </c>
      <c r="J1371" s="2"/>
      <c r="K1371" s="2"/>
    </row>
    <row r="1372" spans="5:11">
      <c r="E1372" t="str">
        <f t="shared" si="84"/>
        <v/>
      </c>
      <c r="F1372" t="str">
        <f t="shared" si="85"/>
        <v/>
      </c>
      <c r="H1372" t="str">
        <f t="shared" si="86"/>
        <v/>
      </c>
      <c r="I1372" s="5" t="str">
        <f t="shared" si="87"/>
        <v/>
      </c>
      <c r="J1372" s="2"/>
      <c r="K1372" s="2"/>
    </row>
    <row r="1373" spans="5:11">
      <c r="E1373" t="str">
        <f t="shared" si="84"/>
        <v/>
      </c>
      <c r="F1373" t="str">
        <f t="shared" si="85"/>
        <v/>
      </c>
      <c r="H1373" t="str">
        <f t="shared" si="86"/>
        <v/>
      </c>
      <c r="I1373" s="5" t="str">
        <f t="shared" si="87"/>
        <v/>
      </c>
      <c r="J1373" s="2"/>
      <c r="K1373" s="2"/>
    </row>
    <row r="1374" spans="5:11">
      <c r="E1374" t="str">
        <f t="shared" si="84"/>
        <v/>
      </c>
      <c r="F1374" t="str">
        <f t="shared" si="85"/>
        <v/>
      </c>
      <c r="H1374" t="str">
        <f t="shared" si="86"/>
        <v/>
      </c>
      <c r="I1374" s="5" t="str">
        <f t="shared" si="87"/>
        <v/>
      </c>
      <c r="J1374" s="2"/>
      <c r="K1374" s="2"/>
    </row>
    <row r="1375" spans="5:11">
      <c r="E1375" t="str">
        <f t="shared" si="84"/>
        <v/>
      </c>
      <c r="F1375" t="str">
        <f t="shared" si="85"/>
        <v/>
      </c>
      <c r="H1375" t="str">
        <f t="shared" si="86"/>
        <v/>
      </c>
      <c r="I1375" s="5" t="str">
        <f t="shared" si="87"/>
        <v/>
      </c>
      <c r="J1375" s="2"/>
      <c r="K1375" s="2"/>
    </row>
    <row r="1376" spans="5:11">
      <c r="E1376" t="str">
        <f t="shared" si="84"/>
        <v/>
      </c>
      <c r="F1376" t="str">
        <f t="shared" si="85"/>
        <v/>
      </c>
      <c r="H1376" t="str">
        <f t="shared" si="86"/>
        <v/>
      </c>
      <c r="I1376" s="5" t="str">
        <f t="shared" si="87"/>
        <v/>
      </c>
      <c r="J1376" s="2"/>
      <c r="K1376" s="2"/>
    </row>
    <row r="1377" spans="5:11">
      <c r="E1377" t="str">
        <f t="shared" si="84"/>
        <v/>
      </c>
      <c r="F1377" t="str">
        <f t="shared" si="85"/>
        <v/>
      </c>
      <c r="H1377" t="str">
        <f t="shared" si="86"/>
        <v/>
      </c>
      <c r="I1377" s="5" t="str">
        <f t="shared" si="87"/>
        <v/>
      </c>
      <c r="J1377" s="2"/>
      <c r="K1377" s="2"/>
    </row>
    <row r="1378" spans="5:11">
      <c r="E1378" t="str">
        <f t="shared" si="84"/>
        <v/>
      </c>
      <c r="F1378" t="str">
        <f t="shared" si="85"/>
        <v/>
      </c>
      <c r="H1378" t="str">
        <f t="shared" si="86"/>
        <v/>
      </c>
      <c r="I1378" s="5" t="str">
        <f t="shared" si="87"/>
        <v/>
      </c>
      <c r="J1378" s="2"/>
      <c r="K1378" s="2"/>
    </row>
    <row r="1379" spans="5:11">
      <c r="E1379" t="str">
        <f t="shared" si="84"/>
        <v/>
      </c>
      <c r="F1379" t="str">
        <f t="shared" si="85"/>
        <v/>
      </c>
      <c r="H1379" t="str">
        <f t="shared" si="86"/>
        <v/>
      </c>
      <c r="I1379" s="5" t="str">
        <f t="shared" si="87"/>
        <v/>
      </c>
      <c r="J1379" s="2"/>
      <c r="K1379" s="2"/>
    </row>
    <row r="1380" spans="5:11">
      <c r="E1380" t="str">
        <f t="shared" si="84"/>
        <v/>
      </c>
      <c r="F1380" t="str">
        <f t="shared" si="85"/>
        <v/>
      </c>
      <c r="H1380" t="str">
        <f t="shared" si="86"/>
        <v/>
      </c>
      <c r="I1380" s="5" t="str">
        <f t="shared" si="87"/>
        <v/>
      </c>
      <c r="J1380" s="2"/>
      <c r="K1380" s="2"/>
    </row>
    <row r="1381" spans="5:11">
      <c r="E1381" t="str">
        <f t="shared" si="84"/>
        <v/>
      </c>
      <c r="F1381" t="str">
        <f t="shared" si="85"/>
        <v/>
      </c>
      <c r="H1381" t="str">
        <f t="shared" si="86"/>
        <v/>
      </c>
      <c r="I1381" s="5" t="str">
        <f t="shared" si="87"/>
        <v/>
      </c>
      <c r="J1381" s="2"/>
      <c r="K1381" s="2"/>
    </row>
    <row r="1382" spans="5:11">
      <c r="E1382" t="str">
        <f t="shared" si="84"/>
        <v/>
      </c>
      <c r="F1382" t="str">
        <f t="shared" si="85"/>
        <v/>
      </c>
      <c r="H1382" t="str">
        <f t="shared" si="86"/>
        <v/>
      </c>
      <c r="I1382" s="5" t="str">
        <f t="shared" si="87"/>
        <v/>
      </c>
      <c r="J1382" s="2"/>
      <c r="K1382" s="2"/>
    </row>
    <row r="1383" spans="5:11">
      <c r="E1383" t="str">
        <f t="shared" si="84"/>
        <v/>
      </c>
      <c r="F1383" t="str">
        <f t="shared" si="85"/>
        <v/>
      </c>
      <c r="H1383" t="str">
        <f t="shared" si="86"/>
        <v/>
      </c>
      <c r="I1383" s="5" t="str">
        <f t="shared" si="87"/>
        <v/>
      </c>
      <c r="J1383" s="2"/>
      <c r="K1383" s="2"/>
    </row>
    <row r="1384" spans="5:11">
      <c r="E1384" t="str">
        <f t="shared" si="84"/>
        <v/>
      </c>
      <c r="F1384" t="str">
        <f t="shared" si="85"/>
        <v/>
      </c>
      <c r="H1384" t="str">
        <f t="shared" si="86"/>
        <v/>
      </c>
      <c r="I1384" s="5" t="str">
        <f t="shared" si="87"/>
        <v/>
      </c>
      <c r="J1384" s="2"/>
      <c r="K1384" s="2"/>
    </row>
    <row r="1385" spans="5:11">
      <c r="E1385" t="str">
        <f t="shared" si="84"/>
        <v/>
      </c>
      <c r="F1385" t="str">
        <f t="shared" si="85"/>
        <v/>
      </c>
      <c r="H1385" t="str">
        <f t="shared" si="86"/>
        <v/>
      </c>
      <c r="I1385" s="5" t="str">
        <f t="shared" si="87"/>
        <v/>
      </c>
      <c r="J1385" s="2"/>
      <c r="K1385" s="2"/>
    </row>
    <row r="1386" spans="5:11">
      <c r="E1386" t="str">
        <f t="shared" si="84"/>
        <v/>
      </c>
      <c r="F1386" t="str">
        <f t="shared" si="85"/>
        <v/>
      </c>
      <c r="H1386" t="str">
        <f t="shared" si="86"/>
        <v/>
      </c>
      <c r="I1386" s="5" t="str">
        <f t="shared" si="87"/>
        <v/>
      </c>
      <c r="J1386" s="2"/>
      <c r="K1386" s="2"/>
    </row>
    <row r="1387" spans="5:11">
      <c r="E1387" t="str">
        <f t="shared" si="84"/>
        <v/>
      </c>
      <c r="F1387" t="str">
        <f t="shared" si="85"/>
        <v/>
      </c>
      <c r="H1387" t="str">
        <f t="shared" si="86"/>
        <v/>
      </c>
      <c r="I1387" s="5" t="str">
        <f t="shared" si="87"/>
        <v/>
      </c>
      <c r="J1387" s="2"/>
      <c r="K1387" s="2"/>
    </row>
    <row r="1388" spans="5:11">
      <c r="E1388" t="str">
        <f t="shared" si="84"/>
        <v/>
      </c>
      <c r="F1388" t="str">
        <f t="shared" si="85"/>
        <v/>
      </c>
      <c r="H1388" t="str">
        <f t="shared" si="86"/>
        <v/>
      </c>
      <c r="I1388" s="5" t="str">
        <f t="shared" si="87"/>
        <v/>
      </c>
      <c r="J1388" s="2"/>
      <c r="K1388" s="2"/>
    </row>
    <row r="1389" spans="5:11">
      <c r="E1389" t="str">
        <f t="shared" si="84"/>
        <v/>
      </c>
      <c r="F1389" t="str">
        <f t="shared" si="85"/>
        <v/>
      </c>
      <c r="H1389" t="str">
        <f t="shared" si="86"/>
        <v/>
      </c>
      <c r="I1389" s="5" t="str">
        <f t="shared" si="87"/>
        <v/>
      </c>
      <c r="J1389" s="2"/>
      <c r="K1389" s="2"/>
    </row>
    <row r="1390" spans="5:11">
      <c r="E1390" t="str">
        <f t="shared" si="84"/>
        <v/>
      </c>
      <c r="F1390" t="str">
        <f t="shared" si="85"/>
        <v/>
      </c>
      <c r="H1390" t="str">
        <f t="shared" si="86"/>
        <v/>
      </c>
      <c r="I1390" s="5" t="str">
        <f t="shared" si="87"/>
        <v/>
      </c>
      <c r="J1390" s="2"/>
      <c r="K1390" s="2"/>
    </row>
    <row r="1391" spans="5:11">
      <c r="E1391" t="str">
        <f t="shared" si="84"/>
        <v/>
      </c>
      <c r="F1391" t="str">
        <f t="shared" si="85"/>
        <v/>
      </c>
      <c r="H1391" t="str">
        <f t="shared" si="86"/>
        <v/>
      </c>
      <c r="I1391" s="5" t="str">
        <f t="shared" si="87"/>
        <v/>
      </c>
      <c r="J1391" s="2"/>
      <c r="K1391" s="2"/>
    </row>
    <row r="1392" spans="5:11">
      <c r="E1392" t="str">
        <f t="shared" si="84"/>
        <v/>
      </c>
      <c r="F1392" t="str">
        <f t="shared" si="85"/>
        <v/>
      </c>
      <c r="H1392" t="str">
        <f t="shared" si="86"/>
        <v/>
      </c>
      <c r="I1392" s="5" t="str">
        <f t="shared" si="87"/>
        <v/>
      </c>
      <c r="J1392" s="2"/>
      <c r="K1392" s="2"/>
    </row>
    <row r="1393" spans="5:11">
      <c r="E1393" t="str">
        <f t="shared" si="84"/>
        <v/>
      </c>
      <c r="F1393" t="str">
        <f t="shared" si="85"/>
        <v/>
      </c>
      <c r="H1393" t="str">
        <f t="shared" si="86"/>
        <v/>
      </c>
      <c r="I1393" s="5" t="str">
        <f t="shared" si="87"/>
        <v/>
      </c>
      <c r="J1393" s="2"/>
      <c r="K1393" s="2"/>
    </row>
    <row r="1394" spans="5:11">
      <c r="E1394" t="str">
        <f t="shared" si="84"/>
        <v/>
      </c>
      <c r="F1394" t="str">
        <f t="shared" si="85"/>
        <v/>
      </c>
      <c r="H1394" t="str">
        <f t="shared" si="86"/>
        <v/>
      </c>
      <c r="I1394" s="5" t="str">
        <f t="shared" si="87"/>
        <v/>
      </c>
      <c r="J1394" s="2"/>
      <c r="K1394" s="2"/>
    </row>
    <row r="1395" spans="5:11">
      <c r="E1395" t="str">
        <f t="shared" si="84"/>
        <v/>
      </c>
      <c r="F1395" t="str">
        <f t="shared" si="85"/>
        <v/>
      </c>
      <c r="H1395" t="str">
        <f t="shared" si="86"/>
        <v/>
      </c>
      <c r="I1395" s="5" t="str">
        <f t="shared" si="87"/>
        <v/>
      </c>
      <c r="J1395" s="2"/>
      <c r="K1395" s="2"/>
    </row>
    <row r="1396" spans="5:11">
      <c r="E1396" t="str">
        <f t="shared" si="84"/>
        <v/>
      </c>
      <c r="F1396" t="str">
        <f t="shared" si="85"/>
        <v/>
      </c>
      <c r="H1396" t="str">
        <f t="shared" si="86"/>
        <v/>
      </c>
      <c r="I1396" s="5" t="str">
        <f t="shared" si="87"/>
        <v/>
      </c>
      <c r="J1396" s="2"/>
      <c r="K1396" s="2"/>
    </row>
    <row r="1397" spans="5:11">
      <c r="E1397" t="str">
        <f t="shared" si="84"/>
        <v/>
      </c>
      <c r="F1397" t="str">
        <f t="shared" si="85"/>
        <v/>
      </c>
      <c r="H1397" t="str">
        <f t="shared" si="86"/>
        <v/>
      </c>
      <c r="I1397" s="5" t="str">
        <f t="shared" si="87"/>
        <v/>
      </c>
      <c r="J1397" s="2"/>
      <c r="K1397" s="2"/>
    </row>
    <row r="1398" spans="5:11">
      <c r="E1398" t="str">
        <f t="shared" si="84"/>
        <v/>
      </c>
      <c r="F1398" t="str">
        <f t="shared" si="85"/>
        <v/>
      </c>
      <c r="H1398" t="str">
        <f t="shared" si="86"/>
        <v/>
      </c>
      <c r="I1398" s="5" t="str">
        <f t="shared" si="87"/>
        <v/>
      </c>
      <c r="J1398" s="2"/>
      <c r="K1398" s="2"/>
    </row>
    <row r="1399" spans="5:11">
      <c r="E1399" t="str">
        <f t="shared" si="84"/>
        <v/>
      </c>
      <c r="F1399" t="str">
        <f t="shared" si="85"/>
        <v/>
      </c>
      <c r="H1399" t="str">
        <f t="shared" si="86"/>
        <v/>
      </c>
      <c r="I1399" s="5" t="str">
        <f t="shared" si="87"/>
        <v/>
      </c>
      <c r="J1399" s="2"/>
      <c r="K1399" s="2"/>
    </row>
    <row r="1400" spans="5:11">
      <c r="E1400" t="str">
        <f t="shared" si="84"/>
        <v/>
      </c>
      <c r="F1400" t="str">
        <f t="shared" si="85"/>
        <v/>
      </c>
      <c r="H1400" t="str">
        <f t="shared" si="86"/>
        <v/>
      </c>
      <c r="I1400" s="5" t="str">
        <f t="shared" si="87"/>
        <v/>
      </c>
      <c r="J1400" s="2"/>
      <c r="K1400" s="2"/>
    </row>
    <row r="1401" spans="5:11">
      <c r="E1401" t="str">
        <f t="shared" si="84"/>
        <v/>
      </c>
      <c r="F1401" t="str">
        <f t="shared" si="85"/>
        <v/>
      </c>
      <c r="H1401" t="str">
        <f t="shared" si="86"/>
        <v/>
      </c>
      <c r="I1401" s="5" t="str">
        <f t="shared" si="87"/>
        <v/>
      </c>
      <c r="J1401" s="2"/>
      <c r="K1401" s="2"/>
    </row>
    <row r="1402" spans="5:11">
      <c r="E1402" t="str">
        <f t="shared" si="84"/>
        <v/>
      </c>
      <c r="F1402" t="str">
        <f t="shared" si="85"/>
        <v/>
      </c>
      <c r="H1402" t="str">
        <f t="shared" si="86"/>
        <v/>
      </c>
      <c r="I1402" s="5" t="str">
        <f t="shared" si="87"/>
        <v/>
      </c>
      <c r="J1402" s="2"/>
      <c r="K1402" s="2"/>
    </row>
    <row r="1403" spans="5:11">
      <c r="E1403" t="str">
        <f t="shared" si="84"/>
        <v/>
      </c>
      <c r="F1403" t="str">
        <f t="shared" si="85"/>
        <v/>
      </c>
      <c r="H1403" t="str">
        <f t="shared" si="86"/>
        <v/>
      </c>
      <c r="I1403" s="5" t="str">
        <f t="shared" si="87"/>
        <v/>
      </c>
      <c r="J1403" s="2"/>
      <c r="K1403" s="2"/>
    </row>
    <row r="1404" spans="5:11">
      <c r="E1404" t="str">
        <f t="shared" si="84"/>
        <v/>
      </c>
      <c r="F1404" t="str">
        <f t="shared" si="85"/>
        <v/>
      </c>
      <c r="H1404" t="str">
        <f t="shared" si="86"/>
        <v/>
      </c>
      <c r="I1404" s="5" t="str">
        <f t="shared" si="87"/>
        <v/>
      </c>
      <c r="J1404" s="2"/>
      <c r="K1404" s="2"/>
    </row>
    <row r="1405" spans="5:11">
      <c r="E1405" t="str">
        <f t="shared" si="84"/>
        <v/>
      </c>
      <c r="F1405" t="str">
        <f t="shared" si="85"/>
        <v/>
      </c>
      <c r="H1405" t="str">
        <f t="shared" si="86"/>
        <v/>
      </c>
      <c r="I1405" s="5" t="str">
        <f t="shared" si="87"/>
        <v/>
      </c>
      <c r="J1405" s="2"/>
      <c r="K1405" s="2"/>
    </row>
    <row r="1406" spans="5:11">
      <c r="E1406" t="str">
        <f t="shared" si="84"/>
        <v/>
      </c>
      <c r="F1406" t="str">
        <f t="shared" si="85"/>
        <v/>
      </c>
      <c r="H1406" t="str">
        <f t="shared" si="86"/>
        <v/>
      </c>
      <c r="I1406" s="5" t="str">
        <f t="shared" si="87"/>
        <v/>
      </c>
      <c r="J1406" s="2"/>
      <c r="K1406" s="2"/>
    </row>
    <row r="1407" spans="5:11">
      <c r="E1407" t="str">
        <f t="shared" si="84"/>
        <v/>
      </c>
      <c r="F1407" t="str">
        <f t="shared" si="85"/>
        <v/>
      </c>
      <c r="H1407" t="str">
        <f t="shared" si="86"/>
        <v/>
      </c>
      <c r="I1407" s="5" t="str">
        <f t="shared" si="87"/>
        <v/>
      </c>
      <c r="J1407" s="2"/>
      <c r="K1407" s="2"/>
    </row>
    <row r="1408" spans="5:11">
      <c r="E1408" t="str">
        <f t="shared" si="84"/>
        <v/>
      </c>
      <c r="F1408" t="str">
        <f t="shared" si="85"/>
        <v/>
      </c>
      <c r="H1408" t="str">
        <f t="shared" si="86"/>
        <v/>
      </c>
      <c r="I1408" s="5" t="str">
        <f t="shared" si="87"/>
        <v/>
      </c>
      <c r="J1408" s="2"/>
      <c r="K1408" s="2"/>
    </row>
    <row r="1409" spans="5:11">
      <c r="E1409" t="str">
        <f t="shared" si="84"/>
        <v/>
      </c>
      <c r="F1409" t="str">
        <f t="shared" si="85"/>
        <v/>
      </c>
      <c r="H1409" t="str">
        <f t="shared" si="86"/>
        <v/>
      </c>
      <c r="I1409" s="5" t="str">
        <f t="shared" si="87"/>
        <v/>
      </c>
      <c r="J1409" s="2"/>
      <c r="K1409" s="2"/>
    </row>
    <row r="1410" spans="5:11">
      <c r="E1410" t="str">
        <f t="shared" si="84"/>
        <v/>
      </c>
      <c r="F1410" t="str">
        <f t="shared" si="85"/>
        <v/>
      </c>
      <c r="H1410" t="str">
        <f t="shared" si="86"/>
        <v/>
      </c>
      <c r="I1410" s="5" t="str">
        <f t="shared" si="87"/>
        <v/>
      </c>
      <c r="J1410" s="2"/>
      <c r="K1410" s="2"/>
    </row>
    <row r="1411" spans="5:11">
      <c r="E1411" t="str">
        <f t="shared" si="84"/>
        <v/>
      </c>
      <c r="F1411" t="str">
        <f t="shared" si="85"/>
        <v/>
      </c>
      <c r="H1411" t="str">
        <f t="shared" si="86"/>
        <v/>
      </c>
      <c r="I1411" s="5" t="str">
        <f t="shared" si="87"/>
        <v/>
      </c>
      <c r="J1411" s="2"/>
      <c r="K1411" s="2"/>
    </row>
    <row r="1412" spans="5:11">
      <c r="E1412" t="str">
        <f t="shared" si="84"/>
        <v/>
      </c>
      <c r="F1412" t="str">
        <f t="shared" si="85"/>
        <v/>
      </c>
      <c r="H1412" t="str">
        <f t="shared" si="86"/>
        <v/>
      </c>
      <c r="I1412" s="5" t="str">
        <f t="shared" si="87"/>
        <v/>
      </c>
      <c r="J1412" s="2"/>
      <c r="K1412" s="2"/>
    </row>
    <row r="1413" spans="5:11">
      <c r="E1413" t="str">
        <f t="shared" ref="E1413:E1476" si="88">IF(A1413="","",TEXT(A1413,"0")&amp;"-Q"&amp;TEXT(B1413,"0")&amp;"-"&amp;IF(C1413="","ABERTA",C1413))</f>
        <v/>
      </c>
      <c r="F1413" t="str">
        <f t="shared" ref="F1413:F1476" si="89">IF(D1413="V/F",1,IF(D1413="Aberta/numérica",5,""))</f>
        <v/>
      </c>
      <c r="H1413" t="str">
        <f t="shared" ref="H1413:H1476" si="90">IF(A1413="","",IF(C1413="",COUNTIFS($A$5:$A$1504,A1413,$B$5:$B$1504,B1413,$C$5:$C$1504,"",$D$5:$D$1504,D1413),COUNTIFS($A$5:$A$1504,A1413,$B$5:$B$1504,B1413,$C$5:$C$1504,C1413,$D$5:$D$1504,D1413)))</f>
        <v/>
      </c>
      <c r="I1413" s="5" t="str">
        <f t="shared" ref="I1413:I1476" si="91">IF(OR(F1413="",H1413="",G1413=""),"",F1413/H1413)</f>
        <v/>
      </c>
      <c r="J1413" s="2"/>
      <c r="K1413" s="2"/>
    </row>
    <row r="1414" spans="5:11">
      <c r="E1414" t="str">
        <f t="shared" si="88"/>
        <v/>
      </c>
      <c r="F1414" t="str">
        <f t="shared" si="89"/>
        <v/>
      </c>
      <c r="H1414" t="str">
        <f t="shared" si="90"/>
        <v/>
      </c>
      <c r="I1414" s="5" t="str">
        <f t="shared" si="91"/>
        <v/>
      </c>
      <c r="J1414" s="2"/>
      <c r="K1414" s="2"/>
    </row>
    <row r="1415" spans="5:11">
      <c r="E1415" t="str">
        <f t="shared" si="88"/>
        <v/>
      </c>
      <c r="F1415" t="str">
        <f t="shared" si="89"/>
        <v/>
      </c>
      <c r="H1415" t="str">
        <f t="shared" si="90"/>
        <v/>
      </c>
      <c r="I1415" s="5" t="str">
        <f t="shared" si="91"/>
        <v/>
      </c>
      <c r="J1415" s="2"/>
      <c r="K1415" s="2"/>
    </row>
    <row r="1416" spans="5:11">
      <c r="E1416" t="str">
        <f t="shared" si="88"/>
        <v/>
      </c>
      <c r="F1416" t="str">
        <f t="shared" si="89"/>
        <v/>
      </c>
      <c r="H1416" t="str">
        <f t="shared" si="90"/>
        <v/>
      </c>
      <c r="I1416" s="5" t="str">
        <f t="shared" si="91"/>
        <v/>
      </c>
      <c r="J1416" s="2"/>
      <c r="K1416" s="2"/>
    </row>
    <row r="1417" spans="5:11">
      <c r="E1417" t="str">
        <f t="shared" si="88"/>
        <v/>
      </c>
      <c r="F1417" t="str">
        <f t="shared" si="89"/>
        <v/>
      </c>
      <c r="H1417" t="str">
        <f t="shared" si="90"/>
        <v/>
      </c>
      <c r="I1417" s="5" t="str">
        <f t="shared" si="91"/>
        <v/>
      </c>
      <c r="J1417" s="2"/>
      <c r="K1417" s="2"/>
    </row>
    <row r="1418" spans="5:11">
      <c r="E1418" t="str">
        <f t="shared" si="88"/>
        <v/>
      </c>
      <c r="F1418" t="str">
        <f t="shared" si="89"/>
        <v/>
      </c>
      <c r="H1418" t="str">
        <f t="shared" si="90"/>
        <v/>
      </c>
      <c r="I1418" s="5" t="str">
        <f t="shared" si="91"/>
        <v/>
      </c>
      <c r="J1418" s="2"/>
      <c r="K1418" s="2"/>
    </row>
    <row r="1419" spans="5:11">
      <c r="E1419" t="str">
        <f t="shared" si="88"/>
        <v/>
      </c>
      <c r="F1419" t="str">
        <f t="shared" si="89"/>
        <v/>
      </c>
      <c r="H1419" t="str">
        <f t="shared" si="90"/>
        <v/>
      </c>
      <c r="I1419" s="5" t="str">
        <f t="shared" si="91"/>
        <v/>
      </c>
      <c r="J1419" s="2"/>
      <c r="K1419" s="2"/>
    </row>
    <row r="1420" spans="5:11">
      <c r="E1420" t="str">
        <f t="shared" si="88"/>
        <v/>
      </c>
      <c r="F1420" t="str">
        <f t="shared" si="89"/>
        <v/>
      </c>
      <c r="H1420" t="str">
        <f t="shared" si="90"/>
        <v/>
      </c>
      <c r="I1420" s="5" t="str">
        <f t="shared" si="91"/>
        <v/>
      </c>
      <c r="J1420" s="2"/>
      <c r="K1420" s="2"/>
    </row>
    <row r="1421" spans="5:11">
      <c r="E1421" t="str">
        <f t="shared" si="88"/>
        <v/>
      </c>
      <c r="F1421" t="str">
        <f t="shared" si="89"/>
        <v/>
      </c>
      <c r="H1421" t="str">
        <f t="shared" si="90"/>
        <v/>
      </c>
      <c r="I1421" s="5" t="str">
        <f t="shared" si="91"/>
        <v/>
      </c>
      <c r="J1421" s="2"/>
      <c r="K1421" s="2"/>
    </row>
    <row r="1422" spans="5:11">
      <c r="E1422" t="str">
        <f t="shared" si="88"/>
        <v/>
      </c>
      <c r="F1422" t="str">
        <f t="shared" si="89"/>
        <v/>
      </c>
      <c r="H1422" t="str">
        <f t="shared" si="90"/>
        <v/>
      </c>
      <c r="I1422" s="5" t="str">
        <f t="shared" si="91"/>
        <v/>
      </c>
      <c r="J1422" s="2"/>
      <c r="K1422" s="2"/>
    </row>
    <row r="1423" spans="5:11">
      <c r="E1423" t="str">
        <f t="shared" si="88"/>
        <v/>
      </c>
      <c r="F1423" t="str">
        <f t="shared" si="89"/>
        <v/>
      </c>
      <c r="H1423" t="str">
        <f t="shared" si="90"/>
        <v/>
      </c>
      <c r="I1423" s="5" t="str">
        <f t="shared" si="91"/>
        <v/>
      </c>
      <c r="J1423" s="2"/>
      <c r="K1423" s="2"/>
    </row>
    <row r="1424" spans="5:11">
      <c r="E1424" t="str">
        <f t="shared" si="88"/>
        <v/>
      </c>
      <c r="F1424" t="str">
        <f t="shared" si="89"/>
        <v/>
      </c>
      <c r="H1424" t="str">
        <f t="shared" si="90"/>
        <v/>
      </c>
      <c r="I1424" s="5" t="str">
        <f t="shared" si="91"/>
        <v/>
      </c>
      <c r="J1424" s="2"/>
      <c r="K1424" s="2"/>
    </row>
    <row r="1425" spans="5:11">
      <c r="E1425" t="str">
        <f t="shared" si="88"/>
        <v/>
      </c>
      <c r="F1425" t="str">
        <f t="shared" si="89"/>
        <v/>
      </c>
      <c r="H1425" t="str">
        <f t="shared" si="90"/>
        <v/>
      </c>
      <c r="I1425" s="5" t="str">
        <f t="shared" si="91"/>
        <v/>
      </c>
      <c r="J1425" s="2"/>
      <c r="K1425" s="2"/>
    </row>
    <row r="1426" spans="5:11">
      <c r="E1426" t="str">
        <f t="shared" si="88"/>
        <v/>
      </c>
      <c r="F1426" t="str">
        <f t="shared" si="89"/>
        <v/>
      </c>
      <c r="H1426" t="str">
        <f t="shared" si="90"/>
        <v/>
      </c>
      <c r="I1426" s="5" t="str">
        <f t="shared" si="91"/>
        <v/>
      </c>
      <c r="J1426" s="2"/>
      <c r="K1426" s="2"/>
    </row>
    <row r="1427" spans="5:11">
      <c r="E1427" t="str">
        <f t="shared" si="88"/>
        <v/>
      </c>
      <c r="F1427" t="str">
        <f t="shared" si="89"/>
        <v/>
      </c>
      <c r="H1427" t="str">
        <f t="shared" si="90"/>
        <v/>
      </c>
      <c r="I1427" s="5" t="str">
        <f t="shared" si="91"/>
        <v/>
      </c>
      <c r="J1427" s="2"/>
      <c r="K1427" s="2"/>
    </row>
    <row r="1428" spans="5:11">
      <c r="E1428" t="str">
        <f t="shared" si="88"/>
        <v/>
      </c>
      <c r="F1428" t="str">
        <f t="shared" si="89"/>
        <v/>
      </c>
      <c r="H1428" t="str">
        <f t="shared" si="90"/>
        <v/>
      </c>
      <c r="I1428" s="5" t="str">
        <f t="shared" si="91"/>
        <v/>
      </c>
      <c r="J1428" s="2"/>
      <c r="K1428" s="2"/>
    </row>
    <row r="1429" spans="5:11">
      <c r="E1429" t="str">
        <f t="shared" si="88"/>
        <v/>
      </c>
      <c r="F1429" t="str">
        <f t="shared" si="89"/>
        <v/>
      </c>
      <c r="H1429" t="str">
        <f t="shared" si="90"/>
        <v/>
      </c>
      <c r="I1429" s="5" t="str">
        <f t="shared" si="91"/>
        <v/>
      </c>
      <c r="J1429" s="2"/>
      <c r="K1429" s="2"/>
    </row>
    <row r="1430" spans="5:11">
      <c r="E1430" t="str">
        <f t="shared" si="88"/>
        <v/>
      </c>
      <c r="F1430" t="str">
        <f t="shared" si="89"/>
        <v/>
      </c>
      <c r="H1430" t="str">
        <f t="shared" si="90"/>
        <v/>
      </c>
      <c r="I1430" s="5" t="str">
        <f t="shared" si="91"/>
        <v/>
      </c>
      <c r="J1430" s="2"/>
      <c r="K1430" s="2"/>
    </row>
    <row r="1431" spans="5:11">
      <c r="E1431" t="str">
        <f t="shared" si="88"/>
        <v/>
      </c>
      <c r="F1431" t="str">
        <f t="shared" si="89"/>
        <v/>
      </c>
      <c r="H1431" t="str">
        <f t="shared" si="90"/>
        <v/>
      </c>
      <c r="I1431" s="5" t="str">
        <f t="shared" si="91"/>
        <v/>
      </c>
      <c r="J1431" s="2"/>
      <c r="K1431" s="2"/>
    </row>
    <row r="1432" spans="5:11">
      <c r="E1432" t="str">
        <f t="shared" si="88"/>
        <v/>
      </c>
      <c r="F1432" t="str">
        <f t="shared" si="89"/>
        <v/>
      </c>
      <c r="H1432" t="str">
        <f t="shared" si="90"/>
        <v/>
      </c>
      <c r="I1432" s="5" t="str">
        <f t="shared" si="91"/>
        <v/>
      </c>
      <c r="J1432" s="2"/>
      <c r="K1432" s="2"/>
    </row>
    <row r="1433" spans="5:11">
      <c r="E1433" t="str">
        <f t="shared" si="88"/>
        <v/>
      </c>
      <c r="F1433" t="str">
        <f t="shared" si="89"/>
        <v/>
      </c>
      <c r="H1433" t="str">
        <f t="shared" si="90"/>
        <v/>
      </c>
      <c r="I1433" s="5" t="str">
        <f t="shared" si="91"/>
        <v/>
      </c>
      <c r="J1433" s="2"/>
      <c r="K1433" s="2"/>
    </row>
    <row r="1434" spans="5:11">
      <c r="E1434" t="str">
        <f t="shared" si="88"/>
        <v/>
      </c>
      <c r="F1434" t="str">
        <f t="shared" si="89"/>
        <v/>
      </c>
      <c r="H1434" t="str">
        <f t="shared" si="90"/>
        <v/>
      </c>
      <c r="I1434" s="5" t="str">
        <f t="shared" si="91"/>
        <v/>
      </c>
      <c r="J1434" s="2"/>
      <c r="K1434" s="2"/>
    </row>
    <row r="1435" spans="5:11">
      <c r="E1435" t="str">
        <f t="shared" si="88"/>
        <v/>
      </c>
      <c r="F1435" t="str">
        <f t="shared" si="89"/>
        <v/>
      </c>
      <c r="H1435" t="str">
        <f t="shared" si="90"/>
        <v/>
      </c>
      <c r="I1435" s="5" t="str">
        <f t="shared" si="91"/>
        <v/>
      </c>
      <c r="J1435" s="2"/>
      <c r="K1435" s="2"/>
    </row>
    <row r="1436" spans="5:11">
      <c r="E1436" t="str">
        <f t="shared" si="88"/>
        <v/>
      </c>
      <c r="F1436" t="str">
        <f t="shared" si="89"/>
        <v/>
      </c>
      <c r="H1436" t="str">
        <f t="shared" si="90"/>
        <v/>
      </c>
      <c r="I1436" s="5" t="str">
        <f t="shared" si="91"/>
        <v/>
      </c>
      <c r="J1436" s="2"/>
      <c r="K1436" s="2"/>
    </row>
    <row r="1437" spans="5:11">
      <c r="E1437" t="str">
        <f t="shared" si="88"/>
        <v/>
      </c>
      <c r="F1437" t="str">
        <f t="shared" si="89"/>
        <v/>
      </c>
      <c r="H1437" t="str">
        <f t="shared" si="90"/>
        <v/>
      </c>
      <c r="I1437" s="5" t="str">
        <f t="shared" si="91"/>
        <v/>
      </c>
      <c r="J1437" s="2"/>
      <c r="K1437" s="2"/>
    </row>
    <row r="1438" spans="5:11">
      <c r="E1438" t="str">
        <f t="shared" si="88"/>
        <v/>
      </c>
      <c r="F1438" t="str">
        <f t="shared" si="89"/>
        <v/>
      </c>
      <c r="H1438" t="str">
        <f t="shared" si="90"/>
        <v/>
      </c>
      <c r="I1438" s="5" t="str">
        <f t="shared" si="91"/>
        <v/>
      </c>
      <c r="J1438" s="2"/>
      <c r="K1438" s="2"/>
    </row>
    <row r="1439" spans="5:11">
      <c r="E1439" t="str">
        <f t="shared" si="88"/>
        <v/>
      </c>
      <c r="F1439" t="str">
        <f t="shared" si="89"/>
        <v/>
      </c>
      <c r="H1439" t="str">
        <f t="shared" si="90"/>
        <v/>
      </c>
      <c r="I1439" s="5" t="str">
        <f t="shared" si="91"/>
        <v/>
      </c>
      <c r="J1439" s="2"/>
      <c r="K1439" s="2"/>
    </row>
    <row r="1440" spans="5:11">
      <c r="E1440" t="str">
        <f t="shared" si="88"/>
        <v/>
      </c>
      <c r="F1440" t="str">
        <f t="shared" si="89"/>
        <v/>
      </c>
      <c r="H1440" t="str">
        <f t="shared" si="90"/>
        <v/>
      </c>
      <c r="I1440" s="5" t="str">
        <f t="shared" si="91"/>
        <v/>
      </c>
      <c r="J1440" s="2"/>
      <c r="K1440" s="2"/>
    </row>
    <row r="1441" spans="5:11">
      <c r="E1441" t="str">
        <f t="shared" si="88"/>
        <v/>
      </c>
      <c r="F1441" t="str">
        <f t="shared" si="89"/>
        <v/>
      </c>
      <c r="H1441" t="str">
        <f t="shared" si="90"/>
        <v/>
      </c>
      <c r="I1441" s="5" t="str">
        <f t="shared" si="91"/>
        <v/>
      </c>
      <c r="J1441" s="2"/>
      <c r="K1441" s="2"/>
    </row>
    <row r="1442" spans="5:11">
      <c r="E1442" t="str">
        <f t="shared" si="88"/>
        <v/>
      </c>
      <c r="F1442" t="str">
        <f t="shared" si="89"/>
        <v/>
      </c>
      <c r="H1442" t="str">
        <f t="shared" si="90"/>
        <v/>
      </c>
      <c r="I1442" s="5" t="str">
        <f t="shared" si="91"/>
        <v/>
      </c>
      <c r="J1442" s="2"/>
      <c r="K1442" s="2"/>
    </row>
    <row r="1443" spans="5:11">
      <c r="E1443" t="str">
        <f t="shared" si="88"/>
        <v/>
      </c>
      <c r="F1443" t="str">
        <f t="shared" si="89"/>
        <v/>
      </c>
      <c r="H1443" t="str">
        <f t="shared" si="90"/>
        <v/>
      </c>
      <c r="I1443" s="5" t="str">
        <f t="shared" si="91"/>
        <v/>
      </c>
      <c r="J1443" s="2"/>
      <c r="K1443" s="2"/>
    </row>
    <row r="1444" spans="5:11">
      <c r="E1444" t="str">
        <f t="shared" si="88"/>
        <v/>
      </c>
      <c r="F1444" t="str">
        <f t="shared" si="89"/>
        <v/>
      </c>
      <c r="H1444" t="str">
        <f t="shared" si="90"/>
        <v/>
      </c>
      <c r="I1444" s="5" t="str">
        <f t="shared" si="91"/>
        <v/>
      </c>
      <c r="J1444" s="2"/>
      <c r="K1444" s="2"/>
    </row>
    <row r="1445" spans="5:11">
      <c r="E1445" t="str">
        <f t="shared" si="88"/>
        <v/>
      </c>
      <c r="F1445" t="str">
        <f t="shared" si="89"/>
        <v/>
      </c>
      <c r="H1445" t="str">
        <f t="shared" si="90"/>
        <v/>
      </c>
      <c r="I1445" s="5" t="str">
        <f t="shared" si="91"/>
        <v/>
      </c>
      <c r="J1445" s="2"/>
      <c r="K1445" s="2"/>
    </row>
    <row r="1446" spans="5:11">
      <c r="E1446" t="str">
        <f t="shared" si="88"/>
        <v/>
      </c>
      <c r="F1446" t="str">
        <f t="shared" si="89"/>
        <v/>
      </c>
      <c r="H1446" t="str">
        <f t="shared" si="90"/>
        <v/>
      </c>
      <c r="I1446" s="5" t="str">
        <f t="shared" si="91"/>
        <v/>
      </c>
      <c r="J1446" s="2"/>
      <c r="K1446" s="2"/>
    </row>
    <row r="1447" spans="5:11">
      <c r="E1447" t="str">
        <f t="shared" si="88"/>
        <v/>
      </c>
      <c r="F1447" t="str">
        <f t="shared" si="89"/>
        <v/>
      </c>
      <c r="H1447" t="str">
        <f t="shared" si="90"/>
        <v/>
      </c>
      <c r="I1447" s="5" t="str">
        <f t="shared" si="91"/>
        <v/>
      </c>
      <c r="J1447" s="2"/>
      <c r="K1447" s="2"/>
    </row>
    <row r="1448" spans="5:11">
      <c r="E1448" t="str">
        <f t="shared" si="88"/>
        <v/>
      </c>
      <c r="F1448" t="str">
        <f t="shared" si="89"/>
        <v/>
      </c>
      <c r="H1448" t="str">
        <f t="shared" si="90"/>
        <v/>
      </c>
      <c r="I1448" s="5" t="str">
        <f t="shared" si="91"/>
        <v/>
      </c>
      <c r="J1448" s="2"/>
      <c r="K1448" s="2"/>
    </row>
    <row r="1449" spans="5:11">
      <c r="E1449" t="str">
        <f t="shared" si="88"/>
        <v/>
      </c>
      <c r="F1449" t="str">
        <f t="shared" si="89"/>
        <v/>
      </c>
      <c r="H1449" t="str">
        <f t="shared" si="90"/>
        <v/>
      </c>
      <c r="I1449" s="5" t="str">
        <f t="shared" si="91"/>
        <v/>
      </c>
      <c r="J1449" s="2"/>
      <c r="K1449" s="2"/>
    </row>
    <row r="1450" spans="5:11">
      <c r="E1450" t="str">
        <f t="shared" si="88"/>
        <v/>
      </c>
      <c r="F1450" t="str">
        <f t="shared" si="89"/>
        <v/>
      </c>
      <c r="H1450" t="str">
        <f t="shared" si="90"/>
        <v/>
      </c>
      <c r="I1450" s="5" t="str">
        <f t="shared" si="91"/>
        <v/>
      </c>
      <c r="J1450" s="2"/>
      <c r="K1450" s="2"/>
    </row>
    <row r="1451" spans="5:11">
      <c r="E1451" t="str">
        <f t="shared" si="88"/>
        <v/>
      </c>
      <c r="F1451" t="str">
        <f t="shared" si="89"/>
        <v/>
      </c>
      <c r="H1451" t="str">
        <f t="shared" si="90"/>
        <v/>
      </c>
      <c r="I1451" s="5" t="str">
        <f t="shared" si="91"/>
        <v/>
      </c>
      <c r="J1451" s="2"/>
      <c r="K1451" s="2"/>
    </row>
    <row r="1452" spans="5:11">
      <c r="E1452" t="str">
        <f t="shared" si="88"/>
        <v/>
      </c>
      <c r="F1452" t="str">
        <f t="shared" si="89"/>
        <v/>
      </c>
      <c r="H1452" t="str">
        <f t="shared" si="90"/>
        <v/>
      </c>
      <c r="I1452" s="5" t="str">
        <f t="shared" si="91"/>
        <v/>
      </c>
      <c r="J1452" s="2"/>
      <c r="K1452" s="2"/>
    </row>
    <row r="1453" spans="5:11">
      <c r="E1453" t="str">
        <f t="shared" si="88"/>
        <v/>
      </c>
      <c r="F1453" t="str">
        <f t="shared" si="89"/>
        <v/>
      </c>
      <c r="H1453" t="str">
        <f t="shared" si="90"/>
        <v/>
      </c>
      <c r="I1453" s="5" t="str">
        <f t="shared" si="91"/>
        <v/>
      </c>
      <c r="J1453" s="2"/>
      <c r="K1453" s="2"/>
    </row>
    <row r="1454" spans="5:11">
      <c r="E1454" t="str">
        <f t="shared" si="88"/>
        <v/>
      </c>
      <c r="F1454" t="str">
        <f t="shared" si="89"/>
        <v/>
      </c>
      <c r="H1454" t="str">
        <f t="shared" si="90"/>
        <v/>
      </c>
      <c r="I1454" s="5" t="str">
        <f t="shared" si="91"/>
        <v/>
      </c>
      <c r="J1454" s="2"/>
      <c r="K1454" s="2"/>
    </row>
    <row r="1455" spans="5:11">
      <c r="E1455" t="str">
        <f t="shared" si="88"/>
        <v/>
      </c>
      <c r="F1455" t="str">
        <f t="shared" si="89"/>
        <v/>
      </c>
      <c r="H1455" t="str">
        <f t="shared" si="90"/>
        <v/>
      </c>
      <c r="I1455" s="5" t="str">
        <f t="shared" si="91"/>
        <v/>
      </c>
      <c r="J1455" s="2"/>
      <c r="K1455" s="2"/>
    </row>
    <row r="1456" spans="5:11">
      <c r="E1456" t="str">
        <f t="shared" si="88"/>
        <v/>
      </c>
      <c r="F1456" t="str">
        <f t="shared" si="89"/>
        <v/>
      </c>
      <c r="H1456" t="str">
        <f t="shared" si="90"/>
        <v/>
      </c>
      <c r="I1456" s="5" t="str">
        <f t="shared" si="91"/>
        <v/>
      </c>
      <c r="J1456" s="2"/>
      <c r="K1456" s="2"/>
    </row>
    <row r="1457" spans="5:11">
      <c r="E1457" t="str">
        <f t="shared" si="88"/>
        <v/>
      </c>
      <c r="F1457" t="str">
        <f t="shared" si="89"/>
        <v/>
      </c>
      <c r="H1457" t="str">
        <f t="shared" si="90"/>
        <v/>
      </c>
      <c r="I1457" s="5" t="str">
        <f t="shared" si="91"/>
        <v/>
      </c>
      <c r="J1457" s="2"/>
      <c r="K1457" s="2"/>
    </row>
    <row r="1458" spans="5:11">
      <c r="E1458" t="str">
        <f t="shared" si="88"/>
        <v/>
      </c>
      <c r="F1458" t="str">
        <f t="shared" si="89"/>
        <v/>
      </c>
      <c r="H1458" t="str">
        <f t="shared" si="90"/>
        <v/>
      </c>
      <c r="I1458" s="5" t="str">
        <f t="shared" si="91"/>
        <v/>
      </c>
      <c r="J1458" s="2"/>
      <c r="K1458" s="2"/>
    </row>
    <row r="1459" spans="5:11">
      <c r="E1459" t="str">
        <f t="shared" si="88"/>
        <v/>
      </c>
      <c r="F1459" t="str">
        <f t="shared" si="89"/>
        <v/>
      </c>
      <c r="H1459" t="str">
        <f t="shared" si="90"/>
        <v/>
      </c>
      <c r="I1459" s="5" t="str">
        <f t="shared" si="91"/>
        <v/>
      </c>
      <c r="J1459" s="2"/>
      <c r="K1459" s="2"/>
    </row>
    <row r="1460" spans="5:11">
      <c r="E1460" t="str">
        <f t="shared" si="88"/>
        <v/>
      </c>
      <c r="F1460" t="str">
        <f t="shared" si="89"/>
        <v/>
      </c>
      <c r="H1460" t="str">
        <f t="shared" si="90"/>
        <v/>
      </c>
      <c r="I1460" s="5" t="str">
        <f t="shared" si="91"/>
        <v/>
      </c>
      <c r="J1460" s="2"/>
      <c r="K1460" s="2"/>
    </row>
    <row r="1461" spans="5:11">
      <c r="E1461" t="str">
        <f t="shared" si="88"/>
        <v/>
      </c>
      <c r="F1461" t="str">
        <f t="shared" si="89"/>
        <v/>
      </c>
      <c r="H1461" t="str">
        <f t="shared" si="90"/>
        <v/>
      </c>
      <c r="I1461" s="5" t="str">
        <f t="shared" si="91"/>
        <v/>
      </c>
      <c r="J1461" s="2"/>
      <c r="K1461" s="2"/>
    </row>
    <row r="1462" spans="5:11">
      <c r="E1462" t="str">
        <f t="shared" si="88"/>
        <v/>
      </c>
      <c r="F1462" t="str">
        <f t="shared" si="89"/>
        <v/>
      </c>
      <c r="H1462" t="str">
        <f t="shared" si="90"/>
        <v/>
      </c>
      <c r="I1462" s="5" t="str">
        <f t="shared" si="91"/>
        <v/>
      </c>
      <c r="J1462" s="2"/>
      <c r="K1462" s="2"/>
    </row>
    <row r="1463" spans="5:11">
      <c r="E1463" t="str">
        <f t="shared" si="88"/>
        <v/>
      </c>
      <c r="F1463" t="str">
        <f t="shared" si="89"/>
        <v/>
      </c>
      <c r="H1463" t="str">
        <f t="shared" si="90"/>
        <v/>
      </c>
      <c r="I1463" s="5" t="str">
        <f t="shared" si="91"/>
        <v/>
      </c>
      <c r="J1463" s="2"/>
      <c r="K1463" s="2"/>
    </row>
    <row r="1464" spans="5:11">
      <c r="E1464" t="str">
        <f t="shared" si="88"/>
        <v/>
      </c>
      <c r="F1464" t="str">
        <f t="shared" si="89"/>
        <v/>
      </c>
      <c r="H1464" t="str">
        <f t="shared" si="90"/>
        <v/>
      </c>
      <c r="I1464" s="5" t="str">
        <f t="shared" si="91"/>
        <v/>
      </c>
      <c r="J1464" s="2"/>
      <c r="K1464" s="2"/>
    </row>
    <row r="1465" spans="5:11">
      <c r="E1465" t="str">
        <f t="shared" si="88"/>
        <v/>
      </c>
      <c r="F1465" t="str">
        <f t="shared" si="89"/>
        <v/>
      </c>
      <c r="H1465" t="str">
        <f t="shared" si="90"/>
        <v/>
      </c>
      <c r="I1465" s="5" t="str">
        <f t="shared" si="91"/>
        <v/>
      </c>
      <c r="J1465" s="2"/>
      <c r="K1465" s="2"/>
    </row>
    <row r="1466" spans="5:11">
      <c r="E1466" t="str">
        <f t="shared" si="88"/>
        <v/>
      </c>
      <c r="F1466" t="str">
        <f t="shared" si="89"/>
        <v/>
      </c>
      <c r="H1466" t="str">
        <f t="shared" si="90"/>
        <v/>
      </c>
      <c r="I1466" s="5" t="str">
        <f t="shared" si="91"/>
        <v/>
      </c>
      <c r="J1466" s="2"/>
      <c r="K1466" s="2"/>
    </row>
    <row r="1467" spans="5:11">
      <c r="E1467" t="str">
        <f t="shared" si="88"/>
        <v/>
      </c>
      <c r="F1467" t="str">
        <f t="shared" si="89"/>
        <v/>
      </c>
      <c r="H1467" t="str">
        <f t="shared" si="90"/>
        <v/>
      </c>
      <c r="I1467" s="5" t="str">
        <f t="shared" si="91"/>
        <v/>
      </c>
      <c r="J1467" s="2"/>
      <c r="K1467" s="2"/>
    </row>
    <row r="1468" spans="5:11">
      <c r="E1468" t="str">
        <f t="shared" si="88"/>
        <v/>
      </c>
      <c r="F1468" t="str">
        <f t="shared" si="89"/>
        <v/>
      </c>
      <c r="H1468" t="str">
        <f t="shared" si="90"/>
        <v/>
      </c>
      <c r="I1468" s="5" t="str">
        <f t="shared" si="91"/>
        <v/>
      </c>
      <c r="J1468" s="2"/>
      <c r="K1468" s="2"/>
    </row>
    <row r="1469" spans="5:11">
      <c r="E1469" t="str">
        <f t="shared" si="88"/>
        <v/>
      </c>
      <c r="F1469" t="str">
        <f t="shared" si="89"/>
        <v/>
      </c>
      <c r="H1469" t="str">
        <f t="shared" si="90"/>
        <v/>
      </c>
      <c r="I1469" s="5" t="str">
        <f t="shared" si="91"/>
        <v/>
      </c>
      <c r="J1469" s="2"/>
      <c r="K1469" s="2"/>
    </row>
    <row r="1470" spans="5:11">
      <c r="E1470" t="str">
        <f t="shared" si="88"/>
        <v/>
      </c>
      <c r="F1470" t="str">
        <f t="shared" si="89"/>
        <v/>
      </c>
      <c r="H1470" t="str">
        <f t="shared" si="90"/>
        <v/>
      </c>
      <c r="I1470" s="5" t="str">
        <f t="shared" si="91"/>
        <v/>
      </c>
      <c r="J1470" s="2"/>
      <c r="K1470" s="2"/>
    </row>
    <row r="1471" spans="5:11">
      <c r="E1471" t="str">
        <f t="shared" si="88"/>
        <v/>
      </c>
      <c r="F1471" t="str">
        <f t="shared" si="89"/>
        <v/>
      </c>
      <c r="H1471" t="str">
        <f t="shared" si="90"/>
        <v/>
      </c>
      <c r="I1471" s="5" t="str">
        <f t="shared" si="91"/>
        <v/>
      </c>
      <c r="J1471" s="2"/>
      <c r="K1471" s="2"/>
    </row>
    <row r="1472" spans="5:11">
      <c r="E1472" t="str">
        <f t="shared" si="88"/>
        <v/>
      </c>
      <c r="F1472" t="str">
        <f t="shared" si="89"/>
        <v/>
      </c>
      <c r="H1472" t="str">
        <f t="shared" si="90"/>
        <v/>
      </c>
      <c r="I1472" s="5" t="str">
        <f t="shared" si="91"/>
        <v/>
      </c>
      <c r="J1472" s="2"/>
      <c r="K1472" s="2"/>
    </row>
    <row r="1473" spans="5:11">
      <c r="E1473" t="str">
        <f t="shared" si="88"/>
        <v/>
      </c>
      <c r="F1473" t="str">
        <f t="shared" si="89"/>
        <v/>
      </c>
      <c r="H1473" t="str">
        <f t="shared" si="90"/>
        <v/>
      </c>
      <c r="I1473" s="5" t="str">
        <f t="shared" si="91"/>
        <v/>
      </c>
      <c r="J1473" s="2"/>
      <c r="K1473" s="2"/>
    </row>
    <row r="1474" spans="5:11">
      <c r="E1474" t="str">
        <f t="shared" si="88"/>
        <v/>
      </c>
      <c r="F1474" t="str">
        <f t="shared" si="89"/>
        <v/>
      </c>
      <c r="H1474" t="str">
        <f t="shared" si="90"/>
        <v/>
      </c>
      <c r="I1474" s="5" t="str">
        <f t="shared" si="91"/>
        <v/>
      </c>
      <c r="J1474" s="2"/>
      <c r="K1474" s="2"/>
    </row>
    <row r="1475" spans="5:11">
      <c r="E1475" t="str">
        <f t="shared" si="88"/>
        <v/>
      </c>
      <c r="F1475" t="str">
        <f t="shared" si="89"/>
        <v/>
      </c>
      <c r="H1475" t="str">
        <f t="shared" si="90"/>
        <v/>
      </c>
      <c r="I1475" s="5" t="str">
        <f t="shared" si="91"/>
        <v/>
      </c>
      <c r="J1475" s="2"/>
      <c r="K1475" s="2"/>
    </row>
    <row r="1476" spans="5:11">
      <c r="E1476" t="str">
        <f t="shared" si="88"/>
        <v/>
      </c>
      <c r="F1476" t="str">
        <f t="shared" si="89"/>
        <v/>
      </c>
      <c r="H1476" t="str">
        <f t="shared" si="90"/>
        <v/>
      </c>
      <c r="I1476" s="5" t="str">
        <f t="shared" si="91"/>
        <v/>
      </c>
      <c r="J1476" s="2"/>
      <c r="K1476" s="2"/>
    </row>
    <row r="1477" spans="5:11">
      <c r="E1477" t="str">
        <f t="shared" ref="E1477:E1504" si="92">IF(A1477="","",TEXT(A1477,"0")&amp;"-Q"&amp;TEXT(B1477,"0")&amp;"-"&amp;IF(C1477="","ABERTA",C1477))</f>
        <v/>
      </c>
      <c r="F1477" t="str">
        <f t="shared" ref="F1477:F1504" si="93">IF(D1477="V/F",1,IF(D1477="Aberta/numérica",5,""))</f>
        <v/>
      </c>
      <c r="H1477" t="str">
        <f t="shared" ref="H1477:H1504" si="94">IF(A1477="","",IF(C1477="",COUNTIFS($A$5:$A$1504,A1477,$B$5:$B$1504,B1477,$C$5:$C$1504,"",$D$5:$D$1504,D1477),COUNTIFS($A$5:$A$1504,A1477,$B$5:$B$1504,B1477,$C$5:$C$1504,C1477,$D$5:$D$1504,D1477)))</f>
        <v/>
      </c>
      <c r="I1477" s="5" t="str">
        <f t="shared" ref="I1477:I1504" si="95">IF(OR(F1477="",H1477="",G1477=""),"",F1477/H1477)</f>
        <v/>
      </c>
      <c r="J1477" s="2"/>
      <c r="K1477" s="2"/>
    </row>
    <row r="1478" spans="5:11">
      <c r="E1478" t="str">
        <f t="shared" si="92"/>
        <v/>
      </c>
      <c r="F1478" t="str">
        <f t="shared" si="93"/>
        <v/>
      </c>
      <c r="H1478" t="str">
        <f t="shared" si="94"/>
        <v/>
      </c>
      <c r="I1478" s="5" t="str">
        <f t="shared" si="95"/>
        <v/>
      </c>
      <c r="J1478" s="2"/>
      <c r="K1478" s="2"/>
    </row>
    <row r="1479" spans="5:11">
      <c r="E1479" t="str">
        <f t="shared" si="92"/>
        <v/>
      </c>
      <c r="F1479" t="str">
        <f t="shared" si="93"/>
        <v/>
      </c>
      <c r="H1479" t="str">
        <f t="shared" si="94"/>
        <v/>
      </c>
      <c r="I1479" s="5" t="str">
        <f t="shared" si="95"/>
        <v/>
      </c>
      <c r="J1479" s="2"/>
      <c r="K1479" s="2"/>
    </row>
    <row r="1480" spans="5:11">
      <c r="E1480" t="str">
        <f t="shared" si="92"/>
        <v/>
      </c>
      <c r="F1480" t="str">
        <f t="shared" si="93"/>
        <v/>
      </c>
      <c r="H1480" t="str">
        <f t="shared" si="94"/>
        <v/>
      </c>
      <c r="I1480" s="5" t="str">
        <f t="shared" si="95"/>
        <v/>
      </c>
      <c r="J1480" s="2"/>
      <c r="K1480" s="2"/>
    </row>
    <row r="1481" spans="5:11">
      <c r="E1481" t="str">
        <f t="shared" si="92"/>
        <v/>
      </c>
      <c r="F1481" t="str">
        <f t="shared" si="93"/>
        <v/>
      </c>
      <c r="H1481" t="str">
        <f t="shared" si="94"/>
        <v/>
      </c>
      <c r="I1481" s="5" t="str">
        <f t="shared" si="95"/>
        <v/>
      </c>
      <c r="J1481" s="2"/>
      <c r="K1481" s="2"/>
    </row>
    <row r="1482" spans="5:11">
      <c r="E1482" t="str">
        <f t="shared" si="92"/>
        <v/>
      </c>
      <c r="F1482" t="str">
        <f t="shared" si="93"/>
        <v/>
      </c>
      <c r="H1482" t="str">
        <f t="shared" si="94"/>
        <v/>
      </c>
      <c r="I1482" s="5" t="str">
        <f t="shared" si="95"/>
        <v/>
      </c>
      <c r="J1482" s="2"/>
      <c r="K1482" s="2"/>
    </row>
    <row r="1483" spans="5:11">
      <c r="E1483" t="str">
        <f t="shared" si="92"/>
        <v/>
      </c>
      <c r="F1483" t="str">
        <f t="shared" si="93"/>
        <v/>
      </c>
      <c r="H1483" t="str">
        <f t="shared" si="94"/>
        <v/>
      </c>
      <c r="I1483" s="5" t="str">
        <f t="shared" si="95"/>
        <v/>
      </c>
      <c r="J1483" s="2"/>
      <c r="K1483" s="2"/>
    </row>
    <row r="1484" spans="5:11">
      <c r="E1484" t="str">
        <f t="shared" si="92"/>
        <v/>
      </c>
      <c r="F1484" t="str">
        <f t="shared" si="93"/>
        <v/>
      </c>
      <c r="H1484" t="str">
        <f t="shared" si="94"/>
        <v/>
      </c>
      <c r="I1484" s="5" t="str">
        <f t="shared" si="95"/>
        <v/>
      </c>
      <c r="J1484" s="2"/>
      <c r="K1484" s="2"/>
    </row>
    <row r="1485" spans="5:11">
      <c r="E1485" t="str">
        <f t="shared" si="92"/>
        <v/>
      </c>
      <c r="F1485" t="str">
        <f t="shared" si="93"/>
        <v/>
      </c>
      <c r="H1485" t="str">
        <f t="shared" si="94"/>
        <v/>
      </c>
      <c r="I1485" s="5" t="str">
        <f t="shared" si="95"/>
        <v/>
      </c>
      <c r="J1485" s="2"/>
      <c r="K1485" s="2"/>
    </row>
    <row r="1486" spans="5:11">
      <c r="E1486" t="str">
        <f t="shared" si="92"/>
        <v/>
      </c>
      <c r="F1486" t="str">
        <f t="shared" si="93"/>
        <v/>
      </c>
      <c r="H1486" t="str">
        <f t="shared" si="94"/>
        <v/>
      </c>
      <c r="I1486" s="5" t="str">
        <f t="shared" si="95"/>
        <v/>
      </c>
      <c r="J1486" s="2"/>
      <c r="K1486" s="2"/>
    </row>
    <row r="1487" spans="5:11">
      <c r="E1487" t="str">
        <f t="shared" si="92"/>
        <v/>
      </c>
      <c r="F1487" t="str">
        <f t="shared" si="93"/>
        <v/>
      </c>
      <c r="H1487" t="str">
        <f t="shared" si="94"/>
        <v/>
      </c>
      <c r="I1487" s="5" t="str">
        <f t="shared" si="95"/>
        <v/>
      </c>
      <c r="J1487" s="2"/>
      <c r="K1487" s="2"/>
    </row>
    <row r="1488" spans="5:11">
      <c r="E1488" t="str">
        <f t="shared" si="92"/>
        <v/>
      </c>
      <c r="F1488" t="str">
        <f t="shared" si="93"/>
        <v/>
      </c>
      <c r="H1488" t="str">
        <f t="shared" si="94"/>
        <v/>
      </c>
      <c r="I1488" s="5" t="str">
        <f t="shared" si="95"/>
        <v/>
      </c>
      <c r="J1488" s="2"/>
      <c r="K1488" s="2"/>
    </row>
    <row r="1489" spans="5:11">
      <c r="E1489" t="str">
        <f t="shared" si="92"/>
        <v/>
      </c>
      <c r="F1489" t="str">
        <f t="shared" si="93"/>
        <v/>
      </c>
      <c r="H1489" t="str">
        <f t="shared" si="94"/>
        <v/>
      </c>
      <c r="I1489" s="5" t="str">
        <f t="shared" si="95"/>
        <v/>
      </c>
      <c r="J1489" s="2"/>
      <c r="K1489" s="2"/>
    </row>
    <row r="1490" spans="5:11">
      <c r="E1490" t="str">
        <f t="shared" si="92"/>
        <v/>
      </c>
      <c r="F1490" t="str">
        <f t="shared" si="93"/>
        <v/>
      </c>
      <c r="H1490" t="str">
        <f t="shared" si="94"/>
        <v/>
      </c>
      <c r="I1490" s="5" t="str">
        <f t="shared" si="95"/>
        <v/>
      </c>
      <c r="J1490" s="2"/>
      <c r="K1490" s="2"/>
    </row>
    <row r="1491" spans="5:11">
      <c r="E1491" t="str">
        <f t="shared" si="92"/>
        <v/>
      </c>
      <c r="F1491" t="str">
        <f t="shared" si="93"/>
        <v/>
      </c>
      <c r="H1491" t="str">
        <f t="shared" si="94"/>
        <v/>
      </c>
      <c r="I1491" s="5" t="str">
        <f t="shared" si="95"/>
        <v/>
      </c>
      <c r="J1491" s="2"/>
      <c r="K1491" s="2"/>
    </row>
    <row r="1492" spans="5:11">
      <c r="E1492" t="str">
        <f t="shared" si="92"/>
        <v/>
      </c>
      <c r="F1492" t="str">
        <f t="shared" si="93"/>
        <v/>
      </c>
      <c r="H1492" t="str">
        <f t="shared" si="94"/>
        <v/>
      </c>
      <c r="I1492" s="5" t="str">
        <f t="shared" si="95"/>
        <v/>
      </c>
      <c r="J1492" s="2"/>
      <c r="K1492" s="2"/>
    </row>
    <row r="1493" spans="5:11">
      <c r="E1493" t="str">
        <f t="shared" si="92"/>
        <v/>
      </c>
      <c r="F1493" t="str">
        <f t="shared" si="93"/>
        <v/>
      </c>
      <c r="H1493" t="str">
        <f t="shared" si="94"/>
        <v/>
      </c>
      <c r="I1493" s="5" t="str">
        <f t="shared" si="95"/>
        <v/>
      </c>
      <c r="J1493" s="2"/>
      <c r="K1493" s="2"/>
    </row>
    <row r="1494" spans="5:11">
      <c r="E1494" t="str">
        <f t="shared" si="92"/>
        <v/>
      </c>
      <c r="F1494" t="str">
        <f t="shared" si="93"/>
        <v/>
      </c>
      <c r="H1494" t="str">
        <f t="shared" si="94"/>
        <v/>
      </c>
      <c r="I1494" s="5" t="str">
        <f t="shared" si="95"/>
        <v/>
      </c>
      <c r="J1494" s="2"/>
      <c r="K1494" s="2"/>
    </row>
    <row r="1495" spans="5:11">
      <c r="E1495" t="str">
        <f t="shared" si="92"/>
        <v/>
      </c>
      <c r="F1495" t="str">
        <f t="shared" si="93"/>
        <v/>
      </c>
      <c r="H1495" t="str">
        <f t="shared" si="94"/>
        <v/>
      </c>
      <c r="I1495" s="5" t="str">
        <f t="shared" si="95"/>
        <v/>
      </c>
      <c r="J1495" s="2"/>
      <c r="K1495" s="2"/>
    </row>
    <row r="1496" spans="5:11">
      <c r="E1496" t="str">
        <f t="shared" si="92"/>
        <v/>
      </c>
      <c r="F1496" t="str">
        <f t="shared" si="93"/>
        <v/>
      </c>
      <c r="H1496" t="str">
        <f t="shared" si="94"/>
        <v/>
      </c>
      <c r="I1496" s="5" t="str">
        <f t="shared" si="95"/>
        <v/>
      </c>
      <c r="J1496" s="2"/>
      <c r="K1496" s="2"/>
    </row>
    <row r="1497" spans="5:11">
      <c r="E1497" t="str">
        <f t="shared" si="92"/>
        <v/>
      </c>
      <c r="F1497" t="str">
        <f t="shared" si="93"/>
        <v/>
      </c>
      <c r="H1497" t="str">
        <f t="shared" si="94"/>
        <v/>
      </c>
      <c r="I1497" s="5" t="str">
        <f t="shared" si="95"/>
        <v/>
      </c>
      <c r="J1497" s="2"/>
      <c r="K1497" s="2"/>
    </row>
    <row r="1498" spans="5:11">
      <c r="E1498" t="str">
        <f t="shared" si="92"/>
        <v/>
      </c>
      <c r="F1498" t="str">
        <f t="shared" si="93"/>
        <v/>
      </c>
      <c r="H1498" t="str">
        <f t="shared" si="94"/>
        <v/>
      </c>
      <c r="I1498" s="5" t="str">
        <f t="shared" si="95"/>
        <v/>
      </c>
      <c r="J1498" s="2"/>
      <c r="K1498" s="2"/>
    </row>
    <row r="1499" spans="5:11">
      <c r="E1499" t="str">
        <f t="shared" si="92"/>
        <v/>
      </c>
      <c r="F1499" t="str">
        <f t="shared" si="93"/>
        <v/>
      </c>
      <c r="H1499" t="str">
        <f t="shared" si="94"/>
        <v/>
      </c>
      <c r="I1499" s="5" t="str">
        <f t="shared" si="95"/>
        <v/>
      </c>
      <c r="J1499" s="2"/>
      <c r="K1499" s="2"/>
    </row>
    <row r="1500" spans="5:11">
      <c r="E1500" t="str">
        <f t="shared" si="92"/>
        <v/>
      </c>
      <c r="F1500" t="str">
        <f t="shared" si="93"/>
        <v/>
      </c>
      <c r="H1500" t="str">
        <f t="shared" si="94"/>
        <v/>
      </c>
      <c r="I1500" s="5" t="str">
        <f t="shared" si="95"/>
        <v/>
      </c>
      <c r="J1500" s="2"/>
      <c r="K1500" s="2"/>
    </row>
    <row r="1501" spans="5:11">
      <c r="E1501" t="str">
        <f t="shared" si="92"/>
        <v/>
      </c>
      <c r="F1501" t="str">
        <f t="shared" si="93"/>
        <v/>
      </c>
      <c r="H1501" t="str">
        <f t="shared" si="94"/>
        <v/>
      </c>
      <c r="I1501" s="5" t="str">
        <f t="shared" si="95"/>
        <v/>
      </c>
      <c r="J1501" s="2"/>
      <c r="K1501" s="2"/>
    </row>
    <row r="1502" spans="5:11">
      <c r="E1502" t="str">
        <f t="shared" si="92"/>
        <v/>
      </c>
      <c r="F1502" t="str">
        <f t="shared" si="93"/>
        <v/>
      </c>
      <c r="H1502" t="str">
        <f t="shared" si="94"/>
        <v/>
      </c>
      <c r="I1502" s="5" t="str">
        <f t="shared" si="95"/>
        <v/>
      </c>
      <c r="J1502" s="2"/>
      <c r="K1502" s="2"/>
    </row>
    <row r="1503" spans="5:11">
      <c r="E1503" t="str">
        <f t="shared" si="92"/>
        <v/>
      </c>
      <c r="F1503" t="str">
        <f t="shared" si="93"/>
        <v/>
      </c>
      <c r="H1503" t="str">
        <f t="shared" si="94"/>
        <v/>
      </c>
      <c r="I1503" s="5" t="str">
        <f t="shared" si="95"/>
        <v/>
      </c>
      <c r="J1503" s="2"/>
      <c r="K1503" s="2"/>
    </row>
    <row r="1504" spans="5:11">
      <c r="E1504" t="str">
        <f t="shared" si="92"/>
        <v/>
      </c>
      <c r="F1504" t="str">
        <f t="shared" si="93"/>
        <v/>
      </c>
      <c r="H1504" t="str">
        <f t="shared" si="94"/>
        <v/>
      </c>
      <c r="I1504" s="5" t="str">
        <f t="shared" si="95"/>
        <v/>
      </c>
      <c r="J1504" s="2"/>
      <c r="K1504" s="2"/>
    </row>
  </sheetData>
  <mergeCells count="2">
    <mergeCell ref="A2:K2"/>
    <mergeCell ref="A1:K1"/>
  </mergeCells>
  <dataValidations count="2">
    <dataValidation type="list" sqref="A5:A1504" xr:uid="{00000000-0002-0000-0300-000000000000}">
      <formula1>"2010,2011,2012,2013,2014,2015,2016,2017,2018,2019,2020,2021,2022,2023,2024,2025,2026"</formula1>
    </dataValidation>
    <dataValidation type="list" sqref="D5:D1504" xr:uid="{00000000-0002-0000-0300-000001000000}">
      <formula1>"V/F,Aberta/numérica"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23"/>
  <sheetViews>
    <sheetView workbookViewId="0">
      <selection sqref="A1:D1"/>
    </sheetView>
  </sheetViews>
  <sheetFormatPr defaultRowHeight="14.25"/>
  <cols>
    <col min="1" max="1" width="28" customWidth="1"/>
    <col min="2" max="2" width="58" customWidth="1"/>
    <col min="3" max="4" width="55" customWidth="1"/>
  </cols>
  <sheetData>
    <row r="1" spans="1:4" ht="18" customHeight="1">
      <c r="A1" s="24" t="s">
        <v>2074</v>
      </c>
      <c r="B1" s="23"/>
      <c r="C1" s="23"/>
      <c r="D1" s="23"/>
    </row>
    <row r="3" spans="1:4" ht="15" customHeight="1">
      <c r="A3" s="1" t="s">
        <v>2075</v>
      </c>
      <c r="B3" s="1" t="s">
        <v>2076</v>
      </c>
      <c r="C3" s="1" t="s">
        <v>2077</v>
      </c>
      <c r="D3" s="1" t="s">
        <v>80</v>
      </c>
    </row>
    <row r="4" spans="1:4">
      <c r="A4" s="2" t="s">
        <v>2078</v>
      </c>
      <c r="B4" s="2" t="s">
        <v>2079</v>
      </c>
      <c r="C4" s="2" t="s">
        <v>2080</v>
      </c>
      <c r="D4" s="2" t="s">
        <v>2081</v>
      </c>
    </row>
    <row r="5" spans="1:4">
      <c r="A5" s="2" t="s">
        <v>2082</v>
      </c>
      <c r="B5" s="2" t="s">
        <v>2083</v>
      </c>
      <c r="C5" s="2" t="s">
        <v>2084</v>
      </c>
      <c r="D5" s="2" t="s">
        <v>2085</v>
      </c>
    </row>
    <row r="6" spans="1:4">
      <c r="A6" s="2" t="s">
        <v>2086</v>
      </c>
      <c r="B6" s="2" t="s">
        <v>2087</v>
      </c>
      <c r="C6" s="2" t="s">
        <v>2088</v>
      </c>
      <c r="D6" s="2" t="s">
        <v>2089</v>
      </c>
    </row>
    <row r="7" spans="1:4">
      <c r="A7" s="2" t="s">
        <v>78</v>
      </c>
      <c r="B7" s="2" t="s">
        <v>2090</v>
      </c>
      <c r="C7" s="2" t="s">
        <v>2091</v>
      </c>
      <c r="D7" s="2" t="s">
        <v>2092</v>
      </c>
    </row>
    <row r="8" spans="1:4" ht="28.5" customHeight="1">
      <c r="A8" s="2" t="s">
        <v>2093</v>
      </c>
      <c r="B8" s="2" t="s">
        <v>2094</v>
      </c>
      <c r="C8" s="2"/>
      <c r="D8" s="2" t="s">
        <v>2095</v>
      </c>
    </row>
    <row r="9" spans="1:4" ht="28.5" customHeight="1">
      <c r="A9" s="2" t="s">
        <v>2096</v>
      </c>
      <c r="B9" s="2" t="s">
        <v>2097</v>
      </c>
      <c r="C9" s="2" t="s">
        <v>2098</v>
      </c>
      <c r="D9" s="2" t="s">
        <v>2099</v>
      </c>
    </row>
    <row r="10" spans="1:4" ht="28.5" customHeight="1">
      <c r="A10" s="2" t="s">
        <v>2100</v>
      </c>
      <c r="B10" s="2" t="s">
        <v>2101</v>
      </c>
      <c r="C10" s="2"/>
      <c r="D10" s="2" t="s">
        <v>2102</v>
      </c>
    </row>
    <row r="11" spans="1:4" ht="28.5" customHeight="1">
      <c r="A11" s="2" t="s">
        <v>2103</v>
      </c>
      <c r="B11" s="2" t="s">
        <v>2104</v>
      </c>
      <c r="C11" s="2"/>
      <c r="D11" s="2" t="s">
        <v>2105</v>
      </c>
    </row>
    <row r="12" spans="1:4" ht="42.75" customHeight="1">
      <c r="A12" s="2" t="s">
        <v>2106</v>
      </c>
      <c r="B12" s="2" t="s">
        <v>2107</v>
      </c>
      <c r="C12" s="2"/>
      <c r="D12" s="2" t="s">
        <v>2108</v>
      </c>
    </row>
    <row r="13" spans="1:4">
      <c r="A13" s="2" t="s">
        <v>2109</v>
      </c>
      <c r="B13" s="2" t="s">
        <v>2110</v>
      </c>
      <c r="C13" s="2"/>
      <c r="D13" s="2" t="s">
        <v>2111</v>
      </c>
    </row>
    <row r="14" spans="1:4">
      <c r="A14" s="2" t="s">
        <v>2112</v>
      </c>
      <c r="B14" s="2" t="s">
        <v>2113</v>
      </c>
      <c r="C14" s="2"/>
      <c r="D14" s="2" t="s">
        <v>2114</v>
      </c>
    </row>
    <row r="16" spans="1:4" ht="62.1" customHeight="1">
      <c r="A16" s="12" t="s">
        <v>76</v>
      </c>
      <c r="B16" s="12" t="s">
        <v>2115</v>
      </c>
      <c r="C16" s="12" t="s">
        <v>2116</v>
      </c>
      <c r="D16" s="12" t="s">
        <v>2117</v>
      </c>
    </row>
    <row r="17" spans="1:4" ht="62.1" customHeight="1">
      <c r="A17" s="12" t="s">
        <v>2118</v>
      </c>
      <c r="B17" s="12" t="s">
        <v>2119</v>
      </c>
      <c r="C17" s="12" t="s">
        <v>2120</v>
      </c>
      <c r="D17" s="12" t="s">
        <v>2121</v>
      </c>
    </row>
    <row r="18" spans="1:4" ht="62.1" customHeight="1">
      <c r="A18" s="12" t="s">
        <v>2122</v>
      </c>
      <c r="B18" s="12" t="s">
        <v>2123</v>
      </c>
      <c r="C18" s="12" t="s">
        <v>2124</v>
      </c>
      <c r="D18" s="12" t="s">
        <v>2125</v>
      </c>
    </row>
    <row r="19" spans="1:4" ht="62.1" customHeight="1">
      <c r="A19" s="12" t="s">
        <v>2126</v>
      </c>
      <c r="B19" s="12" t="s">
        <v>2127</v>
      </c>
      <c r="C19" s="12" t="s">
        <v>2128</v>
      </c>
      <c r="D19" s="12" t="s">
        <v>2129</v>
      </c>
    </row>
    <row r="20" spans="1:4" ht="62.1" customHeight="1">
      <c r="A20" s="12" t="s">
        <v>2130</v>
      </c>
      <c r="B20" s="12" t="s">
        <v>2131</v>
      </c>
      <c r="C20" s="12" t="s">
        <v>2132</v>
      </c>
      <c r="D20" s="12" t="s">
        <v>2133</v>
      </c>
    </row>
    <row r="21" spans="1:4" ht="62.1" customHeight="1">
      <c r="A21" s="12" t="s">
        <v>2134</v>
      </c>
      <c r="B21" s="12" t="s">
        <v>2135</v>
      </c>
      <c r="C21" s="12" t="s">
        <v>2136</v>
      </c>
      <c r="D21" s="12" t="s">
        <v>2137</v>
      </c>
    </row>
    <row r="22" spans="1:4" ht="62.1" customHeight="1">
      <c r="A22" s="12" t="s">
        <v>2138</v>
      </c>
      <c r="B22" s="12" t="s">
        <v>2139</v>
      </c>
      <c r="C22" s="12" t="s">
        <v>2140</v>
      </c>
      <c r="D22" s="12" t="s">
        <v>2141</v>
      </c>
    </row>
    <row r="23" spans="1:4" ht="62.1" customHeight="1">
      <c r="A23" s="12" t="s">
        <v>2142</v>
      </c>
      <c r="B23" s="12" t="s">
        <v>2143</v>
      </c>
      <c r="C23" s="12" t="s">
        <v>2144</v>
      </c>
      <c r="D23" s="12" t="s">
        <v>2145</v>
      </c>
    </row>
  </sheetData>
  <mergeCells count="1">
    <mergeCell ref="A1:D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L1075"/>
  <sheetViews>
    <sheetView showGridLines="0" workbookViewId="0">
      <pane xSplit="1" ySplit="4" topLeftCell="B5" activePane="bottomRight" state="frozen"/>
      <selection pane="topRight"/>
      <selection pane="bottomLeft"/>
      <selection pane="bottomRight" sqref="A1:I1"/>
    </sheetView>
  </sheetViews>
  <sheetFormatPr defaultRowHeight="14.25"/>
  <cols>
    <col min="1" max="1" width="25" customWidth="1"/>
    <col min="2" max="2" width="14" customWidth="1"/>
    <col min="3" max="3" width="18" customWidth="1"/>
    <col min="4" max="4" width="20" customWidth="1"/>
    <col min="5" max="5" width="16" customWidth="1"/>
    <col min="6" max="6" width="20" customWidth="1"/>
    <col min="7" max="7" width="16" customWidth="1"/>
    <col min="8" max="8" width="20" customWidth="1"/>
    <col min="9" max="9" width="14" customWidth="1"/>
    <col min="10" max="10" width="43" customWidth="1"/>
    <col min="11" max="11" width="58" customWidth="1"/>
    <col min="12" max="12" width="20" customWidth="1"/>
  </cols>
  <sheetData>
    <row r="1" spans="1:12" ht="30" customHeight="1">
      <c r="A1" s="29" t="s">
        <v>2146</v>
      </c>
      <c r="B1" s="23"/>
      <c r="C1" s="23"/>
      <c r="D1" s="23"/>
      <c r="E1" s="23"/>
      <c r="F1" s="23"/>
      <c r="G1" s="23"/>
      <c r="H1" s="23"/>
      <c r="I1" s="23"/>
      <c r="J1" s="13"/>
      <c r="K1" s="13"/>
      <c r="L1" s="13"/>
    </row>
    <row r="2" spans="1:12" ht="32.1" customHeight="1">
      <c r="A2" s="30" t="s">
        <v>2147</v>
      </c>
      <c r="B2" s="23"/>
      <c r="C2" s="23"/>
      <c r="D2" s="23"/>
      <c r="E2" s="23"/>
      <c r="F2" s="23"/>
      <c r="G2" s="23"/>
      <c r="H2" s="23"/>
      <c r="I2" s="23"/>
    </row>
    <row r="4" spans="1:12" ht="36" customHeight="1">
      <c r="A4" s="13" t="s">
        <v>66</v>
      </c>
      <c r="B4" s="13" t="s">
        <v>2148</v>
      </c>
      <c r="C4" s="13" t="s">
        <v>2149</v>
      </c>
      <c r="D4" s="13" t="s">
        <v>2150</v>
      </c>
      <c r="E4" s="13" t="s">
        <v>2151</v>
      </c>
      <c r="F4" s="13" t="s">
        <v>2152</v>
      </c>
      <c r="G4" s="13" t="s">
        <v>2153</v>
      </c>
      <c r="H4" s="13" t="s">
        <v>2154</v>
      </c>
      <c r="I4" s="13" t="s">
        <v>2155</v>
      </c>
      <c r="J4" s="13" t="s">
        <v>2156</v>
      </c>
      <c r="K4" s="13">
        <f>COUNTIF(L28:L1075,"&gt;1")</f>
        <v>0</v>
      </c>
      <c r="L4" s="13"/>
    </row>
    <row r="5" spans="1:12" ht="15" customHeight="1">
      <c r="A5" s="14">
        <v>2010</v>
      </c>
      <c r="B5" s="14">
        <v>15</v>
      </c>
      <c r="C5" s="15">
        <f t="shared" ref="C5:C21" si="0">5*B5</f>
        <v>75</v>
      </c>
      <c r="D5" s="15">
        <f>SUMIF(Base_Itens!$A$5:$A$1504,A5,Base_Itens!$I$5:$I$1504)</f>
        <v>75.000000000000014</v>
      </c>
      <c r="E5" s="15">
        <f t="shared" ref="E5:E21" si="1">D5-C5</f>
        <v>0</v>
      </c>
      <c r="F5" s="14">
        <v>55</v>
      </c>
      <c r="G5" s="14">
        <v>4</v>
      </c>
      <c r="H5" s="14">
        <v>59</v>
      </c>
      <c r="I5" s="14" t="str">
        <f>IF(E5=0,"OK","REVER")</f>
        <v>OK</v>
      </c>
      <c r="J5" t="s">
        <v>2157</v>
      </c>
      <c r="K5">
        <f>COUNTIF(G28:G1035,"&lt;&gt;0")</f>
        <v>0</v>
      </c>
    </row>
    <row r="6" spans="1:12" ht="15" customHeight="1">
      <c r="A6" s="16">
        <v>2011</v>
      </c>
      <c r="B6" s="16">
        <v>15</v>
      </c>
      <c r="C6" s="17">
        <f t="shared" si="0"/>
        <v>75</v>
      </c>
      <c r="D6" s="17">
        <f>SUMIF(Base_Itens!$A$5:$A$1504,A6,Base_Itens!$I$5:$I$1504)</f>
        <v>75</v>
      </c>
      <c r="E6" s="17">
        <f t="shared" si="1"/>
        <v>0</v>
      </c>
      <c r="F6" s="16">
        <v>65</v>
      </c>
      <c r="G6" s="16">
        <v>2</v>
      </c>
      <c r="H6" s="16">
        <v>67</v>
      </c>
      <c r="I6" s="16" t="str">
        <f>IF(E2=0,"OK","REVER")</f>
        <v>OK</v>
      </c>
      <c r="J6" t="s">
        <v>2158</v>
      </c>
      <c r="K6">
        <f>COUNT(Base_Itens!A5:A1504)</f>
        <v>1048</v>
      </c>
    </row>
    <row r="7" spans="1:12" ht="15" customHeight="1">
      <c r="A7" s="14">
        <v>2012</v>
      </c>
      <c r="B7" s="14">
        <v>15</v>
      </c>
      <c r="C7" s="15">
        <f t="shared" si="0"/>
        <v>75</v>
      </c>
      <c r="D7" s="15">
        <f>SUMIF(Base_Itens!$A$5:$A$1504,A7,Base_Itens!$I$5:$I$1504)</f>
        <v>75</v>
      </c>
      <c r="E7" s="15">
        <f t="shared" si="1"/>
        <v>0</v>
      </c>
      <c r="F7" s="14">
        <v>65</v>
      </c>
      <c r="G7" s="14">
        <v>2</v>
      </c>
      <c r="H7" s="14">
        <v>67</v>
      </c>
      <c r="I7" s="14" t="str">
        <f t="shared" ref="I7:I21" si="2">IF(E7=0,"OK","REVER")</f>
        <v>OK</v>
      </c>
      <c r="J7" t="s">
        <v>2159</v>
      </c>
      <c r="K7">
        <f>COUNTIF(H28:H1035,"&gt;1")</f>
        <v>39</v>
      </c>
    </row>
    <row r="8" spans="1:12" ht="15" customHeight="1">
      <c r="A8" s="16">
        <v>2013</v>
      </c>
      <c r="B8" s="16">
        <v>15</v>
      </c>
      <c r="C8" s="17">
        <f t="shared" si="0"/>
        <v>75</v>
      </c>
      <c r="D8" s="17">
        <f>SUMIF(Base_Itens!$A$5:$A$1504,A8,Base_Itens!$I$5:$I$1504)</f>
        <v>75</v>
      </c>
      <c r="E8" s="17">
        <f t="shared" si="1"/>
        <v>0</v>
      </c>
      <c r="F8" s="16">
        <v>70</v>
      </c>
      <c r="G8" s="16">
        <v>1</v>
      </c>
      <c r="H8" s="16">
        <v>71</v>
      </c>
      <c r="I8" s="16" t="str">
        <f t="shared" si="2"/>
        <v>OK</v>
      </c>
      <c r="J8" t="s">
        <v>2160</v>
      </c>
      <c r="K8">
        <v>5</v>
      </c>
    </row>
    <row r="9" spans="1:12" ht="15" customHeight="1">
      <c r="A9" s="14">
        <v>2014</v>
      </c>
      <c r="B9" s="14">
        <v>15</v>
      </c>
      <c r="C9" s="15">
        <f t="shared" si="0"/>
        <v>75</v>
      </c>
      <c r="D9" s="15">
        <f>SUMIF(Base_Itens!$A$5:$A$1504,A9,Base_Itens!$I$5:$I$1504)</f>
        <v>75</v>
      </c>
      <c r="E9" s="15">
        <f t="shared" si="1"/>
        <v>0</v>
      </c>
      <c r="F9" s="14">
        <v>60</v>
      </c>
      <c r="G9" s="14">
        <v>3</v>
      </c>
      <c r="H9" s="14">
        <v>63</v>
      </c>
      <c r="I9" s="14" t="str">
        <f t="shared" si="2"/>
        <v>OK</v>
      </c>
      <c r="J9" t="s">
        <v>2161</v>
      </c>
      <c r="K9">
        <v>17</v>
      </c>
    </row>
    <row r="10" spans="1:12" ht="15" customHeight="1">
      <c r="A10" s="16">
        <v>2015</v>
      </c>
      <c r="B10" s="16">
        <v>15</v>
      </c>
      <c r="C10" s="17">
        <f t="shared" si="0"/>
        <v>75</v>
      </c>
      <c r="D10" s="17">
        <f>SUMIF(Base_Itens!$A$5:$A$1504,A10,Base_Itens!$I$5:$I$1504)</f>
        <v>75</v>
      </c>
      <c r="E10" s="17">
        <f t="shared" si="1"/>
        <v>0</v>
      </c>
      <c r="F10" s="16">
        <v>50</v>
      </c>
      <c r="G10" s="16">
        <v>5</v>
      </c>
      <c r="H10" s="16">
        <v>55</v>
      </c>
      <c r="I10" s="16" t="str">
        <f t="shared" si="2"/>
        <v>OK</v>
      </c>
    </row>
    <row r="11" spans="1:12" ht="15" customHeight="1">
      <c r="A11" s="14">
        <v>2016</v>
      </c>
      <c r="B11" s="14">
        <v>15</v>
      </c>
      <c r="C11" s="15">
        <f t="shared" si="0"/>
        <v>75</v>
      </c>
      <c r="D11" s="15">
        <f>SUMIF(Base_Itens!$A$5:$A$1504,A11,Base_Itens!$I$5:$I$1504)</f>
        <v>75</v>
      </c>
      <c r="E11" s="15">
        <f t="shared" si="1"/>
        <v>0</v>
      </c>
      <c r="F11" s="14">
        <v>60</v>
      </c>
      <c r="G11" s="14">
        <v>3</v>
      </c>
      <c r="H11" s="14">
        <v>63</v>
      </c>
      <c r="I11" s="14" t="str">
        <f t="shared" si="2"/>
        <v>OK</v>
      </c>
    </row>
    <row r="12" spans="1:12" ht="15" customHeight="1">
      <c r="A12" s="16">
        <v>2017</v>
      </c>
      <c r="B12" s="16">
        <v>15</v>
      </c>
      <c r="C12" s="17">
        <f t="shared" si="0"/>
        <v>75</v>
      </c>
      <c r="D12" s="17">
        <f>SUMIF(Base_Itens!$A$5:$A$1504,A12,Base_Itens!$I$5:$I$1504)</f>
        <v>75</v>
      </c>
      <c r="E12" s="17">
        <f t="shared" si="1"/>
        <v>0</v>
      </c>
      <c r="F12" s="16">
        <v>65</v>
      </c>
      <c r="G12" s="16">
        <v>2</v>
      </c>
      <c r="H12" s="16">
        <v>67</v>
      </c>
      <c r="I12" s="16" t="str">
        <f t="shared" si="2"/>
        <v>OK</v>
      </c>
    </row>
    <row r="13" spans="1:12" ht="15" customHeight="1">
      <c r="A13" s="14">
        <v>2018</v>
      </c>
      <c r="B13" s="14">
        <v>15</v>
      </c>
      <c r="C13" s="15">
        <f t="shared" si="0"/>
        <v>75</v>
      </c>
      <c r="D13" s="15">
        <f>SUMIF(Base_Itens!$A$5:$A$1504,A13,Base_Itens!$I$5:$I$1504)</f>
        <v>75</v>
      </c>
      <c r="E13" s="15">
        <f t="shared" si="1"/>
        <v>0</v>
      </c>
      <c r="F13" s="14">
        <v>60</v>
      </c>
      <c r="G13" s="14">
        <v>3</v>
      </c>
      <c r="H13" s="14">
        <v>63</v>
      </c>
      <c r="I13" s="14" t="str">
        <f t="shared" si="2"/>
        <v>OK</v>
      </c>
    </row>
    <row r="14" spans="1:12" ht="15" customHeight="1">
      <c r="A14" s="16">
        <v>2019</v>
      </c>
      <c r="B14" s="16">
        <v>15</v>
      </c>
      <c r="C14" s="17">
        <f t="shared" si="0"/>
        <v>75</v>
      </c>
      <c r="D14" s="17">
        <f>SUMIF(Base_Itens!$A$5:$A$1504,A14,Base_Itens!$I$5:$I$1504)</f>
        <v>75</v>
      </c>
      <c r="E14" s="17">
        <f t="shared" si="1"/>
        <v>0</v>
      </c>
      <c r="F14" s="16">
        <v>60</v>
      </c>
      <c r="G14" s="16">
        <v>3</v>
      </c>
      <c r="H14" s="16">
        <v>63</v>
      </c>
      <c r="I14" s="16" t="str">
        <f t="shared" si="2"/>
        <v>OK</v>
      </c>
    </row>
    <row r="15" spans="1:12" ht="15" customHeight="1">
      <c r="A15" s="14">
        <v>2020</v>
      </c>
      <c r="B15" s="14">
        <v>15</v>
      </c>
      <c r="C15" s="15">
        <f t="shared" si="0"/>
        <v>75</v>
      </c>
      <c r="D15" s="15">
        <f>SUMIF(Base_Itens!$A$5:$A$1504,A15,Base_Itens!$I$5:$I$1504)</f>
        <v>75</v>
      </c>
      <c r="E15" s="15">
        <f t="shared" si="1"/>
        <v>0</v>
      </c>
      <c r="F15" s="14">
        <v>60</v>
      </c>
      <c r="G15" s="14">
        <v>3</v>
      </c>
      <c r="H15" s="14">
        <v>63</v>
      </c>
      <c r="I15" s="14" t="str">
        <f t="shared" si="2"/>
        <v>OK</v>
      </c>
    </row>
    <row r="16" spans="1:12" ht="15" customHeight="1">
      <c r="A16" s="16">
        <v>2021</v>
      </c>
      <c r="B16" s="16">
        <v>15</v>
      </c>
      <c r="C16" s="17">
        <f t="shared" si="0"/>
        <v>75</v>
      </c>
      <c r="D16" s="17">
        <f>SUMIF(Base_Itens!$A$5:$A$1504,A16,Base_Itens!$I$5:$I$1504)</f>
        <v>75</v>
      </c>
      <c r="E16" s="17">
        <f t="shared" si="1"/>
        <v>0</v>
      </c>
      <c r="F16" s="16">
        <v>55</v>
      </c>
      <c r="G16" s="16">
        <v>4</v>
      </c>
      <c r="H16" s="16">
        <v>59</v>
      </c>
      <c r="I16" s="16" t="str">
        <f t="shared" si="2"/>
        <v>OK</v>
      </c>
    </row>
    <row r="17" spans="1:12" ht="15" customHeight="1">
      <c r="A17" s="14">
        <v>2022</v>
      </c>
      <c r="B17" s="14">
        <v>15</v>
      </c>
      <c r="C17" s="15">
        <f t="shared" si="0"/>
        <v>75</v>
      </c>
      <c r="D17" s="15">
        <f>SUMIF(Base_Itens!$A$5:$A$1504,A17,Base_Itens!$I$5:$I$1504)</f>
        <v>75</v>
      </c>
      <c r="E17" s="15">
        <f t="shared" si="1"/>
        <v>0</v>
      </c>
      <c r="F17" s="14">
        <v>55</v>
      </c>
      <c r="G17" s="14">
        <v>4</v>
      </c>
      <c r="H17" s="14">
        <v>59</v>
      </c>
      <c r="I17" s="14" t="str">
        <f t="shared" si="2"/>
        <v>OK</v>
      </c>
    </row>
    <row r="18" spans="1:12" ht="15" customHeight="1">
      <c r="A18" s="16">
        <v>2023</v>
      </c>
      <c r="B18" s="16">
        <v>15</v>
      </c>
      <c r="C18" s="17">
        <f t="shared" si="0"/>
        <v>75</v>
      </c>
      <c r="D18" s="17">
        <f>SUMIF(Base_Itens!$A$5:$A$1504,A18,Base_Itens!$I$5:$I$1504)</f>
        <v>75</v>
      </c>
      <c r="E18" s="17">
        <f t="shared" si="1"/>
        <v>0</v>
      </c>
      <c r="F18" s="16">
        <v>60</v>
      </c>
      <c r="G18" s="16">
        <v>3</v>
      </c>
      <c r="H18" s="16">
        <v>63</v>
      </c>
      <c r="I18" s="16" t="str">
        <f t="shared" si="2"/>
        <v>OK</v>
      </c>
    </row>
    <row r="19" spans="1:12" ht="15" customHeight="1">
      <c r="A19" s="14">
        <v>2024</v>
      </c>
      <c r="B19" s="14">
        <v>10</v>
      </c>
      <c r="C19" s="15">
        <f t="shared" si="0"/>
        <v>50</v>
      </c>
      <c r="D19" s="15">
        <f>SUMIF(Base_Itens!$A$5:$A$1504,A19,Base_Itens!$I$5:$I$1504)</f>
        <v>50</v>
      </c>
      <c r="E19" s="15">
        <f t="shared" si="1"/>
        <v>0</v>
      </c>
      <c r="F19" s="14">
        <v>35</v>
      </c>
      <c r="G19" s="14">
        <v>3</v>
      </c>
      <c r="H19" s="14">
        <v>38</v>
      </c>
      <c r="I19" s="14" t="str">
        <f t="shared" si="2"/>
        <v>OK</v>
      </c>
    </row>
    <row r="20" spans="1:12" ht="15" customHeight="1">
      <c r="A20" s="16">
        <v>2025</v>
      </c>
      <c r="B20" s="16">
        <v>10</v>
      </c>
      <c r="C20" s="17">
        <f t="shared" si="0"/>
        <v>50</v>
      </c>
      <c r="D20" s="17">
        <f>SUMIF(Base_Itens!$A$5:$A$1504,A20,Base_Itens!$I$5:$I$1504)</f>
        <v>50</v>
      </c>
      <c r="E20" s="17">
        <f t="shared" si="1"/>
        <v>0</v>
      </c>
      <c r="F20" s="16">
        <v>45</v>
      </c>
      <c r="G20" s="16">
        <v>1</v>
      </c>
      <c r="H20" s="16">
        <v>46</v>
      </c>
      <c r="I20" s="16" t="str">
        <f t="shared" si="2"/>
        <v>OK</v>
      </c>
    </row>
    <row r="21" spans="1:12" ht="15" customHeight="1">
      <c r="A21" s="14">
        <v>2026</v>
      </c>
      <c r="B21" s="14">
        <v>10</v>
      </c>
      <c r="C21" s="15">
        <f t="shared" si="0"/>
        <v>50</v>
      </c>
      <c r="D21" s="15">
        <f>SUMIF(Base_Itens!$A$5:$A$1504,A21,Base_Itens!$I$5:$I$1504)</f>
        <v>50</v>
      </c>
      <c r="E21" s="15">
        <f t="shared" si="1"/>
        <v>0</v>
      </c>
      <c r="F21" s="14">
        <v>40</v>
      </c>
      <c r="G21" s="14">
        <v>2</v>
      </c>
      <c r="H21" s="14">
        <v>42</v>
      </c>
      <c r="I21" s="14" t="str">
        <f t="shared" si="2"/>
        <v>OK</v>
      </c>
    </row>
    <row r="22" spans="1:12" ht="15" customHeight="1">
      <c r="A22" s="16"/>
      <c r="B22" s="16"/>
      <c r="C22" s="17"/>
      <c r="D22" s="17"/>
      <c r="E22" s="17"/>
      <c r="F22" s="16"/>
      <c r="G22" s="16"/>
      <c r="H22" s="16"/>
      <c r="I22" s="16"/>
    </row>
    <row r="23" spans="1:12" ht="15" customHeight="1">
      <c r="A23" s="18" t="s">
        <v>2162</v>
      </c>
      <c r="B23" s="18">
        <f t="shared" ref="B23:H23" si="3">SUM(B5:B21)</f>
        <v>240</v>
      </c>
      <c r="C23" s="19">
        <f t="shared" si="3"/>
        <v>1200</v>
      </c>
      <c r="D23" s="19">
        <f t="shared" si="3"/>
        <v>1200</v>
      </c>
      <c r="E23" s="19">
        <f t="shared" si="3"/>
        <v>0</v>
      </c>
      <c r="F23" s="18">
        <f t="shared" si="3"/>
        <v>960</v>
      </c>
      <c r="G23" s="18">
        <f t="shared" si="3"/>
        <v>48</v>
      </c>
      <c r="H23" s="18">
        <f t="shared" si="3"/>
        <v>1008</v>
      </c>
      <c r="I23" s="18" t="str">
        <f>IF(E23=0,"OK","REVER")</f>
        <v>OK</v>
      </c>
    </row>
    <row r="27" spans="1:12" ht="36" customHeight="1">
      <c r="A27" s="13" t="s">
        <v>2163</v>
      </c>
      <c r="B27" s="13" t="s">
        <v>66</v>
      </c>
      <c r="C27" s="13" t="s">
        <v>75</v>
      </c>
      <c r="D27" s="13" t="s">
        <v>2149</v>
      </c>
      <c r="E27" s="13" t="s">
        <v>2164</v>
      </c>
      <c r="F27" s="13" t="s">
        <v>2150</v>
      </c>
      <c r="G27" s="13" t="s">
        <v>2151</v>
      </c>
      <c r="H27" s="13" t="s">
        <v>2165</v>
      </c>
      <c r="I27" s="13" t="s">
        <v>2155</v>
      </c>
      <c r="J27" s="13" t="s">
        <v>2166</v>
      </c>
      <c r="K27" s="13" t="s">
        <v>2167</v>
      </c>
      <c r="L27" s="13" t="s">
        <v>2168</v>
      </c>
    </row>
    <row r="28" spans="1:12">
      <c r="A28" t="s">
        <v>2169</v>
      </c>
      <c r="B28">
        <v>2010</v>
      </c>
      <c r="C28" t="s">
        <v>82</v>
      </c>
      <c r="D28">
        <v>1</v>
      </c>
      <c r="E28">
        <v>1</v>
      </c>
      <c r="F28">
        <f>SUMIF(Base_Itens!$E$5:$E$1504,A28,Base_Itens!$I$5:$I$1504)</f>
        <v>1</v>
      </c>
      <c r="G28">
        <f t="shared" ref="G28:G91" si="4">F28-D28</f>
        <v>0</v>
      </c>
      <c r="H28">
        <f>COUNTIF(Base_Itens!$E$5:$E$1504,A28)</f>
        <v>1</v>
      </c>
      <c r="I28" t="str">
        <f t="shared" ref="I28:I39" si="5">IF(AND(G28=0,H28=E28),"OK","REVER")</f>
        <v>OK</v>
      </c>
      <c r="J28" t="str">
        <f>Base_Itens!E5</f>
        <v>2010-Q1-0</v>
      </c>
      <c r="K28" t="str">
        <f>Base_Itens!G5</f>
        <v>01 — Contas Nacionais</v>
      </c>
      <c r="L28">
        <f>COUNTIFS(Base_Itens!$E$5:$E$1504,J28,Base_Itens!$G$5:$G$1504,K28)</f>
        <v>1</v>
      </c>
    </row>
    <row r="29" spans="1:12">
      <c r="A29" t="s">
        <v>2170</v>
      </c>
      <c r="B29">
        <v>2010</v>
      </c>
      <c r="C29" t="s">
        <v>82</v>
      </c>
      <c r="D29">
        <v>1</v>
      </c>
      <c r="E29">
        <v>1</v>
      </c>
      <c r="F29">
        <f>SUMIF(Base_Itens!$E$5:$E$1504,A29,Base_Itens!$I$5:$I$1504)</f>
        <v>1</v>
      </c>
      <c r="G29">
        <f t="shared" si="4"/>
        <v>0</v>
      </c>
      <c r="H29">
        <f>COUNTIF(Base_Itens!$E$5:$E$1504,A29)</f>
        <v>1</v>
      </c>
      <c r="I29" t="str">
        <f t="shared" si="5"/>
        <v>OK</v>
      </c>
      <c r="J29">
        <f>Base_Itens!E2</f>
        <v>0</v>
      </c>
      <c r="K29" t="str">
        <f>Base_Itens!G6</f>
        <v>01 — Contas Nacionais</v>
      </c>
      <c r="L29">
        <f>COUNTIFS(Base_Itens!$E$5:$E$1504,J29,Base_Itens!$G$5:$G$1504,K29)</f>
        <v>0</v>
      </c>
    </row>
    <row r="30" spans="1:12">
      <c r="A30" t="s">
        <v>2171</v>
      </c>
      <c r="B30">
        <v>2010</v>
      </c>
      <c r="C30" t="s">
        <v>82</v>
      </c>
      <c r="D30">
        <v>1</v>
      </c>
      <c r="E30">
        <v>1</v>
      </c>
      <c r="F30">
        <f>SUMIF(Base_Itens!$E$5:$E$1504,A30,Base_Itens!$I$5:$I$1504)</f>
        <v>1</v>
      </c>
      <c r="G30">
        <f t="shared" si="4"/>
        <v>0</v>
      </c>
      <c r="H30">
        <f>COUNTIF(Base_Itens!$E$5:$E$1504,A30)</f>
        <v>1</v>
      </c>
      <c r="I30" t="str">
        <f t="shared" si="5"/>
        <v>OK</v>
      </c>
      <c r="J30" t="str">
        <f>Base_Itens!E7</f>
        <v>2010-Q1-2</v>
      </c>
      <c r="K30" t="str">
        <f>Base_Itens!G7</f>
        <v>01 — Contas Nacionais</v>
      </c>
      <c r="L30">
        <f>COUNTIFS(Base_Itens!$E$5:$E$1504,J30,Base_Itens!$G$5:$G$1504,K30)</f>
        <v>1</v>
      </c>
    </row>
    <row r="31" spans="1:12">
      <c r="A31" t="s">
        <v>2172</v>
      </c>
      <c r="B31">
        <v>2010</v>
      </c>
      <c r="C31" t="s">
        <v>82</v>
      </c>
      <c r="D31">
        <v>1</v>
      </c>
      <c r="E31">
        <v>1</v>
      </c>
      <c r="F31">
        <f>SUMIF(Base_Itens!$E$5:$E$1504,A31,Base_Itens!$I$5:$I$1504)</f>
        <v>1</v>
      </c>
      <c r="G31">
        <f t="shared" si="4"/>
        <v>0</v>
      </c>
      <c r="H31">
        <f>COUNTIF(Base_Itens!$E$5:$E$1504,A31)</f>
        <v>1</v>
      </c>
      <c r="I31" t="str">
        <f t="shared" si="5"/>
        <v>OK</v>
      </c>
      <c r="J31" t="str">
        <f>Base_Itens!E8</f>
        <v>2010-Q1-3</v>
      </c>
      <c r="K31" t="str">
        <f>Base_Itens!G8</f>
        <v>01 — Contas Nacionais</v>
      </c>
      <c r="L31">
        <f>COUNTIFS(Base_Itens!$E$5:$E$1504,J31,Base_Itens!$G$5:$G$1504,K31)</f>
        <v>1</v>
      </c>
    </row>
    <row r="32" spans="1:12">
      <c r="A32" t="s">
        <v>2173</v>
      </c>
      <c r="B32">
        <v>2010</v>
      </c>
      <c r="C32" t="s">
        <v>82</v>
      </c>
      <c r="D32">
        <v>1</v>
      </c>
      <c r="E32">
        <v>1</v>
      </c>
      <c r="F32">
        <f>SUMIF(Base_Itens!$E$5:$E$1504,A32,Base_Itens!$I$5:$I$1504)</f>
        <v>1</v>
      </c>
      <c r="G32">
        <f t="shared" si="4"/>
        <v>0</v>
      </c>
      <c r="H32">
        <f>COUNTIF(Base_Itens!$E$5:$E$1504,A32)</f>
        <v>1</v>
      </c>
      <c r="I32" t="str">
        <f t="shared" si="5"/>
        <v>OK</v>
      </c>
      <c r="J32" t="str">
        <f>Base_Itens!E9</f>
        <v>2010-Q1-4</v>
      </c>
      <c r="K32" t="str">
        <f>Base_Itens!G9</f>
        <v>01 — Contas Nacionais</v>
      </c>
      <c r="L32">
        <f>COUNTIFS(Base_Itens!$E$5:$E$1504,J32,Base_Itens!$G$5:$G$1504,K32)</f>
        <v>1</v>
      </c>
    </row>
    <row r="33" spans="1:12">
      <c r="A33" t="s">
        <v>2174</v>
      </c>
      <c r="B33">
        <v>2010</v>
      </c>
      <c r="C33" t="s">
        <v>82</v>
      </c>
      <c r="D33">
        <v>1</v>
      </c>
      <c r="E33">
        <v>1</v>
      </c>
      <c r="F33">
        <f>SUMIF(Base_Itens!$E$5:$E$1504,A33,Base_Itens!$I$5:$I$1504)</f>
        <v>1</v>
      </c>
      <c r="G33">
        <f t="shared" si="4"/>
        <v>0</v>
      </c>
      <c r="H33">
        <f>COUNTIF(Base_Itens!$E$5:$E$1504,A33)</f>
        <v>1</v>
      </c>
      <c r="I33" t="str">
        <f t="shared" si="5"/>
        <v>OK</v>
      </c>
      <c r="J33" t="str">
        <f>Base_Itens!E10</f>
        <v>2010-Q2-0</v>
      </c>
      <c r="K33" t="str">
        <f>Base_Itens!G10</f>
        <v>05 — IS-LM</v>
      </c>
      <c r="L33">
        <f>COUNTIFS(Base_Itens!$E$5:$E$1504,J33,Base_Itens!$G$5:$G$1504,K33)</f>
        <v>1</v>
      </c>
    </row>
    <row r="34" spans="1:12">
      <c r="A34" t="s">
        <v>2175</v>
      </c>
      <c r="B34">
        <v>2010</v>
      </c>
      <c r="C34" t="s">
        <v>82</v>
      </c>
      <c r="D34">
        <v>1</v>
      </c>
      <c r="E34">
        <v>1</v>
      </c>
      <c r="F34">
        <f>SUMIF(Base_Itens!$E$5:$E$1504,A34,Base_Itens!$I$5:$I$1504)</f>
        <v>1</v>
      </c>
      <c r="G34">
        <f t="shared" si="4"/>
        <v>0</v>
      </c>
      <c r="H34">
        <f>COUNTIF(Base_Itens!$E$5:$E$1504,A34)</f>
        <v>1</v>
      </c>
      <c r="I34" t="str">
        <f t="shared" si="5"/>
        <v>OK</v>
      </c>
      <c r="J34" t="str">
        <f>Base_Itens!E11</f>
        <v>2010-Q2-1</v>
      </c>
      <c r="K34" t="str">
        <f>Base_Itens!G11</f>
        <v>05 — IS-LM</v>
      </c>
      <c r="L34">
        <f>COUNTIFS(Base_Itens!$E$5:$E$1504,J34,Base_Itens!$G$5:$G$1504,K34)</f>
        <v>1</v>
      </c>
    </row>
    <row r="35" spans="1:12">
      <c r="A35" t="s">
        <v>2176</v>
      </c>
      <c r="B35">
        <v>2010</v>
      </c>
      <c r="C35" t="s">
        <v>82</v>
      </c>
      <c r="D35">
        <v>1</v>
      </c>
      <c r="E35">
        <v>1</v>
      </c>
      <c r="F35">
        <f>SUMIF(Base_Itens!$E$5:$E$1504,A35,Base_Itens!$I$5:$I$1504)</f>
        <v>1</v>
      </c>
      <c r="G35">
        <f t="shared" si="4"/>
        <v>0</v>
      </c>
      <c r="H35">
        <f>COUNTIF(Base_Itens!$E$5:$E$1504,A35)</f>
        <v>1</v>
      </c>
      <c r="I35" t="str">
        <f t="shared" si="5"/>
        <v>OK</v>
      </c>
      <c r="J35" t="str">
        <f>Base_Itens!E12</f>
        <v>2010-Q2-2</v>
      </c>
      <c r="K35" t="str">
        <f>Base_Itens!G12</f>
        <v>05 — IS-LM</v>
      </c>
      <c r="L35">
        <f>COUNTIFS(Base_Itens!$E$5:$E$1504,J35,Base_Itens!$G$5:$G$1504,K35)</f>
        <v>1</v>
      </c>
    </row>
    <row r="36" spans="1:12">
      <c r="A36" t="s">
        <v>2177</v>
      </c>
      <c r="B36">
        <v>2010</v>
      </c>
      <c r="C36" t="s">
        <v>82</v>
      </c>
      <c r="D36">
        <v>1</v>
      </c>
      <c r="E36">
        <v>1</v>
      </c>
      <c r="F36">
        <f>SUMIF(Base_Itens!$E$5:$E$1504,A36,Base_Itens!$I$5:$I$1504)</f>
        <v>1</v>
      </c>
      <c r="G36">
        <f t="shared" si="4"/>
        <v>0</v>
      </c>
      <c r="H36">
        <f>COUNTIF(Base_Itens!$E$5:$E$1504,A36)</f>
        <v>1</v>
      </c>
      <c r="I36" t="str">
        <f t="shared" si="5"/>
        <v>OK</v>
      </c>
      <c r="J36" t="str">
        <f>Base_Itens!E13</f>
        <v>2010-Q2-3</v>
      </c>
      <c r="K36" t="str">
        <f>Base_Itens!G13</f>
        <v>05 — IS-LM</v>
      </c>
      <c r="L36">
        <f>COUNTIFS(Base_Itens!$E$5:$E$1504,J36,Base_Itens!$G$5:$G$1504,K36)</f>
        <v>1</v>
      </c>
    </row>
    <row r="37" spans="1:12">
      <c r="A37" t="s">
        <v>2178</v>
      </c>
      <c r="B37">
        <v>2010</v>
      </c>
      <c r="C37" t="s">
        <v>82</v>
      </c>
      <c r="D37">
        <v>1</v>
      </c>
      <c r="E37">
        <v>1</v>
      </c>
      <c r="F37">
        <f>SUMIF(Base_Itens!$E$5:$E$1504,A37,Base_Itens!$I$5:$I$1504)</f>
        <v>1</v>
      </c>
      <c r="G37">
        <f t="shared" si="4"/>
        <v>0</v>
      </c>
      <c r="H37">
        <f>COUNTIF(Base_Itens!$E$5:$E$1504,A37)</f>
        <v>1</v>
      </c>
      <c r="I37" t="str">
        <f t="shared" si="5"/>
        <v>OK</v>
      </c>
      <c r="J37" t="str">
        <f>Base_Itens!E14</f>
        <v>2010-Q2-4</v>
      </c>
      <c r="K37" t="str">
        <f>Base_Itens!G14</f>
        <v>03 — Sistema Monetário</v>
      </c>
      <c r="L37">
        <f>COUNTIFS(Base_Itens!$E$5:$E$1504,J37,Base_Itens!$G$5:$G$1504,K37)</f>
        <v>1</v>
      </c>
    </row>
    <row r="38" spans="1:12">
      <c r="A38" t="s">
        <v>2179</v>
      </c>
      <c r="B38">
        <v>2010</v>
      </c>
      <c r="C38" t="s">
        <v>82</v>
      </c>
      <c r="D38">
        <v>1</v>
      </c>
      <c r="E38">
        <v>1</v>
      </c>
      <c r="F38">
        <f>SUMIF(Base_Itens!$E$5:$E$1504,A38,Base_Itens!$I$5:$I$1504)</f>
        <v>1</v>
      </c>
      <c r="G38">
        <f t="shared" si="4"/>
        <v>0</v>
      </c>
      <c r="H38">
        <f>COUNTIF(Base_Itens!$E$5:$E$1504,A38)</f>
        <v>1</v>
      </c>
      <c r="I38" t="str">
        <f t="shared" si="5"/>
        <v>OK</v>
      </c>
      <c r="J38" t="str">
        <f>Base_Itens!E15</f>
        <v>2010-Q3-0</v>
      </c>
      <c r="K38" t="str">
        <f>Base_Itens!G15</f>
        <v>01 — Contas Nacionais</v>
      </c>
      <c r="L38">
        <f>COUNTIFS(Base_Itens!$E$5:$E$1504,J38,Base_Itens!$G$5:$G$1504,K38)</f>
        <v>1</v>
      </c>
    </row>
    <row r="39" spans="1:12">
      <c r="A39" t="s">
        <v>2180</v>
      </c>
      <c r="B39">
        <v>2010</v>
      </c>
      <c r="C39" t="s">
        <v>82</v>
      </c>
      <c r="D39">
        <v>1</v>
      </c>
      <c r="E39">
        <v>1</v>
      </c>
      <c r="F39">
        <f>SUMIF(Base_Itens!$E$5:$E$1504,A39,Base_Itens!$I$5:$I$1504)</f>
        <v>1</v>
      </c>
      <c r="G39">
        <f t="shared" si="4"/>
        <v>0</v>
      </c>
      <c r="H39">
        <f>COUNTIF(Base_Itens!$E$5:$E$1504,A39)</f>
        <v>1</v>
      </c>
      <c r="I39" t="str">
        <f t="shared" si="5"/>
        <v>OK</v>
      </c>
      <c r="J39" t="str">
        <f>Base_Itens!E16</f>
        <v>2010-Q3-1</v>
      </c>
      <c r="K39" t="str">
        <f>Base_Itens!G16</f>
        <v>01 — Contas Nacionais</v>
      </c>
      <c r="L39">
        <f>COUNTIFS(Base_Itens!$E$5:$E$1504,J39,Base_Itens!$G$5:$G$1504,K39)</f>
        <v>1</v>
      </c>
    </row>
    <row r="40" spans="1:12">
      <c r="A40" t="s">
        <v>2181</v>
      </c>
      <c r="B40">
        <v>2010</v>
      </c>
      <c r="C40" t="s">
        <v>82</v>
      </c>
      <c r="D40">
        <v>1</v>
      </c>
      <c r="E40">
        <v>1</v>
      </c>
      <c r="F40">
        <f>SUMIF(Base_Itens!$E$5:$E$1504,A40,Base_Itens!$I$5:$I$1504)</f>
        <v>1</v>
      </c>
      <c r="G40">
        <f t="shared" si="4"/>
        <v>0</v>
      </c>
      <c r="H40">
        <f>COUNTIF(Base_Itens!$E$5:$E$1504,A40)</f>
        <v>1</v>
      </c>
      <c r="I40" t="str">
        <f t="shared" ref="I40:I49" si="6">IF(AND(G40=0,H40=E10),"OK","REVER")</f>
        <v>REVER</v>
      </c>
      <c r="J40" t="str">
        <f>Base_Itens!E17</f>
        <v>2010-Q3-2</v>
      </c>
      <c r="K40" t="str">
        <f>Base_Itens!G17</f>
        <v>01 — Contas Nacionais</v>
      </c>
      <c r="L40">
        <f>COUNTIFS(Base_Itens!$E$5:$E$1504,J40,Base_Itens!$G$5:$G$1504,K40)</f>
        <v>1</v>
      </c>
    </row>
    <row r="41" spans="1:12">
      <c r="A41" t="s">
        <v>2182</v>
      </c>
      <c r="B41">
        <v>2010</v>
      </c>
      <c r="C41" t="s">
        <v>82</v>
      </c>
      <c r="D41">
        <v>1</v>
      </c>
      <c r="E41">
        <v>1</v>
      </c>
      <c r="F41">
        <f>SUMIF(Base_Itens!$E$5:$E$1504,A41,Base_Itens!$I$5:$I$1504)</f>
        <v>1</v>
      </c>
      <c r="G41">
        <f t="shared" si="4"/>
        <v>0</v>
      </c>
      <c r="H41">
        <f>COUNTIF(Base_Itens!$E$5:$E$1504,A41)</f>
        <v>1</v>
      </c>
      <c r="I41" t="str">
        <f t="shared" si="6"/>
        <v>REVER</v>
      </c>
      <c r="J41" t="str">
        <f>Base_Itens!E18</f>
        <v>2010-Q3-3</v>
      </c>
      <c r="K41" t="str">
        <f>Base_Itens!G18</f>
        <v>01 — Contas Nacionais</v>
      </c>
      <c r="L41">
        <f>COUNTIFS(Base_Itens!$E$5:$E$1504,J41,Base_Itens!$G$5:$G$1504,K41)</f>
        <v>1</v>
      </c>
    </row>
    <row r="42" spans="1:12">
      <c r="A42" t="s">
        <v>2183</v>
      </c>
      <c r="B42">
        <v>2010</v>
      </c>
      <c r="C42" t="s">
        <v>82</v>
      </c>
      <c r="D42">
        <v>1</v>
      </c>
      <c r="E42">
        <v>1</v>
      </c>
      <c r="F42">
        <f>SUMIF(Base_Itens!$E$5:$E$1504,A42,Base_Itens!$I$5:$I$1504)</f>
        <v>1</v>
      </c>
      <c r="G42">
        <f t="shared" si="4"/>
        <v>0</v>
      </c>
      <c r="H42">
        <f>COUNTIF(Base_Itens!$E$5:$E$1504,A42)</f>
        <v>1</v>
      </c>
      <c r="I42" t="str">
        <f t="shared" si="6"/>
        <v>REVER</v>
      </c>
      <c r="J42" t="str">
        <f>Base_Itens!E19</f>
        <v>2010-Q3-4</v>
      </c>
      <c r="K42" t="str">
        <f>Base_Itens!G19</f>
        <v>01 — Contas Nacionais</v>
      </c>
      <c r="L42">
        <f>COUNTIFS(Base_Itens!$E$5:$E$1504,J42,Base_Itens!$G$5:$G$1504,K42)</f>
        <v>1</v>
      </c>
    </row>
    <row r="43" spans="1:12">
      <c r="A43" t="s">
        <v>2184</v>
      </c>
      <c r="B43">
        <v>2010</v>
      </c>
      <c r="C43" t="s">
        <v>82</v>
      </c>
      <c r="D43">
        <v>1</v>
      </c>
      <c r="E43">
        <v>1</v>
      </c>
      <c r="F43">
        <f>SUMIF(Base_Itens!$E$5:$E$1504,A43,Base_Itens!$I$5:$I$1504)</f>
        <v>1</v>
      </c>
      <c r="G43">
        <f t="shared" si="4"/>
        <v>0</v>
      </c>
      <c r="H43">
        <f>COUNTIF(Base_Itens!$E$5:$E$1504,A43)</f>
        <v>1</v>
      </c>
      <c r="I43" t="str">
        <f t="shared" si="6"/>
        <v>REVER</v>
      </c>
      <c r="J43" t="str">
        <f>Base_Itens!E20</f>
        <v>2010-Q4-0</v>
      </c>
      <c r="K43" t="str">
        <f>Base_Itens!G20</f>
        <v>03 — Sistema Monetário</v>
      </c>
      <c r="L43">
        <f>COUNTIFS(Base_Itens!$E$5:$E$1504,J43,Base_Itens!$G$5:$G$1504,K43)</f>
        <v>1</v>
      </c>
    </row>
    <row r="44" spans="1:12">
      <c r="A44" t="s">
        <v>2185</v>
      </c>
      <c r="B44">
        <v>2010</v>
      </c>
      <c r="C44" t="s">
        <v>82</v>
      </c>
      <c r="D44">
        <v>1</v>
      </c>
      <c r="E44">
        <v>1</v>
      </c>
      <c r="F44">
        <f>SUMIF(Base_Itens!$E$5:$E$1504,A44,Base_Itens!$I$5:$I$1504)</f>
        <v>1</v>
      </c>
      <c r="G44">
        <f t="shared" si="4"/>
        <v>0</v>
      </c>
      <c r="H44">
        <f>COUNTIF(Base_Itens!$E$5:$E$1504,A44)</f>
        <v>1</v>
      </c>
      <c r="I44" t="str">
        <f t="shared" si="6"/>
        <v>REVER</v>
      </c>
      <c r="J44" t="str">
        <f>Base_Itens!E21</f>
        <v>2010-Q4-1</v>
      </c>
      <c r="K44" t="str">
        <f>Base_Itens!G21</f>
        <v>03 — Sistema Monetário</v>
      </c>
      <c r="L44">
        <f>COUNTIFS(Base_Itens!$E$5:$E$1504,J44,Base_Itens!$G$5:$G$1504,K44)</f>
        <v>1</v>
      </c>
    </row>
    <row r="45" spans="1:12">
      <c r="A45" t="s">
        <v>2186</v>
      </c>
      <c r="B45">
        <v>2010</v>
      </c>
      <c r="C45" t="s">
        <v>82</v>
      </c>
      <c r="D45">
        <v>1</v>
      </c>
      <c r="E45">
        <v>1</v>
      </c>
      <c r="F45">
        <f>SUMIF(Base_Itens!$E$5:$E$1504,A45,Base_Itens!$I$5:$I$1504)</f>
        <v>1</v>
      </c>
      <c r="G45">
        <f t="shared" si="4"/>
        <v>0</v>
      </c>
      <c r="H45">
        <f>COUNTIF(Base_Itens!$E$5:$E$1504,A45)</f>
        <v>1</v>
      </c>
      <c r="I45" t="str">
        <f t="shared" si="6"/>
        <v>REVER</v>
      </c>
      <c r="J45" t="str">
        <f>Base_Itens!E22</f>
        <v>2010-Q4-2</v>
      </c>
      <c r="K45" t="str">
        <f>Base_Itens!G22</f>
        <v>03 — Sistema Monetário</v>
      </c>
      <c r="L45">
        <f>COUNTIFS(Base_Itens!$E$5:$E$1504,J45,Base_Itens!$G$5:$G$1504,K45)</f>
        <v>1</v>
      </c>
    </row>
    <row r="46" spans="1:12">
      <c r="A46" t="s">
        <v>2187</v>
      </c>
      <c r="B46">
        <v>2010</v>
      </c>
      <c r="C46" t="s">
        <v>82</v>
      </c>
      <c r="D46">
        <v>1</v>
      </c>
      <c r="E46">
        <v>1</v>
      </c>
      <c r="F46">
        <f>SUMIF(Base_Itens!$E$5:$E$1504,A46,Base_Itens!$I$5:$I$1504)</f>
        <v>1</v>
      </c>
      <c r="G46">
        <f t="shared" si="4"/>
        <v>0</v>
      </c>
      <c r="H46">
        <f>COUNTIF(Base_Itens!$E$5:$E$1504,A46)</f>
        <v>1</v>
      </c>
      <c r="I46" t="str">
        <f t="shared" si="6"/>
        <v>REVER</v>
      </c>
      <c r="J46" t="str">
        <f>Base_Itens!E23</f>
        <v>2010-Q4-3</v>
      </c>
      <c r="K46" t="str">
        <f>Base_Itens!G23</f>
        <v>03 — Sistema Monetário</v>
      </c>
      <c r="L46">
        <f>COUNTIFS(Base_Itens!$E$5:$E$1504,J46,Base_Itens!$G$5:$G$1504,K46)</f>
        <v>1</v>
      </c>
    </row>
    <row r="47" spans="1:12">
      <c r="A47" t="s">
        <v>2188</v>
      </c>
      <c r="B47">
        <v>2010</v>
      </c>
      <c r="C47" t="s">
        <v>82</v>
      </c>
      <c r="D47">
        <v>1</v>
      </c>
      <c r="E47">
        <v>1</v>
      </c>
      <c r="F47">
        <f>SUMIF(Base_Itens!$E$5:$E$1504,A47,Base_Itens!$I$5:$I$1504)</f>
        <v>1</v>
      </c>
      <c r="G47">
        <f t="shared" si="4"/>
        <v>0</v>
      </c>
      <c r="H47">
        <f>COUNTIF(Base_Itens!$E$5:$E$1504,A47)</f>
        <v>1</v>
      </c>
      <c r="I47" t="str">
        <f t="shared" si="6"/>
        <v>REVER</v>
      </c>
      <c r="J47" t="str">
        <f>Base_Itens!E24</f>
        <v>2010-Q4-4</v>
      </c>
      <c r="K47" t="str">
        <f>Base_Itens!G24</f>
        <v>03 — Sistema Monetário</v>
      </c>
      <c r="L47">
        <f>COUNTIFS(Base_Itens!$E$5:$E$1504,J47,Base_Itens!$G$5:$G$1504,K47)</f>
        <v>1</v>
      </c>
    </row>
    <row r="48" spans="1:12">
      <c r="A48" t="s">
        <v>2189</v>
      </c>
      <c r="B48">
        <v>2010</v>
      </c>
      <c r="C48" t="s">
        <v>82</v>
      </c>
      <c r="D48">
        <v>1</v>
      </c>
      <c r="E48">
        <v>1</v>
      </c>
      <c r="F48">
        <f>SUMIF(Base_Itens!$E$5:$E$1504,A48,Base_Itens!$I$5:$I$1504)</f>
        <v>1</v>
      </c>
      <c r="G48">
        <f t="shared" si="4"/>
        <v>0</v>
      </c>
      <c r="H48">
        <f>COUNTIF(Base_Itens!$E$5:$E$1504,A48)</f>
        <v>1</v>
      </c>
      <c r="I48" t="str">
        <f t="shared" si="6"/>
        <v>REVER</v>
      </c>
      <c r="J48" t="str">
        <f>Base_Itens!E25</f>
        <v>2010-Q5-0</v>
      </c>
      <c r="K48" t="str">
        <f>Base_Itens!G25</f>
        <v>12 — Consumo</v>
      </c>
      <c r="L48">
        <f>COUNTIFS(Base_Itens!$E$5:$E$1504,J48,Base_Itens!$G$5:$G$1504,K48)</f>
        <v>1</v>
      </c>
    </row>
    <row r="49" spans="1:12">
      <c r="A49" t="s">
        <v>2190</v>
      </c>
      <c r="B49">
        <v>2010</v>
      </c>
      <c r="C49" t="s">
        <v>82</v>
      </c>
      <c r="D49">
        <v>1</v>
      </c>
      <c r="E49">
        <v>1</v>
      </c>
      <c r="F49">
        <f>SUMIF(Base_Itens!$E$5:$E$1504,A49,Base_Itens!$I$5:$I$1504)</f>
        <v>1</v>
      </c>
      <c r="G49">
        <f t="shared" si="4"/>
        <v>0</v>
      </c>
      <c r="H49">
        <f>COUNTIF(Base_Itens!$E$5:$E$1504,A49)</f>
        <v>1</v>
      </c>
      <c r="I49" t="str">
        <f t="shared" si="6"/>
        <v>REVER</v>
      </c>
      <c r="J49" t="str">
        <f>Base_Itens!E26</f>
        <v>2010-Q5-1</v>
      </c>
      <c r="K49" t="str">
        <f>Base_Itens!G26</f>
        <v>12 — Consumo</v>
      </c>
      <c r="L49">
        <f>COUNTIFS(Base_Itens!$E$5:$E$1504,J49,Base_Itens!$G$5:$G$1504,K49)</f>
        <v>1</v>
      </c>
    </row>
    <row r="50" spans="1:12">
      <c r="A50" t="s">
        <v>2191</v>
      </c>
      <c r="B50">
        <v>2010</v>
      </c>
      <c r="C50" t="s">
        <v>82</v>
      </c>
      <c r="D50">
        <v>1</v>
      </c>
      <c r="E50">
        <v>1</v>
      </c>
      <c r="F50">
        <f>SUMIF(Base_Itens!$E$5:$E$1504,A50,Base_Itens!$I$5:$I$1504)</f>
        <v>1</v>
      </c>
      <c r="G50">
        <f t="shared" si="4"/>
        <v>0</v>
      </c>
      <c r="H50">
        <f>COUNTIF(Base_Itens!$E$5:$E$1504,A50)</f>
        <v>1</v>
      </c>
      <c r="I50" t="str">
        <f t="shared" ref="I50:I59" si="7">IF(AND(G50=0,H50=E50),"OK","REVER")</f>
        <v>OK</v>
      </c>
      <c r="J50" t="str">
        <f>Base_Itens!E27</f>
        <v>2010-Q5-2</v>
      </c>
      <c r="K50" t="str">
        <f>Base_Itens!G27</f>
        <v>12 — Consumo</v>
      </c>
      <c r="L50">
        <f>COUNTIFS(Base_Itens!$E$5:$E$1504,J50,Base_Itens!$G$5:$G$1504,K50)</f>
        <v>1</v>
      </c>
    </row>
    <row r="51" spans="1:12">
      <c r="A51" t="s">
        <v>2192</v>
      </c>
      <c r="B51">
        <v>2010</v>
      </c>
      <c r="C51" t="s">
        <v>82</v>
      </c>
      <c r="D51">
        <v>1</v>
      </c>
      <c r="E51">
        <v>1</v>
      </c>
      <c r="F51">
        <f>SUMIF(Base_Itens!$E$5:$E$1504,A51,Base_Itens!$I$5:$I$1504)</f>
        <v>1</v>
      </c>
      <c r="G51">
        <f t="shared" si="4"/>
        <v>0</v>
      </c>
      <c r="H51">
        <f>COUNTIF(Base_Itens!$E$5:$E$1504,A51)</f>
        <v>1</v>
      </c>
      <c r="I51" t="str">
        <f t="shared" si="7"/>
        <v>OK</v>
      </c>
      <c r="J51" t="str">
        <f>Base_Itens!E28</f>
        <v>2010-Q5-3</v>
      </c>
      <c r="K51" t="str">
        <f>Base_Itens!G28</f>
        <v>10 — Ciclos Reais de Negócios (RBC)</v>
      </c>
      <c r="L51">
        <f>COUNTIFS(Base_Itens!$E$5:$E$1504,J51,Base_Itens!$G$5:$G$1504,K51)</f>
        <v>1</v>
      </c>
    </row>
    <row r="52" spans="1:12">
      <c r="A52" t="s">
        <v>2193</v>
      </c>
      <c r="B52">
        <v>2010</v>
      </c>
      <c r="C52" t="s">
        <v>82</v>
      </c>
      <c r="D52">
        <v>1</v>
      </c>
      <c r="E52">
        <v>1</v>
      </c>
      <c r="F52">
        <f>SUMIF(Base_Itens!$E$5:$E$1504,A52,Base_Itens!$I$5:$I$1504)</f>
        <v>1</v>
      </c>
      <c r="G52">
        <f t="shared" si="4"/>
        <v>0</v>
      </c>
      <c r="H52">
        <f>COUNTIF(Base_Itens!$E$5:$E$1504,A52)</f>
        <v>1</v>
      </c>
      <c r="I52" t="str">
        <f t="shared" si="7"/>
        <v>OK</v>
      </c>
      <c r="J52" t="str">
        <f>Base_Itens!E29</f>
        <v>2010-Q5-4</v>
      </c>
      <c r="K52" t="str">
        <f>Base_Itens!G29</f>
        <v>09 — Expectativas, Novos Clássicos e Novos Keynesianos</v>
      </c>
      <c r="L52">
        <f>COUNTIFS(Base_Itens!$E$5:$E$1504,J52,Base_Itens!$G$5:$G$1504,K52)</f>
        <v>1</v>
      </c>
    </row>
    <row r="53" spans="1:12">
      <c r="A53" t="s">
        <v>2194</v>
      </c>
      <c r="B53">
        <v>2010</v>
      </c>
      <c r="C53" t="s">
        <v>82</v>
      </c>
      <c r="D53">
        <v>1</v>
      </c>
      <c r="E53">
        <v>1</v>
      </c>
      <c r="F53">
        <f>SUMIF(Base_Itens!$E$5:$E$1504,A53,Base_Itens!$I$5:$I$1504)</f>
        <v>1</v>
      </c>
      <c r="G53">
        <f t="shared" si="4"/>
        <v>0</v>
      </c>
      <c r="H53">
        <f>COUNTIF(Base_Itens!$E$5:$E$1504,A53)</f>
        <v>1</v>
      </c>
      <c r="I53" t="str">
        <f t="shared" si="7"/>
        <v>OK</v>
      </c>
      <c r="J53" t="str">
        <f>Base_Itens!E30</f>
        <v>2010-Q6-0</v>
      </c>
      <c r="K53" t="str">
        <f>Base_Itens!G30</f>
        <v>07a — Paridades</v>
      </c>
      <c r="L53">
        <f>COUNTIFS(Base_Itens!$E$5:$E$1504,J53,Base_Itens!$G$5:$G$1504,K53)</f>
        <v>1</v>
      </c>
    </row>
    <row r="54" spans="1:12">
      <c r="A54" t="s">
        <v>2195</v>
      </c>
      <c r="B54">
        <v>2010</v>
      </c>
      <c r="C54" t="s">
        <v>82</v>
      </c>
      <c r="D54">
        <v>1</v>
      </c>
      <c r="E54">
        <v>1</v>
      </c>
      <c r="F54">
        <f>SUMIF(Base_Itens!$E$5:$E$1504,A54,Base_Itens!$I$5:$I$1504)</f>
        <v>1</v>
      </c>
      <c r="G54">
        <f t="shared" si="4"/>
        <v>0</v>
      </c>
      <c r="H54">
        <f>COUNTIF(Base_Itens!$E$5:$E$1504,A54)</f>
        <v>1</v>
      </c>
      <c r="I54" t="str">
        <f t="shared" si="7"/>
        <v>OK</v>
      </c>
      <c r="J54" t="str">
        <f>Base_Itens!E31</f>
        <v>2010-Q6-1</v>
      </c>
      <c r="K54" t="str">
        <f>Base_Itens!G31</f>
        <v>07a — Paridades</v>
      </c>
      <c r="L54">
        <f>COUNTIFS(Base_Itens!$E$5:$E$1504,J54,Base_Itens!$G$5:$G$1504,K54)</f>
        <v>1</v>
      </c>
    </row>
    <row r="55" spans="1:12">
      <c r="A55" t="s">
        <v>2196</v>
      </c>
      <c r="B55">
        <v>2010</v>
      </c>
      <c r="C55" t="s">
        <v>82</v>
      </c>
      <c r="D55">
        <v>1</v>
      </c>
      <c r="E55">
        <v>2</v>
      </c>
      <c r="F55">
        <f>SUMIF(Base_Itens!$E$5:$E$1504,A55,Base_Itens!$I$5:$I$1504)</f>
        <v>1</v>
      </c>
      <c r="G55">
        <f t="shared" si="4"/>
        <v>0</v>
      </c>
      <c r="H55">
        <f>COUNTIF(Base_Itens!$E$5:$E$1504,A55)</f>
        <v>2</v>
      </c>
      <c r="I55" t="str">
        <f t="shared" si="7"/>
        <v>OK</v>
      </c>
      <c r="J55" t="str">
        <f>Base_Itens!E32</f>
        <v>2010-Q6-2</v>
      </c>
      <c r="K55" t="str">
        <f>Base_Itens!G32</f>
        <v>04 — Demanda por Moeda</v>
      </c>
      <c r="L55">
        <f>COUNTIFS(Base_Itens!$E$5:$E$1504,J55,Base_Itens!$G$5:$G$1504,K55)</f>
        <v>1</v>
      </c>
    </row>
    <row r="56" spans="1:12">
      <c r="A56" t="s">
        <v>2197</v>
      </c>
      <c r="B56">
        <v>2010</v>
      </c>
      <c r="C56" t="s">
        <v>82</v>
      </c>
      <c r="D56">
        <v>1</v>
      </c>
      <c r="E56">
        <v>1</v>
      </c>
      <c r="F56">
        <f>SUMIF(Base_Itens!$E$5:$E$1504,A56,Base_Itens!$I$5:$I$1504)</f>
        <v>1</v>
      </c>
      <c r="G56">
        <f t="shared" si="4"/>
        <v>0</v>
      </c>
      <c r="H56">
        <f>COUNTIF(Base_Itens!$E$5:$E$1504,A56)</f>
        <v>1</v>
      </c>
      <c r="I56" t="str">
        <f t="shared" si="7"/>
        <v>OK</v>
      </c>
      <c r="J56" t="str">
        <f>Base_Itens!E33</f>
        <v>2010-Q6-2</v>
      </c>
      <c r="K56" t="str">
        <f>Base_Itens!G33</f>
        <v>07a — Paridades</v>
      </c>
      <c r="L56">
        <f>COUNTIFS(Base_Itens!$E$5:$E$1504,J56,Base_Itens!$G$5:$G$1504,K56)</f>
        <v>1</v>
      </c>
    </row>
    <row r="57" spans="1:12">
      <c r="A57" t="s">
        <v>2198</v>
      </c>
      <c r="B57">
        <v>2010</v>
      </c>
      <c r="C57" t="s">
        <v>82</v>
      </c>
      <c r="D57">
        <v>1</v>
      </c>
      <c r="E57">
        <v>1</v>
      </c>
      <c r="F57">
        <f>SUMIF(Base_Itens!$E$5:$E$1504,A57,Base_Itens!$I$5:$I$1504)</f>
        <v>1</v>
      </c>
      <c r="G57">
        <f t="shared" si="4"/>
        <v>0</v>
      </c>
      <c r="H57">
        <f>COUNTIF(Base_Itens!$E$5:$E$1504,A57)</f>
        <v>1</v>
      </c>
      <c r="I57" t="str">
        <f t="shared" si="7"/>
        <v>OK</v>
      </c>
      <c r="J57" t="str">
        <f>Base_Itens!E34</f>
        <v>2010-Q6-3</v>
      </c>
      <c r="K57" t="str">
        <f>Base_Itens!G34</f>
        <v>06 — IS-LM-BP</v>
      </c>
      <c r="L57">
        <f>COUNTIFS(Base_Itens!$E$5:$E$1504,J57,Base_Itens!$G$5:$G$1504,K57)</f>
        <v>1</v>
      </c>
    </row>
    <row r="58" spans="1:12">
      <c r="A58" t="s">
        <v>2199</v>
      </c>
      <c r="B58">
        <v>2010</v>
      </c>
      <c r="C58" t="s">
        <v>82</v>
      </c>
      <c r="D58">
        <v>1</v>
      </c>
      <c r="E58">
        <v>1</v>
      </c>
      <c r="F58">
        <f>SUMIF(Base_Itens!$E$5:$E$1504,A58,Base_Itens!$I$5:$I$1504)</f>
        <v>1</v>
      </c>
      <c r="G58">
        <f t="shared" si="4"/>
        <v>0</v>
      </c>
      <c r="H58">
        <f>COUNTIF(Base_Itens!$E$5:$E$1504,A58)</f>
        <v>1</v>
      </c>
      <c r="I58" t="str">
        <f t="shared" si="7"/>
        <v>OK</v>
      </c>
      <c r="J58" t="str">
        <f>Base_Itens!E35</f>
        <v>2010-Q6-4</v>
      </c>
      <c r="K58" t="str">
        <f>Base_Itens!G35</f>
        <v>06 — IS-LM-BP</v>
      </c>
      <c r="L58">
        <f>COUNTIFS(Base_Itens!$E$5:$E$1504,J58,Base_Itens!$G$5:$G$1504,K58)</f>
        <v>1</v>
      </c>
    </row>
    <row r="59" spans="1:12">
      <c r="A59" t="s">
        <v>2200</v>
      </c>
      <c r="B59">
        <v>2010</v>
      </c>
      <c r="C59" t="s">
        <v>82</v>
      </c>
      <c r="D59">
        <v>1</v>
      </c>
      <c r="E59">
        <v>1</v>
      </c>
      <c r="F59">
        <f>SUMIF(Base_Itens!$E$5:$E$1504,A59,Base_Itens!$I$5:$I$1504)</f>
        <v>1</v>
      </c>
      <c r="G59">
        <f t="shared" si="4"/>
        <v>0</v>
      </c>
      <c r="H59">
        <f>COUNTIF(Base_Itens!$E$5:$E$1504,A59)</f>
        <v>1</v>
      </c>
      <c r="I59" t="str">
        <f t="shared" si="7"/>
        <v>OK</v>
      </c>
      <c r="J59" t="str">
        <f>Base_Itens!E36</f>
        <v>2010-Q7-0</v>
      </c>
      <c r="K59" t="str">
        <f>Base_Itens!G36</f>
        <v>05 — IS-LM</v>
      </c>
      <c r="L59">
        <f>COUNTIFS(Base_Itens!$E$5:$E$1504,J59,Base_Itens!$G$5:$G$1504,K59)</f>
        <v>1</v>
      </c>
    </row>
    <row r="60" spans="1:12">
      <c r="A60" t="s">
        <v>2201</v>
      </c>
      <c r="B60">
        <v>2010</v>
      </c>
      <c r="C60" t="s">
        <v>82</v>
      </c>
      <c r="D60">
        <v>1</v>
      </c>
      <c r="E60">
        <v>1</v>
      </c>
      <c r="F60">
        <f>SUMIF(Base_Itens!$E$5:$E$1504,A60,Base_Itens!$I$5:$I$1504)</f>
        <v>1</v>
      </c>
      <c r="G60">
        <f t="shared" si="4"/>
        <v>0</v>
      </c>
      <c r="H60">
        <f>COUNTIF(Base_Itens!$E$5:$E$1504,A60)</f>
        <v>1</v>
      </c>
      <c r="I60" t="str">
        <f t="shared" ref="I60:I69" si="8">IF(AND(G60=0,H60=E20),"OK","REVER")</f>
        <v>REVER</v>
      </c>
      <c r="J60" t="str">
        <f>Base_Itens!E37</f>
        <v>2010-Q7-1</v>
      </c>
      <c r="K60" t="str">
        <f>Base_Itens!G37</f>
        <v>05 — IS-LM</v>
      </c>
      <c r="L60">
        <f>COUNTIFS(Base_Itens!$E$5:$E$1504,J60,Base_Itens!$G$5:$G$1504,K60)</f>
        <v>1</v>
      </c>
    </row>
    <row r="61" spans="1:12">
      <c r="A61" t="s">
        <v>2202</v>
      </c>
      <c r="B61">
        <v>2010</v>
      </c>
      <c r="C61" t="s">
        <v>82</v>
      </c>
      <c r="D61">
        <v>1</v>
      </c>
      <c r="E61">
        <v>1</v>
      </c>
      <c r="F61">
        <f>SUMIF(Base_Itens!$E$5:$E$1504,A61,Base_Itens!$I$5:$I$1504)</f>
        <v>1</v>
      </c>
      <c r="G61">
        <f t="shared" si="4"/>
        <v>0</v>
      </c>
      <c r="H61">
        <f>COUNTIF(Base_Itens!$E$5:$E$1504,A61)</f>
        <v>1</v>
      </c>
      <c r="I61" t="str">
        <f t="shared" si="8"/>
        <v>REVER</v>
      </c>
      <c r="J61" t="str">
        <f>Base_Itens!E38</f>
        <v>2010-Q7-2</v>
      </c>
      <c r="K61" t="str">
        <f>Base_Itens!G38</f>
        <v>05 — IS-LM</v>
      </c>
      <c r="L61">
        <f>COUNTIFS(Base_Itens!$E$5:$E$1504,J61,Base_Itens!$G$5:$G$1504,K61)</f>
        <v>1</v>
      </c>
    </row>
    <row r="62" spans="1:12">
      <c r="A62" t="s">
        <v>2203</v>
      </c>
      <c r="B62">
        <v>2010</v>
      </c>
      <c r="C62" t="s">
        <v>82</v>
      </c>
      <c r="D62">
        <v>1</v>
      </c>
      <c r="E62">
        <v>1</v>
      </c>
      <c r="F62">
        <f>SUMIF(Base_Itens!$E$5:$E$1504,A62,Base_Itens!$I$5:$I$1504)</f>
        <v>1</v>
      </c>
      <c r="G62">
        <f t="shared" si="4"/>
        <v>0</v>
      </c>
      <c r="H62">
        <f>COUNTIF(Base_Itens!$E$5:$E$1504,A62)</f>
        <v>1</v>
      </c>
      <c r="I62" t="str">
        <f t="shared" si="8"/>
        <v>REVER</v>
      </c>
      <c r="J62" t="str">
        <f>Base_Itens!E39</f>
        <v>2010-Q7-3</v>
      </c>
      <c r="K62" t="str">
        <f>Base_Itens!G39</f>
        <v>05 — IS-LM</v>
      </c>
      <c r="L62">
        <f>COUNTIFS(Base_Itens!$E$5:$E$1504,J62,Base_Itens!$G$5:$G$1504,K62)</f>
        <v>1</v>
      </c>
    </row>
    <row r="63" spans="1:12">
      <c r="A63" t="s">
        <v>2204</v>
      </c>
      <c r="B63">
        <v>2010</v>
      </c>
      <c r="C63" t="s">
        <v>82</v>
      </c>
      <c r="D63">
        <v>1</v>
      </c>
      <c r="E63">
        <v>1</v>
      </c>
      <c r="F63">
        <f>SUMIF(Base_Itens!$E$5:$E$1504,A63,Base_Itens!$I$5:$I$1504)</f>
        <v>1</v>
      </c>
      <c r="G63">
        <f t="shared" si="4"/>
        <v>0</v>
      </c>
      <c r="H63">
        <f>COUNTIF(Base_Itens!$E$5:$E$1504,A63)</f>
        <v>1</v>
      </c>
      <c r="I63" t="str">
        <f t="shared" si="8"/>
        <v>REVER</v>
      </c>
      <c r="J63" t="str">
        <f>Base_Itens!E10</f>
        <v>2010-Q2-0</v>
      </c>
      <c r="K63" t="str">
        <f>Base_Itens!G40</f>
        <v>05 — IS-LM</v>
      </c>
      <c r="L63">
        <f>COUNTIFS(Base_Itens!$E$5:$E$1504,J63,Base_Itens!$G$5:$G$1504,K63)</f>
        <v>1</v>
      </c>
    </row>
    <row r="64" spans="1:12">
      <c r="A64" t="s">
        <v>2205</v>
      </c>
      <c r="B64">
        <v>2010</v>
      </c>
      <c r="C64" t="s">
        <v>82</v>
      </c>
      <c r="D64">
        <v>1</v>
      </c>
      <c r="E64">
        <v>1</v>
      </c>
      <c r="F64">
        <f>SUMIF(Base_Itens!$E$5:$E$1504,A64,Base_Itens!$I$5:$I$1504)</f>
        <v>1</v>
      </c>
      <c r="G64">
        <f t="shared" si="4"/>
        <v>0</v>
      </c>
      <c r="H64">
        <f>COUNTIF(Base_Itens!$E$5:$E$1504,A64)</f>
        <v>1</v>
      </c>
      <c r="I64" t="str">
        <f t="shared" si="8"/>
        <v>REVER</v>
      </c>
      <c r="J64" t="str">
        <f>Base_Itens!E11</f>
        <v>2010-Q2-1</v>
      </c>
      <c r="K64" t="str">
        <f>Base_Itens!G41</f>
        <v>08 — Curva de Phillips</v>
      </c>
      <c r="L64">
        <f>COUNTIFS(Base_Itens!$E$5:$E$1504,J64,Base_Itens!$G$5:$G$1504,K64)</f>
        <v>0</v>
      </c>
    </row>
    <row r="65" spans="1:12">
      <c r="A65" t="s">
        <v>2206</v>
      </c>
      <c r="B65">
        <v>2010</v>
      </c>
      <c r="C65" t="s">
        <v>82</v>
      </c>
      <c r="D65">
        <v>1</v>
      </c>
      <c r="E65">
        <v>1</v>
      </c>
      <c r="F65">
        <f>SUMIF(Base_Itens!$E$5:$E$1504,A65,Base_Itens!$I$5:$I$1504)</f>
        <v>1</v>
      </c>
      <c r="G65">
        <f t="shared" si="4"/>
        <v>0</v>
      </c>
      <c r="H65">
        <f>COUNTIF(Base_Itens!$E$5:$E$1504,A65)</f>
        <v>1</v>
      </c>
      <c r="I65" t="str">
        <f t="shared" si="8"/>
        <v>REVER</v>
      </c>
      <c r="J65" t="str">
        <f>Base_Itens!E12</f>
        <v>2010-Q2-2</v>
      </c>
      <c r="K65" t="str">
        <f>Base_Itens!G42</f>
        <v>08 — Curva de Phillips</v>
      </c>
      <c r="L65">
        <f>COUNTIFS(Base_Itens!$E$5:$E$1504,J65,Base_Itens!$G$5:$G$1504,K65)</f>
        <v>0</v>
      </c>
    </row>
    <row r="66" spans="1:12">
      <c r="A66" t="s">
        <v>2207</v>
      </c>
      <c r="B66">
        <v>2010</v>
      </c>
      <c r="C66" t="s">
        <v>82</v>
      </c>
      <c r="D66">
        <v>1</v>
      </c>
      <c r="E66">
        <v>1</v>
      </c>
      <c r="F66">
        <f>SUMIF(Base_Itens!$E$5:$E$1504,A66,Base_Itens!$I$5:$I$1504)</f>
        <v>1</v>
      </c>
      <c r="G66">
        <f t="shared" si="4"/>
        <v>0</v>
      </c>
      <c r="H66">
        <f>COUNTIF(Base_Itens!$E$5:$E$1504,A66)</f>
        <v>1</v>
      </c>
      <c r="I66" t="str">
        <f t="shared" si="8"/>
        <v>REVER</v>
      </c>
      <c r="J66" t="str">
        <f>Base_Itens!E13</f>
        <v>2010-Q2-3</v>
      </c>
      <c r="K66" t="str">
        <f>Base_Itens!G43</f>
        <v>08 — Curva de Phillips</v>
      </c>
      <c r="L66">
        <f>COUNTIFS(Base_Itens!$E$5:$E$1504,J66,Base_Itens!$G$5:$G$1504,K66)</f>
        <v>0</v>
      </c>
    </row>
    <row r="67" spans="1:12">
      <c r="A67" t="s">
        <v>2208</v>
      </c>
      <c r="B67">
        <v>2010</v>
      </c>
      <c r="C67" t="s">
        <v>82</v>
      </c>
      <c r="D67">
        <v>1</v>
      </c>
      <c r="E67">
        <v>1</v>
      </c>
      <c r="F67">
        <f>SUMIF(Base_Itens!$E$5:$E$1504,A67,Base_Itens!$I$5:$I$1504)</f>
        <v>1</v>
      </c>
      <c r="G67">
        <f t="shared" si="4"/>
        <v>0</v>
      </c>
      <c r="H67">
        <f>COUNTIF(Base_Itens!$E$5:$E$1504,A67)</f>
        <v>1</v>
      </c>
      <c r="I67" t="str">
        <f t="shared" si="8"/>
        <v>REVER</v>
      </c>
      <c r="J67" t="str">
        <f>Base_Itens!E14</f>
        <v>2010-Q2-4</v>
      </c>
      <c r="K67" t="str">
        <f>Base_Itens!G44</f>
        <v>08 — Curva de Phillips</v>
      </c>
      <c r="L67">
        <f>COUNTIFS(Base_Itens!$E$5:$E$1504,J67,Base_Itens!$G$5:$G$1504,K67)</f>
        <v>0</v>
      </c>
    </row>
    <row r="68" spans="1:12">
      <c r="A68" t="s">
        <v>2209</v>
      </c>
      <c r="B68">
        <v>2010</v>
      </c>
      <c r="C68" t="s">
        <v>82</v>
      </c>
      <c r="D68">
        <v>1</v>
      </c>
      <c r="E68">
        <v>1</v>
      </c>
      <c r="F68">
        <f>SUMIF(Base_Itens!$E$5:$E$1504,A68,Base_Itens!$I$5:$I$1504)</f>
        <v>1</v>
      </c>
      <c r="G68">
        <f t="shared" si="4"/>
        <v>0</v>
      </c>
      <c r="H68">
        <f>COUNTIF(Base_Itens!$E$5:$E$1504,A68)</f>
        <v>1</v>
      </c>
      <c r="I68" t="str">
        <f t="shared" si="8"/>
        <v>OK</v>
      </c>
      <c r="J68" t="str">
        <f>Base_Itens!E15</f>
        <v>2010-Q3-0</v>
      </c>
      <c r="K68" t="str">
        <f>Base_Itens!G45</f>
        <v>08 — Curva de Phillips</v>
      </c>
      <c r="L68">
        <f>COUNTIFS(Base_Itens!$E$5:$E$1504,J68,Base_Itens!$G$5:$G$1504,K68)</f>
        <v>0</v>
      </c>
    </row>
    <row r="69" spans="1:12">
      <c r="A69" t="s">
        <v>2210</v>
      </c>
      <c r="B69">
        <v>2010</v>
      </c>
      <c r="C69" t="s">
        <v>82</v>
      </c>
      <c r="D69">
        <v>1</v>
      </c>
      <c r="E69">
        <v>1</v>
      </c>
      <c r="F69">
        <f>SUMIF(Base_Itens!$E$5:$E$1504,A69,Base_Itens!$I$5:$I$1504)</f>
        <v>1</v>
      </c>
      <c r="G69">
        <f t="shared" si="4"/>
        <v>0</v>
      </c>
      <c r="H69">
        <f>COUNTIF(Base_Itens!$E$5:$E$1504,A69)</f>
        <v>1</v>
      </c>
      <c r="I69" t="str">
        <f t="shared" si="8"/>
        <v>OK</v>
      </c>
      <c r="J69" t="str">
        <f>Base_Itens!E16</f>
        <v>2010-Q3-1</v>
      </c>
      <c r="K69" t="str">
        <f>Base_Itens!G46</f>
        <v>09 — Expectativas, Novos Clássicos e Novos Keynesianos</v>
      </c>
      <c r="L69">
        <f>COUNTIFS(Base_Itens!$E$5:$E$1504,J69,Base_Itens!$G$5:$G$1504,K69)</f>
        <v>0</v>
      </c>
    </row>
    <row r="70" spans="1:12">
      <c r="A70" t="s">
        <v>2211</v>
      </c>
      <c r="B70">
        <v>2010</v>
      </c>
      <c r="C70" t="s">
        <v>82</v>
      </c>
      <c r="D70">
        <v>1</v>
      </c>
      <c r="E70">
        <v>1</v>
      </c>
      <c r="F70">
        <f>SUMIF(Base_Itens!$E$5:$E$1504,A70,Base_Itens!$I$5:$I$1504)</f>
        <v>1</v>
      </c>
      <c r="G70">
        <f t="shared" si="4"/>
        <v>0</v>
      </c>
      <c r="H70">
        <f>COUNTIF(Base_Itens!$E$5:$E$1504,A70)</f>
        <v>1</v>
      </c>
      <c r="I70" t="str">
        <f t="shared" ref="I70:I133" si="9">IF(AND(G70=0,H70=E70),"OK","REVER")</f>
        <v>OK</v>
      </c>
      <c r="J70" t="str">
        <f>Base_Itens!E17</f>
        <v>2010-Q3-2</v>
      </c>
      <c r="K70" t="str">
        <f>Base_Itens!G47</f>
        <v>09 — Expectativas, Novos Clássicos e Novos Keynesianos</v>
      </c>
      <c r="L70">
        <f>COUNTIFS(Base_Itens!$E$5:$E$1504,J70,Base_Itens!$G$5:$G$1504,K70)</f>
        <v>0</v>
      </c>
    </row>
    <row r="71" spans="1:12">
      <c r="A71" t="s">
        <v>2212</v>
      </c>
      <c r="B71">
        <v>2010</v>
      </c>
      <c r="C71" t="s">
        <v>82</v>
      </c>
      <c r="D71">
        <v>1</v>
      </c>
      <c r="E71">
        <v>1</v>
      </c>
      <c r="F71">
        <f>SUMIF(Base_Itens!$E$5:$E$1504,A71,Base_Itens!$I$5:$I$1504)</f>
        <v>1</v>
      </c>
      <c r="G71">
        <f t="shared" si="4"/>
        <v>0</v>
      </c>
      <c r="H71">
        <f>COUNTIF(Base_Itens!$E$5:$E$1504,A71)</f>
        <v>1</v>
      </c>
      <c r="I71" t="str">
        <f t="shared" si="9"/>
        <v>OK</v>
      </c>
      <c r="J71" t="str">
        <f>Base_Itens!E18</f>
        <v>2010-Q3-3</v>
      </c>
      <c r="K71" t="str">
        <f>Base_Itens!G48</f>
        <v>09 — Expectativas, Novos Clássicos e Novos Keynesianos</v>
      </c>
      <c r="L71">
        <f>COUNTIFS(Base_Itens!$E$5:$E$1504,J71,Base_Itens!$G$5:$G$1504,K71)</f>
        <v>0</v>
      </c>
    </row>
    <row r="72" spans="1:12">
      <c r="A72" t="s">
        <v>2213</v>
      </c>
      <c r="B72">
        <v>2010</v>
      </c>
      <c r="C72" t="s">
        <v>82</v>
      </c>
      <c r="D72">
        <v>1</v>
      </c>
      <c r="E72">
        <v>1</v>
      </c>
      <c r="F72">
        <f>SUMIF(Base_Itens!$E$5:$E$1504,A72,Base_Itens!$I$5:$I$1504)</f>
        <v>1</v>
      </c>
      <c r="G72">
        <f t="shared" si="4"/>
        <v>0</v>
      </c>
      <c r="H72">
        <f>COUNTIF(Base_Itens!$E$5:$E$1504,A72)</f>
        <v>1</v>
      </c>
      <c r="I72" t="str">
        <f t="shared" si="9"/>
        <v>OK</v>
      </c>
      <c r="J72" t="str">
        <f>Base_Itens!E19</f>
        <v>2010-Q3-4</v>
      </c>
      <c r="K72" t="str">
        <f>Base_Itens!G49</f>
        <v>09 — Expectativas, Novos Clássicos e Novos Keynesianos</v>
      </c>
      <c r="L72">
        <f>COUNTIFS(Base_Itens!$E$5:$E$1504,J72,Base_Itens!$G$5:$G$1504,K72)</f>
        <v>0</v>
      </c>
    </row>
    <row r="73" spans="1:12">
      <c r="A73" t="s">
        <v>2214</v>
      </c>
      <c r="B73">
        <v>2010</v>
      </c>
      <c r="C73" t="s">
        <v>82</v>
      </c>
      <c r="D73">
        <v>1</v>
      </c>
      <c r="E73">
        <v>1</v>
      </c>
      <c r="F73">
        <f>SUMIF(Base_Itens!$E$5:$E$1504,A73,Base_Itens!$I$5:$I$1504)</f>
        <v>1</v>
      </c>
      <c r="G73">
        <f t="shared" si="4"/>
        <v>0</v>
      </c>
      <c r="H73">
        <f>COUNTIF(Base_Itens!$E$5:$E$1504,A73)</f>
        <v>1</v>
      </c>
      <c r="I73" t="str">
        <f t="shared" si="9"/>
        <v>OK</v>
      </c>
      <c r="J73" t="str">
        <f>Base_Itens!E50</f>
        <v>2010-Q9-4</v>
      </c>
      <c r="K73" t="str">
        <f>Base_Itens!G50</f>
        <v>09 — Expectativas, Novos Clássicos e Novos Keynesianos</v>
      </c>
      <c r="L73">
        <f>COUNTIFS(Base_Itens!$E$5:$E$1504,J73,Base_Itens!$G$5:$G$1504,K73)</f>
        <v>1</v>
      </c>
    </row>
    <row r="74" spans="1:12">
      <c r="A74" t="s">
        <v>2215</v>
      </c>
      <c r="B74">
        <v>2010</v>
      </c>
      <c r="C74" t="s">
        <v>82</v>
      </c>
      <c r="D74">
        <v>1</v>
      </c>
      <c r="E74">
        <v>1</v>
      </c>
      <c r="F74">
        <f>SUMIF(Base_Itens!$E$5:$E$1504,A74,Base_Itens!$I$5:$I$1504)</f>
        <v>1</v>
      </c>
      <c r="G74">
        <f t="shared" si="4"/>
        <v>0</v>
      </c>
      <c r="H74">
        <f>COUNTIF(Base_Itens!$E$5:$E$1504,A74)</f>
        <v>1</v>
      </c>
      <c r="I74" t="str">
        <f t="shared" si="9"/>
        <v>OK</v>
      </c>
      <c r="J74" t="str">
        <f>Base_Itens!E51</f>
        <v>2010-Q10-0</v>
      </c>
      <c r="K74" t="str">
        <f>Base_Itens!G51</f>
        <v>11 — Crescimento Econômico</v>
      </c>
      <c r="L74">
        <f>COUNTIFS(Base_Itens!$E$5:$E$1504,J74,Base_Itens!$G$5:$G$1504,K74)</f>
        <v>1</v>
      </c>
    </row>
    <row r="75" spans="1:12">
      <c r="A75" t="s">
        <v>2216</v>
      </c>
      <c r="B75">
        <v>2010</v>
      </c>
      <c r="C75" t="s">
        <v>82</v>
      </c>
      <c r="D75">
        <v>1</v>
      </c>
      <c r="E75">
        <v>1</v>
      </c>
      <c r="F75">
        <f>SUMIF(Base_Itens!$E$5:$E$1504,A75,Base_Itens!$I$5:$I$1504)</f>
        <v>1</v>
      </c>
      <c r="G75">
        <f t="shared" si="4"/>
        <v>0</v>
      </c>
      <c r="H75">
        <f>COUNTIF(Base_Itens!$E$5:$E$1504,A75)</f>
        <v>1</v>
      </c>
      <c r="I75" t="str">
        <f t="shared" si="9"/>
        <v>OK</v>
      </c>
      <c r="J75" t="str">
        <f>Base_Itens!E52</f>
        <v>2010-Q10-1</v>
      </c>
      <c r="K75" t="str">
        <f>Base_Itens!G52</f>
        <v>11 — Crescimento Econômico</v>
      </c>
      <c r="L75">
        <f>COUNTIFS(Base_Itens!$E$5:$E$1504,J75,Base_Itens!$G$5:$G$1504,K75)</f>
        <v>1</v>
      </c>
    </row>
    <row r="76" spans="1:12">
      <c r="A76" t="s">
        <v>2217</v>
      </c>
      <c r="B76">
        <v>2010</v>
      </c>
      <c r="C76" t="s">
        <v>82</v>
      </c>
      <c r="D76">
        <v>1</v>
      </c>
      <c r="E76">
        <v>1</v>
      </c>
      <c r="F76">
        <f>SUMIF(Base_Itens!$E$5:$E$1504,A76,Base_Itens!$I$5:$I$1504)</f>
        <v>1</v>
      </c>
      <c r="G76">
        <f t="shared" si="4"/>
        <v>0</v>
      </c>
      <c r="H76">
        <f>COUNTIF(Base_Itens!$E$5:$E$1504,A76)</f>
        <v>1</v>
      </c>
      <c r="I76" t="str">
        <f t="shared" si="9"/>
        <v>OK</v>
      </c>
      <c r="J76" t="str">
        <f>Base_Itens!E53</f>
        <v>2010-Q10-2</v>
      </c>
      <c r="K76" t="str">
        <f>Base_Itens!G53</f>
        <v>11 — Crescimento Econômico</v>
      </c>
      <c r="L76">
        <f>COUNTIFS(Base_Itens!$E$5:$E$1504,J76,Base_Itens!$G$5:$G$1504,K76)</f>
        <v>1</v>
      </c>
    </row>
    <row r="77" spans="1:12">
      <c r="A77" t="s">
        <v>2218</v>
      </c>
      <c r="B77">
        <v>2010</v>
      </c>
      <c r="C77" t="s">
        <v>82</v>
      </c>
      <c r="D77">
        <v>1</v>
      </c>
      <c r="E77">
        <v>1</v>
      </c>
      <c r="F77">
        <f>SUMIF(Base_Itens!$E$5:$E$1504,A77,Base_Itens!$I$5:$I$1504)</f>
        <v>1</v>
      </c>
      <c r="G77">
        <f t="shared" si="4"/>
        <v>0</v>
      </c>
      <c r="H77">
        <f>COUNTIF(Base_Itens!$E$5:$E$1504,A77)</f>
        <v>1</v>
      </c>
      <c r="I77" t="str">
        <f t="shared" si="9"/>
        <v>OK</v>
      </c>
      <c r="J77" t="str">
        <f>Base_Itens!E54</f>
        <v>2010-Q10-3</v>
      </c>
      <c r="K77" t="str">
        <f>Base_Itens!G54</f>
        <v>11 — Crescimento Econômico</v>
      </c>
      <c r="L77">
        <f>COUNTIFS(Base_Itens!$E$5:$E$1504,J77,Base_Itens!$G$5:$G$1504,K77)</f>
        <v>1</v>
      </c>
    </row>
    <row r="78" spans="1:12">
      <c r="A78" t="s">
        <v>2219</v>
      </c>
      <c r="B78">
        <v>2010</v>
      </c>
      <c r="C78" t="s">
        <v>82</v>
      </c>
      <c r="D78">
        <v>1</v>
      </c>
      <c r="E78">
        <v>1</v>
      </c>
      <c r="F78">
        <f>SUMIF(Base_Itens!$E$5:$E$1504,A78,Base_Itens!$I$5:$I$1504)</f>
        <v>1</v>
      </c>
      <c r="G78">
        <f t="shared" si="4"/>
        <v>0</v>
      </c>
      <c r="H78">
        <f>COUNTIF(Base_Itens!$E$5:$E$1504,A78)</f>
        <v>1</v>
      </c>
      <c r="I78" t="str">
        <f t="shared" si="9"/>
        <v>OK</v>
      </c>
      <c r="J78" t="str">
        <f>Base_Itens!E55</f>
        <v>2010-Q10-4</v>
      </c>
      <c r="K78" t="str">
        <f>Base_Itens!G55</f>
        <v>11 — Crescimento Econômico</v>
      </c>
      <c r="L78">
        <f>COUNTIFS(Base_Itens!$E$5:$E$1504,J78,Base_Itens!$G$5:$G$1504,K78)</f>
        <v>1</v>
      </c>
    </row>
    <row r="79" spans="1:12">
      <c r="A79" t="s">
        <v>2220</v>
      </c>
      <c r="B79">
        <v>2010</v>
      </c>
      <c r="C79" t="s">
        <v>82</v>
      </c>
      <c r="D79">
        <v>1</v>
      </c>
      <c r="E79">
        <v>1</v>
      </c>
      <c r="F79">
        <f>SUMIF(Base_Itens!$E$5:$E$1504,A79,Base_Itens!$I$5:$I$1504)</f>
        <v>1</v>
      </c>
      <c r="G79">
        <f t="shared" si="4"/>
        <v>0</v>
      </c>
      <c r="H79">
        <f>COUNTIF(Base_Itens!$E$5:$E$1504,A79)</f>
        <v>1</v>
      </c>
      <c r="I79" t="str">
        <f t="shared" si="9"/>
        <v>OK</v>
      </c>
      <c r="J79" t="str">
        <f>Base_Itens!E56</f>
        <v>2010-Q11-0</v>
      </c>
      <c r="K79" t="str">
        <f>Base_Itens!G56</f>
        <v>11 — Crescimento Econômico</v>
      </c>
      <c r="L79">
        <f>COUNTIFS(Base_Itens!$E$5:$E$1504,J79,Base_Itens!$G$5:$G$1504,K79)</f>
        <v>1</v>
      </c>
    </row>
    <row r="80" spans="1:12">
      <c r="A80" t="s">
        <v>2221</v>
      </c>
      <c r="B80">
        <v>2010</v>
      </c>
      <c r="C80" t="s">
        <v>82</v>
      </c>
      <c r="D80">
        <v>1</v>
      </c>
      <c r="E80">
        <v>1</v>
      </c>
      <c r="F80">
        <f>SUMIF(Base_Itens!$E$5:$E$1504,A80,Base_Itens!$I$5:$I$1504)</f>
        <v>1</v>
      </c>
      <c r="G80">
        <f t="shared" si="4"/>
        <v>0</v>
      </c>
      <c r="H80">
        <f>COUNTIF(Base_Itens!$E$5:$E$1504,A80)</f>
        <v>1</v>
      </c>
      <c r="I80" t="str">
        <f t="shared" si="9"/>
        <v>OK</v>
      </c>
      <c r="J80" t="str">
        <f>Base_Itens!E57</f>
        <v>2010-Q11-1</v>
      </c>
      <c r="K80" t="str">
        <f>Base_Itens!G57</f>
        <v>11 — Crescimento Econômico</v>
      </c>
      <c r="L80">
        <f>COUNTIFS(Base_Itens!$E$5:$E$1504,J80,Base_Itens!$G$5:$G$1504,K80)</f>
        <v>1</v>
      </c>
    </row>
    <row r="81" spans="1:12">
      <c r="A81" t="s">
        <v>2222</v>
      </c>
      <c r="B81">
        <v>2010</v>
      </c>
      <c r="C81" t="s">
        <v>82</v>
      </c>
      <c r="D81">
        <v>1</v>
      </c>
      <c r="E81">
        <v>1</v>
      </c>
      <c r="F81">
        <f>SUMIF(Base_Itens!$E$5:$E$1504,A81,Base_Itens!$I$5:$I$1504)</f>
        <v>1</v>
      </c>
      <c r="G81">
        <f t="shared" si="4"/>
        <v>0</v>
      </c>
      <c r="H81">
        <f>COUNTIF(Base_Itens!$E$5:$E$1504,A81)</f>
        <v>1</v>
      </c>
      <c r="I81" t="str">
        <f t="shared" si="9"/>
        <v>OK</v>
      </c>
      <c r="J81" t="str">
        <f>Base_Itens!E58</f>
        <v>2010-Q11-2</v>
      </c>
      <c r="K81" t="str">
        <f>Base_Itens!G58</f>
        <v>11 — Crescimento Econômico</v>
      </c>
      <c r="L81">
        <f>COUNTIFS(Base_Itens!$E$5:$E$1504,J81,Base_Itens!$G$5:$G$1504,K81)</f>
        <v>1</v>
      </c>
    </row>
    <row r="82" spans="1:12">
      <c r="A82" t="s">
        <v>2223</v>
      </c>
      <c r="B82">
        <v>2010</v>
      </c>
      <c r="C82" t="s">
        <v>82</v>
      </c>
      <c r="D82">
        <v>1</v>
      </c>
      <c r="E82">
        <v>1</v>
      </c>
      <c r="F82">
        <f>SUMIF(Base_Itens!$E$5:$E$1504,A82,Base_Itens!$I$5:$I$1504)</f>
        <v>1</v>
      </c>
      <c r="G82">
        <f t="shared" si="4"/>
        <v>0</v>
      </c>
      <c r="H82">
        <f>COUNTIF(Base_Itens!$E$5:$E$1504,A82)</f>
        <v>1</v>
      </c>
      <c r="I82" t="str">
        <f t="shared" si="9"/>
        <v>OK</v>
      </c>
      <c r="J82" t="str">
        <f>Base_Itens!E59</f>
        <v>2010-Q11-3</v>
      </c>
      <c r="K82" t="str">
        <f>Base_Itens!G59</f>
        <v>11 — Crescimento Econômico</v>
      </c>
      <c r="L82">
        <f>COUNTIFS(Base_Itens!$E$5:$E$1504,J82,Base_Itens!$G$5:$G$1504,K82)</f>
        <v>1</v>
      </c>
    </row>
    <row r="83" spans="1:12">
      <c r="A83" t="s">
        <v>2224</v>
      </c>
      <c r="B83">
        <v>2010</v>
      </c>
      <c r="C83" t="s">
        <v>2153</v>
      </c>
      <c r="D83">
        <v>5</v>
      </c>
      <c r="E83">
        <v>1</v>
      </c>
      <c r="F83">
        <f>SUMIF(Base_Itens!$E$5:$E$1504,A83,Base_Itens!$I$5:$I$1504)</f>
        <v>5</v>
      </c>
      <c r="G83">
        <f t="shared" si="4"/>
        <v>0</v>
      </c>
      <c r="H83">
        <f>COUNTIF(Base_Itens!$E$5:$E$1504,A83)</f>
        <v>1</v>
      </c>
      <c r="I83" t="str">
        <f t="shared" si="9"/>
        <v>OK</v>
      </c>
      <c r="J83" t="str">
        <f>Base_Itens!E20</f>
        <v>2010-Q4-0</v>
      </c>
      <c r="K83" t="str">
        <f>Base_Itens!G60</f>
        <v>11 — Crescimento Econômico</v>
      </c>
      <c r="L83">
        <f>COUNTIFS(Base_Itens!$E$5:$E$1504,J83,Base_Itens!$G$5:$G$1504,K83)</f>
        <v>0</v>
      </c>
    </row>
    <row r="84" spans="1:12">
      <c r="A84" t="s">
        <v>2225</v>
      </c>
      <c r="B84">
        <v>2010</v>
      </c>
      <c r="C84" t="s">
        <v>2153</v>
      </c>
      <c r="D84">
        <v>5</v>
      </c>
      <c r="E84">
        <v>2</v>
      </c>
      <c r="F84">
        <f>SUMIF(Base_Itens!$E$5:$E$1504,A84,Base_Itens!$I$5:$I$1504)</f>
        <v>5</v>
      </c>
      <c r="G84">
        <f t="shared" si="4"/>
        <v>0</v>
      </c>
      <c r="H84">
        <f>COUNTIF(Base_Itens!$E$5:$E$1504,A84)</f>
        <v>2</v>
      </c>
      <c r="I84" t="str">
        <f t="shared" si="9"/>
        <v>OK</v>
      </c>
      <c r="J84" t="str">
        <f>Base_Itens!E21</f>
        <v>2010-Q4-1</v>
      </c>
      <c r="K84" t="str">
        <f>Base_Itens!G61</f>
        <v>07a — Paridades</v>
      </c>
      <c r="L84">
        <f>COUNTIFS(Base_Itens!$E$5:$E$1504,J84,Base_Itens!$G$5:$G$1504,K84)</f>
        <v>0</v>
      </c>
    </row>
    <row r="85" spans="1:12">
      <c r="A85" t="s">
        <v>2226</v>
      </c>
      <c r="B85">
        <v>2010</v>
      </c>
      <c r="C85" t="s">
        <v>2153</v>
      </c>
      <c r="D85">
        <v>5</v>
      </c>
      <c r="E85">
        <v>3</v>
      </c>
      <c r="F85">
        <f>SUMIF(Base_Itens!$E$5:$E$1504,A85,Base_Itens!$I$5:$I$1504)</f>
        <v>5</v>
      </c>
      <c r="G85">
        <f t="shared" si="4"/>
        <v>0</v>
      </c>
      <c r="H85">
        <f>COUNTIF(Base_Itens!$E$5:$E$1504,A85)</f>
        <v>3</v>
      </c>
      <c r="I85" t="str">
        <f t="shared" si="9"/>
        <v>OK</v>
      </c>
      <c r="J85" t="str">
        <f>Base_Itens!E22</f>
        <v>2010-Q4-2</v>
      </c>
      <c r="K85" t="str">
        <f>Base_Itens!G62</f>
        <v>07b — OA-DA</v>
      </c>
      <c r="L85">
        <f>COUNTIFS(Base_Itens!$E$5:$E$1504,J85,Base_Itens!$G$5:$G$1504,K85)</f>
        <v>0</v>
      </c>
    </row>
    <row r="86" spans="1:12">
      <c r="A86" t="s">
        <v>2227</v>
      </c>
      <c r="B86">
        <v>2010</v>
      </c>
      <c r="C86" t="s">
        <v>2153</v>
      </c>
      <c r="D86">
        <v>5</v>
      </c>
      <c r="E86">
        <v>1</v>
      </c>
      <c r="F86">
        <f>SUMIF(Base_Itens!$E$5:$E$1504,A86,Base_Itens!$I$5:$I$1504)</f>
        <v>5</v>
      </c>
      <c r="G86">
        <f t="shared" si="4"/>
        <v>0</v>
      </c>
      <c r="H86">
        <f>COUNTIF(Base_Itens!$E$5:$E$1504,A86)</f>
        <v>1</v>
      </c>
      <c r="I86" t="str">
        <f t="shared" si="9"/>
        <v>OK</v>
      </c>
      <c r="J86" t="str">
        <f>Base_Itens!E23</f>
        <v>2010-Q4-3</v>
      </c>
      <c r="K86" t="str">
        <f>Base_Itens!G63</f>
        <v>08 — Curva de Phillips</v>
      </c>
      <c r="L86">
        <f>COUNTIFS(Base_Itens!$E$5:$E$1504,J86,Base_Itens!$G$5:$G$1504,K86)</f>
        <v>0</v>
      </c>
    </row>
    <row r="87" spans="1:12">
      <c r="A87" t="s">
        <v>2228</v>
      </c>
      <c r="B87">
        <v>2011</v>
      </c>
      <c r="C87" t="s">
        <v>82</v>
      </c>
      <c r="D87">
        <v>1</v>
      </c>
      <c r="E87">
        <v>1</v>
      </c>
      <c r="F87">
        <f>SUMIF(Base_Itens!$E$5:$E$1504,A87,Base_Itens!$I$5:$I$1504)</f>
        <v>1</v>
      </c>
      <c r="G87">
        <f t="shared" si="4"/>
        <v>0</v>
      </c>
      <c r="H87">
        <f>COUNTIF(Base_Itens!$E$5:$E$1504,A87)</f>
        <v>1</v>
      </c>
      <c r="I87" t="str">
        <f t="shared" si="9"/>
        <v>OK</v>
      </c>
      <c r="J87" t="str">
        <f>Base_Itens!E24</f>
        <v>2010-Q4-4</v>
      </c>
      <c r="K87" t="str">
        <f>Base_Itens!G64</f>
        <v>03 — Sistema Monetário</v>
      </c>
      <c r="L87">
        <f>COUNTIFS(Base_Itens!$E$5:$E$1504,J87,Base_Itens!$G$5:$G$1504,K87)</f>
        <v>1</v>
      </c>
    </row>
    <row r="88" spans="1:12">
      <c r="A88" t="s">
        <v>2229</v>
      </c>
      <c r="B88">
        <v>2011</v>
      </c>
      <c r="C88" t="s">
        <v>82</v>
      </c>
      <c r="D88">
        <v>1</v>
      </c>
      <c r="E88">
        <v>1</v>
      </c>
      <c r="F88">
        <f>SUMIF(Base_Itens!$E$5:$E$1504,A88,Base_Itens!$I$5:$I$1504)</f>
        <v>1</v>
      </c>
      <c r="G88">
        <f t="shared" si="4"/>
        <v>0</v>
      </c>
      <c r="H88">
        <f>COUNTIF(Base_Itens!$E$5:$E$1504,A88)</f>
        <v>1</v>
      </c>
      <c r="I88" t="str">
        <f t="shared" si="9"/>
        <v>OK</v>
      </c>
      <c r="J88" t="str">
        <f>Base_Itens!E25</f>
        <v>2010-Q5-0</v>
      </c>
      <c r="K88" t="str">
        <f>Base_Itens!G65</f>
        <v>04 — Demanda por Moeda</v>
      </c>
      <c r="L88">
        <f>COUNTIFS(Base_Itens!$E$5:$E$1504,J88,Base_Itens!$G$5:$G$1504,K88)</f>
        <v>0</v>
      </c>
    </row>
    <row r="89" spans="1:12">
      <c r="A89" t="s">
        <v>2230</v>
      </c>
      <c r="B89">
        <v>2011</v>
      </c>
      <c r="C89" t="s">
        <v>82</v>
      </c>
      <c r="D89">
        <v>1</v>
      </c>
      <c r="E89">
        <v>1</v>
      </c>
      <c r="F89">
        <f>SUMIF(Base_Itens!$E$5:$E$1504,A89,Base_Itens!$I$5:$I$1504)</f>
        <v>1</v>
      </c>
      <c r="G89">
        <f t="shared" si="4"/>
        <v>0</v>
      </c>
      <c r="H89">
        <f>COUNTIF(Base_Itens!$E$5:$E$1504,A89)</f>
        <v>1</v>
      </c>
      <c r="I89" t="str">
        <f t="shared" si="9"/>
        <v>OK</v>
      </c>
      <c r="J89" t="str">
        <f>Base_Itens!E26</f>
        <v>2010-Q5-1</v>
      </c>
      <c r="K89" t="str">
        <f>Base_Itens!G66</f>
        <v>14 — Dívida Pública e Senhoriagem</v>
      </c>
      <c r="L89">
        <f>COUNTIFS(Base_Itens!$E$5:$E$1504,J89,Base_Itens!$G$5:$G$1504,K89)</f>
        <v>0</v>
      </c>
    </row>
    <row r="90" spans="1:12">
      <c r="A90" t="s">
        <v>2231</v>
      </c>
      <c r="B90">
        <v>2011</v>
      </c>
      <c r="C90" t="s">
        <v>82</v>
      </c>
      <c r="D90">
        <v>1</v>
      </c>
      <c r="E90">
        <v>1</v>
      </c>
      <c r="F90">
        <f>SUMIF(Base_Itens!$E$5:$E$1504,A90,Base_Itens!$I$5:$I$1504)</f>
        <v>1</v>
      </c>
      <c r="G90">
        <f t="shared" si="4"/>
        <v>0</v>
      </c>
      <c r="H90">
        <f>COUNTIF(Base_Itens!$E$5:$E$1504,A90)</f>
        <v>1</v>
      </c>
      <c r="I90" t="str">
        <f t="shared" si="9"/>
        <v>OK</v>
      </c>
      <c r="J90" t="str">
        <f>Base_Itens!E27</f>
        <v>2010-Q5-2</v>
      </c>
      <c r="K90" t="str">
        <f>Base_Itens!G67</f>
        <v>06 — IS-LM-BP</v>
      </c>
      <c r="L90">
        <f>COUNTIFS(Base_Itens!$E$5:$E$1504,J90,Base_Itens!$G$5:$G$1504,K90)</f>
        <v>0</v>
      </c>
    </row>
    <row r="91" spans="1:12">
      <c r="A91" t="s">
        <v>2232</v>
      </c>
      <c r="B91">
        <v>2011</v>
      </c>
      <c r="C91" t="s">
        <v>82</v>
      </c>
      <c r="D91">
        <v>1</v>
      </c>
      <c r="E91">
        <v>1</v>
      </c>
      <c r="F91">
        <f>SUMIF(Base_Itens!$E$5:$E$1504,A91,Base_Itens!$I$5:$I$1504)</f>
        <v>1</v>
      </c>
      <c r="G91">
        <f t="shared" si="4"/>
        <v>0</v>
      </c>
      <c r="H91">
        <f>COUNTIF(Base_Itens!$E$5:$E$1504,A91)</f>
        <v>1</v>
      </c>
      <c r="I91" t="str">
        <f t="shared" si="9"/>
        <v>OK</v>
      </c>
      <c r="J91" t="str">
        <f>Base_Itens!E28</f>
        <v>2010-Q5-3</v>
      </c>
      <c r="K91" t="str">
        <f>Base_Itens!G68</f>
        <v>01 — Contas Nacionais</v>
      </c>
      <c r="L91">
        <f>COUNTIFS(Base_Itens!$E$5:$E$1504,J91,Base_Itens!$G$5:$G$1504,K91)</f>
        <v>0</v>
      </c>
    </row>
    <row r="92" spans="1:12">
      <c r="A92" t="s">
        <v>2233</v>
      </c>
      <c r="B92">
        <v>2011</v>
      </c>
      <c r="C92" t="s">
        <v>82</v>
      </c>
      <c r="D92">
        <v>1</v>
      </c>
      <c r="E92">
        <v>1</v>
      </c>
      <c r="F92">
        <f>SUMIF(Base_Itens!$E$5:$E$1504,A92,Base_Itens!$I$5:$I$1504)</f>
        <v>1</v>
      </c>
      <c r="G92">
        <f t="shared" ref="G92:G155" si="10">F92-D92</f>
        <v>0</v>
      </c>
      <c r="H92">
        <f>COUNTIF(Base_Itens!$E$5:$E$1504,A92)</f>
        <v>1</v>
      </c>
      <c r="I92" t="str">
        <f t="shared" si="9"/>
        <v>OK</v>
      </c>
      <c r="J92" t="str">
        <f>Base_Itens!E29</f>
        <v>2010-Q5-4</v>
      </c>
      <c r="K92" t="str">
        <f>Base_Itens!G69</f>
        <v>01 — Contas Nacionais</v>
      </c>
      <c r="L92">
        <f>COUNTIFS(Base_Itens!$E$5:$E$1504,J92,Base_Itens!$G$5:$G$1504,K92)</f>
        <v>0</v>
      </c>
    </row>
    <row r="93" spans="1:12">
      <c r="A93" t="s">
        <v>2234</v>
      </c>
      <c r="B93">
        <v>2011</v>
      </c>
      <c r="C93" t="s">
        <v>82</v>
      </c>
      <c r="D93">
        <v>1</v>
      </c>
      <c r="E93">
        <v>1</v>
      </c>
      <c r="F93">
        <f>SUMIF(Base_Itens!$E$5:$E$1504,A93,Base_Itens!$I$5:$I$1504)</f>
        <v>1</v>
      </c>
      <c r="G93">
        <f t="shared" si="10"/>
        <v>0</v>
      </c>
      <c r="H93">
        <f>COUNTIF(Base_Itens!$E$5:$E$1504,A93)</f>
        <v>1</v>
      </c>
      <c r="I93" t="str">
        <f t="shared" si="9"/>
        <v>OK</v>
      </c>
      <c r="J93" t="str">
        <f>Base_Itens!E70</f>
        <v>2011-Q1-2</v>
      </c>
      <c r="K93" t="str">
        <f>Base_Itens!G70</f>
        <v>01 — Contas Nacionais</v>
      </c>
      <c r="L93">
        <f>COUNTIFS(Base_Itens!$E$5:$E$1504,J93,Base_Itens!$G$5:$G$1504,K93)</f>
        <v>1</v>
      </c>
    </row>
    <row r="94" spans="1:12">
      <c r="A94" t="s">
        <v>2235</v>
      </c>
      <c r="B94">
        <v>2011</v>
      </c>
      <c r="C94" t="s">
        <v>82</v>
      </c>
      <c r="D94">
        <v>1</v>
      </c>
      <c r="E94">
        <v>1</v>
      </c>
      <c r="F94">
        <f>SUMIF(Base_Itens!$E$5:$E$1504,A94,Base_Itens!$I$5:$I$1504)</f>
        <v>1</v>
      </c>
      <c r="G94">
        <f t="shared" si="10"/>
        <v>0</v>
      </c>
      <c r="H94">
        <f>COUNTIF(Base_Itens!$E$5:$E$1504,A94)</f>
        <v>1</v>
      </c>
      <c r="I94" t="str">
        <f t="shared" si="9"/>
        <v>OK</v>
      </c>
      <c r="J94" t="str">
        <f>Base_Itens!E71</f>
        <v>2011-Q1-3</v>
      </c>
      <c r="K94" t="str">
        <f>Base_Itens!G71</f>
        <v>01 — Contas Nacionais</v>
      </c>
      <c r="L94">
        <f>COUNTIFS(Base_Itens!$E$5:$E$1504,J94,Base_Itens!$G$5:$G$1504,K94)</f>
        <v>1</v>
      </c>
    </row>
    <row r="95" spans="1:12">
      <c r="A95" t="s">
        <v>2236</v>
      </c>
      <c r="B95">
        <v>2011</v>
      </c>
      <c r="C95" t="s">
        <v>82</v>
      </c>
      <c r="D95">
        <v>1</v>
      </c>
      <c r="E95">
        <v>1</v>
      </c>
      <c r="F95">
        <f>SUMIF(Base_Itens!$E$5:$E$1504,A95,Base_Itens!$I$5:$I$1504)</f>
        <v>1</v>
      </c>
      <c r="G95">
        <f t="shared" si="10"/>
        <v>0</v>
      </c>
      <c r="H95">
        <f>COUNTIF(Base_Itens!$E$5:$E$1504,A95)</f>
        <v>1</v>
      </c>
      <c r="I95" t="str">
        <f t="shared" si="9"/>
        <v>OK</v>
      </c>
      <c r="J95" t="str">
        <f>Base_Itens!E72</f>
        <v>2011-Q1-4</v>
      </c>
      <c r="K95" t="str">
        <f>Base_Itens!G72</f>
        <v>01 — Contas Nacionais</v>
      </c>
      <c r="L95">
        <f>COUNTIFS(Base_Itens!$E$5:$E$1504,J95,Base_Itens!$G$5:$G$1504,K95)</f>
        <v>1</v>
      </c>
    </row>
    <row r="96" spans="1:12">
      <c r="A96" t="s">
        <v>2237</v>
      </c>
      <c r="B96">
        <v>2011</v>
      </c>
      <c r="C96" t="s">
        <v>82</v>
      </c>
      <c r="D96">
        <v>1</v>
      </c>
      <c r="E96">
        <v>1</v>
      </c>
      <c r="F96">
        <f>SUMIF(Base_Itens!$E$5:$E$1504,A96,Base_Itens!$I$5:$I$1504)</f>
        <v>1</v>
      </c>
      <c r="G96">
        <f t="shared" si="10"/>
        <v>0</v>
      </c>
      <c r="H96">
        <f>COUNTIF(Base_Itens!$E$5:$E$1504,A96)</f>
        <v>1</v>
      </c>
      <c r="I96" t="str">
        <f t="shared" si="9"/>
        <v>OK</v>
      </c>
      <c r="J96" t="str">
        <f>Base_Itens!E73</f>
        <v>2011-Q2-0</v>
      </c>
      <c r="K96" t="str">
        <f>Base_Itens!G73</f>
        <v>03 — Sistema Monetário</v>
      </c>
      <c r="L96">
        <f>COUNTIFS(Base_Itens!$E$5:$E$1504,J96,Base_Itens!$G$5:$G$1504,K96)</f>
        <v>1</v>
      </c>
    </row>
    <row r="97" spans="1:12">
      <c r="A97" t="s">
        <v>2238</v>
      </c>
      <c r="B97">
        <v>2011</v>
      </c>
      <c r="C97" t="s">
        <v>82</v>
      </c>
      <c r="D97">
        <v>1</v>
      </c>
      <c r="E97">
        <v>1</v>
      </c>
      <c r="F97">
        <f>SUMIF(Base_Itens!$E$5:$E$1504,A97,Base_Itens!$I$5:$I$1504)</f>
        <v>1</v>
      </c>
      <c r="G97">
        <f t="shared" si="10"/>
        <v>0</v>
      </c>
      <c r="H97">
        <f>COUNTIF(Base_Itens!$E$5:$E$1504,A97)</f>
        <v>1</v>
      </c>
      <c r="I97" t="str">
        <f t="shared" si="9"/>
        <v>OK</v>
      </c>
      <c r="J97" t="str">
        <f>Base_Itens!E74</f>
        <v>2011-Q2-1</v>
      </c>
      <c r="K97" t="str">
        <f>Base_Itens!G74</f>
        <v>03 — Sistema Monetário</v>
      </c>
      <c r="L97">
        <f>COUNTIFS(Base_Itens!$E$5:$E$1504,J97,Base_Itens!$G$5:$G$1504,K97)</f>
        <v>1</v>
      </c>
    </row>
    <row r="98" spans="1:12">
      <c r="A98" t="s">
        <v>2239</v>
      </c>
      <c r="B98">
        <v>2011</v>
      </c>
      <c r="C98" t="s">
        <v>82</v>
      </c>
      <c r="D98">
        <v>1</v>
      </c>
      <c r="E98">
        <v>1</v>
      </c>
      <c r="F98">
        <f>SUMIF(Base_Itens!$E$5:$E$1504,A98,Base_Itens!$I$5:$I$1504)</f>
        <v>1</v>
      </c>
      <c r="G98">
        <f t="shared" si="10"/>
        <v>0</v>
      </c>
      <c r="H98">
        <f>COUNTIF(Base_Itens!$E$5:$E$1504,A98)</f>
        <v>1</v>
      </c>
      <c r="I98" t="str">
        <f t="shared" si="9"/>
        <v>OK</v>
      </c>
      <c r="J98" t="str">
        <f>Base_Itens!E75</f>
        <v>2011-Q2-2</v>
      </c>
      <c r="K98" t="str">
        <f>Base_Itens!G75</f>
        <v>03 — Sistema Monetário</v>
      </c>
      <c r="L98">
        <f>COUNTIFS(Base_Itens!$E$5:$E$1504,J98,Base_Itens!$G$5:$G$1504,K98)</f>
        <v>1</v>
      </c>
    </row>
    <row r="99" spans="1:12">
      <c r="A99" t="s">
        <v>2240</v>
      </c>
      <c r="B99">
        <v>2011</v>
      </c>
      <c r="C99" t="s">
        <v>82</v>
      </c>
      <c r="D99">
        <v>1</v>
      </c>
      <c r="E99">
        <v>1</v>
      </c>
      <c r="F99">
        <f>SUMIF(Base_Itens!$E$5:$E$1504,A99,Base_Itens!$I$5:$I$1504)</f>
        <v>1</v>
      </c>
      <c r="G99">
        <f t="shared" si="10"/>
        <v>0</v>
      </c>
      <c r="H99">
        <f>COUNTIF(Base_Itens!$E$5:$E$1504,A99)</f>
        <v>1</v>
      </c>
      <c r="I99" t="str">
        <f t="shared" si="9"/>
        <v>OK</v>
      </c>
      <c r="J99" t="str">
        <f>Base_Itens!E76</f>
        <v>2011-Q2-3</v>
      </c>
      <c r="K99" t="str">
        <f>Base_Itens!G76</f>
        <v>03 — Sistema Monetário</v>
      </c>
      <c r="L99">
        <f>COUNTIFS(Base_Itens!$E$5:$E$1504,J99,Base_Itens!$G$5:$G$1504,K99)</f>
        <v>1</v>
      </c>
    </row>
    <row r="100" spans="1:12">
      <c r="A100" t="s">
        <v>2241</v>
      </c>
      <c r="B100">
        <v>2011</v>
      </c>
      <c r="C100" t="s">
        <v>82</v>
      </c>
      <c r="D100">
        <v>1</v>
      </c>
      <c r="E100">
        <v>1</v>
      </c>
      <c r="F100">
        <f>SUMIF(Base_Itens!$E$5:$E$1504,A100,Base_Itens!$I$5:$I$1504)</f>
        <v>1</v>
      </c>
      <c r="G100">
        <f t="shared" si="10"/>
        <v>0</v>
      </c>
      <c r="H100">
        <f>COUNTIF(Base_Itens!$E$5:$E$1504,A100)</f>
        <v>1</v>
      </c>
      <c r="I100" t="str">
        <f t="shared" si="9"/>
        <v>OK</v>
      </c>
      <c r="J100" t="str">
        <f>Base_Itens!E77</f>
        <v>2011-Q2-4</v>
      </c>
      <c r="K100" t="str">
        <f>Base_Itens!G77</f>
        <v>03 — Sistema Monetário</v>
      </c>
      <c r="L100">
        <f>COUNTIFS(Base_Itens!$E$5:$E$1504,J100,Base_Itens!$G$5:$G$1504,K100)</f>
        <v>1</v>
      </c>
    </row>
    <row r="101" spans="1:12">
      <c r="A101" t="s">
        <v>2242</v>
      </c>
      <c r="B101">
        <v>2011</v>
      </c>
      <c r="C101" t="s">
        <v>82</v>
      </c>
      <c r="D101">
        <v>1</v>
      </c>
      <c r="E101">
        <v>1</v>
      </c>
      <c r="F101">
        <f>SUMIF(Base_Itens!$E$5:$E$1504,A101,Base_Itens!$I$5:$I$1504)</f>
        <v>1</v>
      </c>
      <c r="G101">
        <f t="shared" si="10"/>
        <v>0</v>
      </c>
      <c r="H101">
        <f>COUNTIF(Base_Itens!$E$5:$E$1504,A101)</f>
        <v>1</v>
      </c>
      <c r="I101" t="str">
        <f t="shared" si="9"/>
        <v>OK</v>
      </c>
      <c r="J101" t="str">
        <f>Base_Itens!E78</f>
        <v>2011-Q3-0</v>
      </c>
      <c r="K101" t="str">
        <f>Base_Itens!G78</f>
        <v>02 — Balanço de Pagamentos</v>
      </c>
      <c r="L101">
        <f>COUNTIFS(Base_Itens!$E$5:$E$1504,J101,Base_Itens!$G$5:$G$1504,K101)</f>
        <v>1</v>
      </c>
    </row>
    <row r="102" spans="1:12">
      <c r="A102" t="s">
        <v>2243</v>
      </c>
      <c r="B102">
        <v>2011</v>
      </c>
      <c r="C102" t="s">
        <v>82</v>
      </c>
      <c r="D102">
        <v>1</v>
      </c>
      <c r="E102">
        <v>1</v>
      </c>
      <c r="F102">
        <f>SUMIF(Base_Itens!$E$5:$E$1504,A102,Base_Itens!$I$5:$I$1504)</f>
        <v>1</v>
      </c>
      <c r="G102">
        <f t="shared" si="10"/>
        <v>0</v>
      </c>
      <c r="H102">
        <f>COUNTIF(Base_Itens!$E$5:$E$1504,A102)</f>
        <v>1</v>
      </c>
      <c r="I102" t="str">
        <f t="shared" si="9"/>
        <v>OK</v>
      </c>
      <c r="J102" t="str">
        <f>Base_Itens!E79</f>
        <v>2011-Q3-1</v>
      </c>
      <c r="K102" t="str">
        <f>Base_Itens!G79</f>
        <v>02 — Balanço de Pagamentos</v>
      </c>
      <c r="L102">
        <f>COUNTIFS(Base_Itens!$E$5:$E$1504,J102,Base_Itens!$G$5:$G$1504,K102)</f>
        <v>1</v>
      </c>
    </row>
    <row r="103" spans="1:12">
      <c r="A103" t="s">
        <v>2244</v>
      </c>
      <c r="B103">
        <v>2011</v>
      </c>
      <c r="C103" t="s">
        <v>82</v>
      </c>
      <c r="D103">
        <v>1</v>
      </c>
      <c r="E103">
        <v>1</v>
      </c>
      <c r="F103">
        <f>SUMIF(Base_Itens!$E$5:$E$1504,A103,Base_Itens!$I$5:$I$1504)</f>
        <v>1</v>
      </c>
      <c r="G103">
        <f t="shared" si="10"/>
        <v>0</v>
      </c>
      <c r="H103">
        <f>COUNTIF(Base_Itens!$E$5:$E$1504,A103)</f>
        <v>1</v>
      </c>
      <c r="I103" t="str">
        <f t="shared" si="9"/>
        <v>OK</v>
      </c>
      <c r="J103" t="str">
        <f>Base_Itens!E80</f>
        <v>2011-Q3-2</v>
      </c>
      <c r="K103" t="str">
        <f>Base_Itens!G80</f>
        <v>02 — Balanço de Pagamentos</v>
      </c>
      <c r="L103">
        <f>COUNTIFS(Base_Itens!$E$5:$E$1504,J103,Base_Itens!$G$5:$G$1504,K103)</f>
        <v>1</v>
      </c>
    </row>
    <row r="104" spans="1:12">
      <c r="A104" t="s">
        <v>2245</v>
      </c>
      <c r="B104">
        <v>2011</v>
      </c>
      <c r="C104" t="s">
        <v>82</v>
      </c>
      <c r="D104">
        <v>1</v>
      </c>
      <c r="E104">
        <v>1</v>
      </c>
      <c r="F104">
        <f>SUMIF(Base_Itens!$E$5:$E$1504,A104,Base_Itens!$I$5:$I$1504)</f>
        <v>1</v>
      </c>
      <c r="G104">
        <f t="shared" si="10"/>
        <v>0</v>
      </c>
      <c r="H104">
        <f>COUNTIF(Base_Itens!$E$5:$E$1504,A104)</f>
        <v>1</v>
      </c>
      <c r="I104" t="str">
        <f t="shared" si="9"/>
        <v>OK</v>
      </c>
      <c r="J104" t="str">
        <f>Base_Itens!E81</f>
        <v>2011-Q3-3</v>
      </c>
      <c r="K104" t="str">
        <f>Base_Itens!G81</f>
        <v>02 — Balanço de Pagamentos</v>
      </c>
      <c r="L104">
        <f>COUNTIFS(Base_Itens!$E$5:$E$1504,J104,Base_Itens!$G$5:$G$1504,K104)</f>
        <v>1</v>
      </c>
    </row>
    <row r="105" spans="1:12">
      <c r="A105" t="s">
        <v>2246</v>
      </c>
      <c r="B105">
        <v>2011</v>
      </c>
      <c r="C105" t="s">
        <v>82</v>
      </c>
      <c r="D105">
        <v>1</v>
      </c>
      <c r="E105">
        <v>1</v>
      </c>
      <c r="F105">
        <f>SUMIF(Base_Itens!$E$5:$E$1504,A105,Base_Itens!$I$5:$I$1504)</f>
        <v>1</v>
      </c>
      <c r="G105">
        <f t="shared" si="10"/>
        <v>0</v>
      </c>
      <c r="H105">
        <f>COUNTIF(Base_Itens!$E$5:$E$1504,A105)</f>
        <v>1</v>
      </c>
      <c r="I105" t="str">
        <f t="shared" si="9"/>
        <v>OK</v>
      </c>
      <c r="J105" t="str">
        <f>Base_Itens!E82</f>
        <v>2011-Q3-4</v>
      </c>
      <c r="K105" t="str">
        <f>Base_Itens!G82</f>
        <v>02 — Balanço de Pagamentos</v>
      </c>
      <c r="L105">
        <f>COUNTIFS(Base_Itens!$E$5:$E$1504,J105,Base_Itens!$G$5:$G$1504,K105)</f>
        <v>1</v>
      </c>
    </row>
    <row r="106" spans="1:12">
      <c r="A106" t="s">
        <v>2247</v>
      </c>
      <c r="B106">
        <v>2011</v>
      </c>
      <c r="C106" t="s">
        <v>82</v>
      </c>
      <c r="D106">
        <v>1</v>
      </c>
      <c r="E106">
        <v>1</v>
      </c>
      <c r="F106">
        <f>SUMIF(Base_Itens!$E$5:$E$1504,A106,Base_Itens!$I$5:$I$1504)</f>
        <v>1</v>
      </c>
      <c r="G106">
        <f t="shared" si="10"/>
        <v>0</v>
      </c>
      <c r="H106">
        <f>COUNTIF(Base_Itens!$E$5:$E$1504,A106)</f>
        <v>1</v>
      </c>
      <c r="I106" t="str">
        <f t="shared" si="9"/>
        <v>OK</v>
      </c>
      <c r="J106" t="str">
        <f>Base_Itens!E83</f>
        <v>2011-Q4-0</v>
      </c>
      <c r="K106" t="str">
        <f>Base_Itens!G83</f>
        <v>05 — IS-LM</v>
      </c>
      <c r="L106">
        <f>COUNTIFS(Base_Itens!$E$5:$E$1504,J106,Base_Itens!$G$5:$G$1504,K106)</f>
        <v>1</v>
      </c>
    </row>
    <row r="107" spans="1:12">
      <c r="A107" t="s">
        <v>2248</v>
      </c>
      <c r="B107">
        <v>2011</v>
      </c>
      <c r="C107" t="s">
        <v>82</v>
      </c>
      <c r="D107">
        <v>1</v>
      </c>
      <c r="E107">
        <v>1</v>
      </c>
      <c r="F107">
        <f>SUMIF(Base_Itens!$E$5:$E$1504,A107,Base_Itens!$I$5:$I$1504)</f>
        <v>1</v>
      </c>
      <c r="G107">
        <f t="shared" si="10"/>
        <v>0</v>
      </c>
      <c r="H107">
        <f>COUNTIF(Base_Itens!$E$5:$E$1504,A107)</f>
        <v>1</v>
      </c>
      <c r="I107" t="str">
        <f t="shared" si="9"/>
        <v>OK</v>
      </c>
      <c r="J107" t="str">
        <f>Base_Itens!E84</f>
        <v>2011-Q4-1</v>
      </c>
      <c r="K107" t="str">
        <f>Base_Itens!G84</f>
        <v>05 — IS-LM</v>
      </c>
      <c r="L107">
        <f>COUNTIFS(Base_Itens!$E$5:$E$1504,J107,Base_Itens!$G$5:$G$1504,K107)</f>
        <v>1</v>
      </c>
    </row>
    <row r="108" spans="1:12">
      <c r="A108" t="s">
        <v>2249</v>
      </c>
      <c r="B108">
        <v>2011</v>
      </c>
      <c r="C108" t="s">
        <v>82</v>
      </c>
      <c r="D108">
        <v>1</v>
      </c>
      <c r="E108">
        <v>1</v>
      </c>
      <c r="F108">
        <f>SUMIF(Base_Itens!$E$5:$E$1504,A108,Base_Itens!$I$5:$I$1504)</f>
        <v>1</v>
      </c>
      <c r="G108">
        <f t="shared" si="10"/>
        <v>0</v>
      </c>
      <c r="H108">
        <f>COUNTIF(Base_Itens!$E$5:$E$1504,A108)</f>
        <v>1</v>
      </c>
      <c r="I108" t="str">
        <f t="shared" si="9"/>
        <v>OK</v>
      </c>
      <c r="J108" t="str">
        <f>Base_Itens!E85</f>
        <v>2011-Q4-2</v>
      </c>
      <c r="K108" t="str">
        <f>Base_Itens!G85</f>
        <v>05 — IS-LM</v>
      </c>
      <c r="L108">
        <f>COUNTIFS(Base_Itens!$E$5:$E$1504,J108,Base_Itens!$G$5:$G$1504,K108)</f>
        <v>1</v>
      </c>
    </row>
    <row r="109" spans="1:12">
      <c r="A109" t="s">
        <v>2250</v>
      </c>
      <c r="B109">
        <v>2011</v>
      </c>
      <c r="C109" t="s">
        <v>82</v>
      </c>
      <c r="D109">
        <v>1</v>
      </c>
      <c r="E109">
        <v>1</v>
      </c>
      <c r="F109">
        <f>SUMIF(Base_Itens!$E$5:$E$1504,A109,Base_Itens!$I$5:$I$1504)</f>
        <v>1</v>
      </c>
      <c r="G109">
        <f t="shared" si="10"/>
        <v>0</v>
      </c>
      <c r="H109">
        <f>COUNTIF(Base_Itens!$E$5:$E$1504,A109)</f>
        <v>1</v>
      </c>
      <c r="I109" t="str">
        <f t="shared" si="9"/>
        <v>OK</v>
      </c>
      <c r="J109" t="str">
        <f>Base_Itens!E86</f>
        <v>2011-Q4-3</v>
      </c>
      <c r="K109" t="str">
        <f>Base_Itens!G86</f>
        <v>05 — IS-LM</v>
      </c>
      <c r="L109">
        <f>COUNTIFS(Base_Itens!$E$5:$E$1504,J109,Base_Itens!$G$5:$G$1504,K109)</f>
        <v>1</v>
      </c>
    </row>
    <row r="110" spans="1:12">
      <c r="A110" t="s">
        <v>2251</v>
      </c>
      <c r="B110">
        <v>2011</v>
      </c>
      <c r="C110" t="s">
        <v>82</v>
      </c>
      <c r="D110">
        <v>1</v>
      </c>
      <c r="E110">
        <v>1</v>
      </c>
      <c r="F110">
        <f>SUMIF(Base_Itens!$E$5:$E$1504,A110,Base_Itens!$I$5:$I$1504)</f>
        <v>1</v>
      </c>
      <c r="G110">
        <f t="shared" si="10"/>
        <v>0</v>
      </c>
      <c r="H110">
        <f>COUNTIF(Base_Itens!$E$5:$E$1504,A110)</f>
        <v>1</v>
      </c>
      <c r="I110" t="str">
        <f t="shared" si="9"/>
        <v>OK</v>
      </c>
      <c r="J110" t="str">
        <f>Base_Itens!E87</f>
        <v>2011-Q4-4</v>
      </c>
      <c r="K110" t="str">
        <f>Base_Itens!G87</f>
        <v>05 — IS-LM</v>
      </c>
      <c r="L110">
        <f>COUNTIFS(Base_Itens!$E$5:$E$1504,J110,Base_Itens!$G$5:$G$1504,K110)</f>
        <v>1</v>
      </c>
    </row>
    <row r="111" spans="1:12">
      <c r="A111" t="s">
        <v>2252</v>
      </c>
      <c r="B111">
        <v>2011</v>
      </c>
      <c r="C111" t="s">
        <v>82</v>
      </c>
      <c r="D111">
        <v>1</v>
      </c>
      <c r="E111">
        <v>1</v>
      </c>
      <c r="F111">
        <f>SUMIF(Base_Itens!$E$5:$E$1504,A111,Base_Itens!$I$5:$I$1504)</f>
        <v>1</v>
      </c>
      <c r="G111">
        <f t="shared" si="10"/>
        <v>0</v>
      </c>
      <c r="H111">
        <f>COUNTIF(Base_Itens!$E$5:$E$1504,A111)</f>
        <v>1</v>
      </c>
      <c r="I111" t="str">
        <f t="shared" si="9"/>
        <v>OK</v>
      </c>
      <c r="J111" t="str">
        <f>Base_Itens!E88</f>
        <v>2011-Q5-0</v>
      </c>
      <c r="K111" t="str">
        <f>Base_Itens!G88</f>
        <v>06 — IS-LM-BP</v>
      </c>
      <c r="L111">
        <f>COUNTIFS(Base_Itens!$E$5:$E$1504,J111,Base_Itens!$G$5:$G$1504,K111)</f>
        <v>1</v>
      </c>
    </row>
    <row r="112" spans="1:12">
      <c r="A112" t="s">
        <v>2253</v>
      </c>
      <c r="B112">
        <v>2011</v>
      </c>
      <c r="C112" t="s">
        <v>82</v>
      </c>
      <c r="D112">
        <v>1</v>
      </c>
      <c r="E112">
        <v>1</v>
      </c>
      <c r="F112">
        <f>SUMIF(Base_Itens!$E$5:$E$1504,A112,Base_Itens!$I$5:$I$1504)</f>
        <v>1</v>
      </c>
      <c r="G112">
        <f t="shared" si="10"/>
        <v>0</v>
      </c>
      <c r="H112">
        <f>COUNTIF(Base_Itens!$E$5:$E$1504,A112)</f>
        <v>1</v>
      </c>
      <c r="I112" t="str">
        <f t="shared" si="9"/>
        <v>OK</v>
      </c>
      <c r="J112" t="str">
        <f>Base_Itens!E89</f>
        <v>2011-Q5-1</v>
      </c>
      <c r="K112" t="str">
        <f>Base_Itens!G89</f>
        <v>06 — IS-LM-BP</v>
      </c>
      <c r="L112">
        <f>COUNTIFS(Base_Itens!$E$5:$E$1504,J112,Base_Itens!$G$5:$G$1504,K112)</f>
        <v>1</v>
      </c>
    </row>
    <row r="113" spans="1:12">
      <c r="A113" t="s">
        <v>2254</v>
      </c>
      <c r="B113">
        <v>2011</v>
      </c>
      <c r="C113" t="s">
        <v>82</v>
      </c>
      <c r="D113">
        <v>1</v>
      </c>
      <c r="E113">
        <v>1</v>
      </c>
      <c r="F113">
        <f>SUMIF(Base_Itens!$E$5:$E$1504,A113,Base_Itens!$I$5:$I$1504)</f>
        <v>1</v>
      </c>
      <c r="G113">
        <f t="shared" si="10"/>
        <v>0</v>
      </c>
      <c r="H113">
        <f>COUNTIF(Base_Itens!$E$5:$E$1504,A113)</f>
        <v>1</v>
      </c>
      <c r="I113" t="str">
        <f t="shared" si="9"/>
        <v>OK</v>
      </c>
      <c r="J113" t="str">
        <f>Base_Itens!E90</f>
        <v>2011-Q5-2</v>
      </c>
      <c r="K113" t="str">
        <f>Base_Itens!G90</f>
        <v>06 — IS-LM-BP</v>
      </c>
      <c r="L113">
        <f>COUNTIFS(Base_Itens!$E$5:$E$1504,J113,Base_Itens!$G$5:$G$1504,K113)</f>
        <v>1</v>
      </c>
    </row>
    <row r="114" spans="1:12">
      <c r="A114" t="s">
        <v>2255</v>
      </c>
      <c r="B114">
        <v>2011</v>
      </c>
      <c r="C114" t="s">
        <v>82</v>
      </c>
      <c r="D114">
        <v>1</v>
      </c>
      <c r="E114">
        <v>1</v>
      </c>
      <c r="F114">
        <f>SUMIF(Base_Itens!$E$5:$E$1504,A114,Base_Itens!$I$5:$I$1504)</f>
        <v>1</v>
      </c>
      <c r="G114">
        <f t="shared" si="10"/>
        <v>0</v>
      </c>
      <c r="H114">
        <f>COUNTIF(Base_Itens!$E$5:$E$1504,A114)</f>
        <v>1</v>
      </c>
      <c r="I114" t="str">
        <f t="shared" si="9"/>
        <v>OK</v>
      </c>
      <c r="J114" t="str">
        <f>Base_Itens!E91</f>
        <v>2011-Q5-3</v>
      </c>
      <c r="K114" t="str">
        <f>Base_Itens!G91</f>
        <v>06 — IS-LM-BP</v>
      </c>
      <c r="L114">
        <f>COUNTIFS(Base_Itens!$E$5:$E$1504,J114,Base_Itens!$G$5:$G$1504,K114)</f>
        <v>1</v>
      </c>
    </row>
    <row r="115" spans="1:12">
      <c r="A115" t="s">
        <v>2256</v>
      </c>
      <c r="B115">
        <v>2011</v>
      </c>
      <c r="C115" t="s">
        <v>82</v>
      </c>
      <c r="D115">
        <v>1</v>
      </c>
      <c r="E115">
        <v>1</v>
      </c>
      <c r="F115">
        <f>SUMIF(Base_Itens!$E$5:$E$1504,A115,Base_Itens!$I$5:$I$1504)</f>
        <v>1</v>
      </c>
      <c r="G115">
        <f t="shared" si="10"/>
        <v>0</v>
      </c>
      <c r="H115">
        <f>COUNTIF(Base_Itens!$E$5:$E$1504,A115)</f>
        <v>1</v>
      </c>
      <c r="I115" t="str">
        <f t="shared" si="9"/>
        <v>OK</v>
      </c>
      <c r="J115" t="str">
        <f>Base_Itens!E92</f>
        <v>2011-Q5-4</v>
      </c>
      <c r="K115" t="str">
        <f>Base_Itens!G92</f>
        <v>06 — IS-LM-BP</v>
      </c>
      <c r="L115">
        <f>COUNTIFS(Base_Itens!$E$5:$E$1504,J115,Base_Itens!$G$5:$G$1504,K115)</f>
        <v>1</v>
      </c>
    </row>
    <row r="116" spans="1:12">
      <c r="A116" t="s">
        <v>2257</v>
      </c>
      <c r="B116">
        <v>2011</v>
      </c>
      <c r="C116" t="s">
        <v>82</v>
      </c>
      <c r="D116">
        <v>1</v>
      </c>
      <c r="E116">
        <v>1</v>
      </c>
      <c r="F116">
        <f>SUMIF(Base_Itens!$E$5:$E$1504,A116,Base_Itens!$I$5:$I$1504)</f>
        <v>1</v>
      </c>
      <c r="G116">
        <f t="shared" si="10"/>
        <v>0</v>
      </c>
      <c r="H116">
        <f>COUNTIF(Base_Itens!$E$5:$E$1504,A116)</f>
        <v>1</v>
      </c>
      <c r="I116" t="str">
        <f t="shared" si="9"/>
        <v>OK</v>
      </c>
      <c r="J116" t="str">
        <f>Base_Itens!E93</f>
        <v>2011-Q6-0</v>
      </c>
      <c r="K116" t="str">
        <f>Base_Itens!G93</f>
        <v>10 — Ciclos Reais de Negócios (RBC)</v>
      </c>
      <c r="L116">
        <f>COUNTIFS(Base_Itens!$E$5:$E$1504,J116,Base_Itens!$G$5:$G$1504,K116)</f>
        <v>1</v>
      </c>
    </row>
    <row r="117" spans="1:12">
      <c r="A117" t="s">
        <v>2258</v>
      </c>
      <c r="B117">
        <v>2011</v>
      </c>
      <c r="C117" t="s">
        <v>82</v>
      </c>
      <c r="D117">
        <v>1</v>
      </c>
      <c r="E117">
        <v>1</v>
      </c>
      <c r="F117">
        <f>SUMIF(Base_Itens!$E$5:$E$1504,A117,Base_Itens!$I$5:$I$1504)</f>
        <v>1</v>
      </c>
      <c r="G117">
        <f t="shared" si="10"/>
        <v>0</v>
      </c>
      <c r="H117">
        <f>COUNTIF(Base_Itens!$E$5:$E$1504,A117)</f>
        <v>1</v>
      </c>
      <c r="I117" t="str">
        <f t="shared" si="9"/>
        <v>OK</v>
      </c>
      <c r="J117" t="str">
        <f>Base_Itens!E94</f>
        <v>2011-Q6-1</v>
      </c>
      <c r="K117" t="str">
        <f>Base_Itens!G94</f>
        <v>10 — Ciclos Reais de Negócios (RBC)</v>
      </c>
      <c r="L117">
        <f>COUNTIFS(Base_Itens!$E$5:$E$1504,J117,Base_Itens!$G$5:$G$1504,K117)</f>
        <v>1</v>
      </c>
    </row>
    <row r="118" spans="1:12">
      <c r="A118" t="s">
        <v>2259</v>
      </c>
      <c r="B118">
        <v>2011</v>
      </c>
      <c r="C118" t="s">
        <v>82</v>
      </c>
      <c r="D118">
        <v>1</v>
      </c>
      <c r="E118">
        <v>1</v>
      </c>
      <c r="F118">
        <f>SUMIF(Base_Itens!$E$5:$E$1504,A118,Base_Itens!$I$5:$I$1504)</f>
        <v>1</v>
      </c>
      <c r="G118">
        <f t="shared" si="10"/>
        <v>0</v>
      </c>
      <c r="H118">
        <f>COUNTIF(Base_Itens!$E$5:$E$1504,A118)</f>
        <v>1</v>
      </c>
      <c r="I118" t="str">
        <f t="shared" si="9"/>
        <v>OK</v>
      </c>
      <c r="J118" t="str">
        <f>Base_Itens!E95</f>
        <v>2011-Q6-2</v>
      </c>
      <c r="K118" t="str">
        <f>Base_Itens!G95</f>
        <v>10 — Ciclos Reais de Negócios (RBC)</v>
      </c>
      <c r="L118">
        <f>COUNTIFS(Base_Itens!$E$5:$E$1504,J118,Base_Itens!$G$5:$G$1504,K118)</f>
        <v>1</v>
      </c>
    </row>
    <row r="119" spans="1:12">
      <c r="A119" t="s">
        <v>2260</v>
      </c>
      <c r="B119">
        <v>2011</v>
      </c>
      <c r="C119" t="s">
        <v>82</v>
      </c>
      <c r="D119">
        <v>1</v>
      </c>
      <c r="E119">
        <v>1</v>
      </c>
      <c r="F119">
        <f>SUMIF(Base_Itens!$E$5:$E$1504,A119,Base_Itens!$I$5:$I$1504)</f>
        <v>1</v>
      </c>
      <c r="G119">
        <f t="shared" si="10"/>
        <v>0</v>
      </c>
      <c r="H119">
        <f>COUNTIF(Base_Itens!$E$5:$E$1504,A119)</f>
        <v>1</v>
      </c>
      <c r="I119" t="str">
        <f t="shared" si="9"/>
        <v>OK</v>
      </c>
      <c r="J119" t="str">
        <f>Base_Itens!E96</f>
        <v>2011-Q6-3</v>
      </c>
      <c r="K119" t="str">
        <f>Base_Itens!G96</f>
        <v>10 — Ciclos Reais de Negócios (RBC)</v>
      </c>
      <c r="L119">
        <f>COUNTIFS(Base_Itens!$E$5:$E$1504,J119,Base_Itens!$G$5:$G$1504,K119)</f>
        <v>1</v>
      </c>
    </row>
    <row r="120" spans="1:12">
      <c r="A120" t="s">
        <v>2261</v>
      </c>
      <c r="B120">
        <v>2011</v>
      </c>
      <c r="C120" t="s">
        <v>82</v>
      </c>
      <c r="D120">
        <v>1</v>
      </c>
      <c r="E120">
        <v>1</v>
      </c>
      <c r="F120">
        <f>SUMIF(Base_Itens!$E$5:$E$1504,A120,Base_Itens!$I$5:$I$1504)</f>
        <v>1</v>
      </c>
      <c r="G120">
        <f t="shared" si="10"/>
        <v>0</v>
      </c>
      <c r="H120">
        <f>COUNTIF(Base_Itens!$E$5:$E$1504,A120)</f>
        <v>1</v>
      </c>
      <c r="I120" t="str">
        <f t="shared" si="9"/>
        <v>OK</v>
      </c>
      <c r="J120" t="str">
        <f>Base_Itens!E97</f>
        <v>2011-Q6-4</v>
      </c>
      <c r="K120" t="str">
        <f>Base_Itens!G97</f>
        <v>10 — Ciclos Reais de Negócios (RBC)</v>
      </c>
      <c r="L120">
        <f>COUNTIFS(Base_Itens!$E$5:$E$1504,J120,Base_Itens!$G$5:$G$1504,K120)</f>
        <v>1</v>
      </c>
    </row>
    <row r="121" spans="1:12">
      <c r="A121" t="s">
        <v>2262</v>
      </c>
      <c r="B121">
        <v>2011</v>
      </c>
      <c r="C121" t="s">
        <v>82</v>
      </c>
      <c r="D121">
        <v>1</v>
      </c>
      <c r="E121">
        <v>1</v>
      </c>
      <c r="F121">
        <f>SUMIF(Base_Itens!$E$5:$E$1504,A121,Base_Itens!$I$5:$I$1504)</f>
        <v>1</v>
      </c>
      <c r="G121">
        <f t="shared" si="10"/>
        <v>0</v>
      </c>
      <c r="H121">
        <f>COUNTIF(Base_Itens!$E$5:$E$1504,A121)</f>
        <v>1</v>
      </c>
      <c r="I121" t="str">
        <f t="shared" si="9"/>
        <v>OK</v>
      </c>
      <c r="J121" t="str">
        <f>Base_Itens!E98</f>
        <v>2011-Q7-0</v>
      </c>
      <c r="K121" t="str">
        <f>Base_Itens!G98</f>
        <v>07a — Paridades</v>
      </c>
      <c r="L121">
        <f>COUNTIFS(Base_Itens!$E$5:$E$1504,J121,Base_Itens!$G$5:$G$1504,K121)</f>
        <v>1</v>
      </c>
    </row>
    <row r="122" spans="1:12">
      <c r="A122" t="s">
        <v>2263</v>
      </c>
      <c r="B122">
        <v>2011</v>
      </c>
      <c r="C122" t="s">
        <v>82</v>
      </c>
      <c r="D122">
        <v>1</v>
      </c>
      <c r="E122">
        <v>1</v>
      </c>
      <c r="F122">
        <f>SUMIF(Base_Itens!$E$5:$E$1504,A122,Base_Itens!$I$5:$I$1504)</f>
        <v>1</v>
      </c>
      <c r="G122">
        <f t="shared" si="10"/>
        <v>0</v>
      </c>
      <c r="H122">
        <f>COUNTIF(Base_Itens!$E$5:$E$1504,A122)</f>
        <v>1</v>
      </c>
      <c r="I122" t="str">
        <f t="shared" si="9"/>
        <v>OK</v>
      </c>
      <c r="J122" t="str">
        <f>Base_Itens!E99</f>
        <v>2011-Q7-1</v>
      </c>
      <c r="K122" t="str">
        <f>Base_Itens!G99</f>
        <v>07a — Paridades</v>
      </c>
      <c r="L122">
        <f>COUNTIFS(Base_Itens!$E$5:$E$1504,J122,Base_Itens!$G$5:$G$1504,K122)</f>
        <v>1</v>
      </c>
    </row>
    <row r="123" spans="1:12">
      <c r="A123" t="s">
        <v>2264</v>
      </c>
      <c r="B123">
        <v>2011</v>
      </c>
      <c r="C123" t="s">
        <v>82</v>
      </c>
      <c r="D123">
        <v>1</v>
      </c>
      <c r="E123">
        <v>1</v>
      </c>
      <c r="F123">
        <f>SUMIF(Base_Itens!$E$5:$E$1504,A123,Base_Itens!$I$5:$I$1504)</f>
        <v>1</v>
      </c>
      <c r="G123">
        <f t="shared" si="10"/>
        <v>0</v>
      </c>
      <c r="H123">
        <f>COUNTIF(Base_Itens!$E$5:$E$1504,A123)</f>
        <v>1</v>
      </c>
      <c r="I123" t="str">
        <f t="shared" si="9"/>
        <v>OK</v>
      </c>
      <c r="J123" t="str">
        <f>Base_Itens!E100</f>
        <v>2011-Q7-2</v>
      </c>
      <c r="K123" t="str">
        <f>Base_Itens!G100</f>
        <v>07a — Paridades</v>
      </c>
      <c r="L123">
        <f>COUNTIFS(Base_Itens!$E$5:$E$1504,J123,Base_Itens!$G$5:$G$1504,K123)</f>
        <v>1</v>
      </c>
    </row>
    <row r="124" spans="1:12">
      <c r="A124" t="s">
        <v>2265</v>
      </c>
      <c r="B124">
        <v>2011</v>
      </c>
      <c r="C124" t="s">
        <v>82</v>
      </c>
      <c r="D124">
        <v>1</v>
      </c>
      <c r="E124">
        <v>1</v>
      </c>
      <c r="F124">
        <f>SUMIF(Base_Itens!$E$5:$E$1504,A124,Base_Itens!$I$5:$I$1504)</f>
        <v>1</v>
      </c>
      <c r="G124">
        <f t="shared" si="10"/>
        <v>0</v>
      </c>
      <c r="H124">
        <f>COUNTIF(Base_Itens!$E$5:$E$1504,A124)</f>
        <v>1</v>
      </c>
      <c r="I124" t="str">
        <f t="shared" si="9"/>
        <v>OK</v>
      </c>
      <c r="J124" t="str">
        <f>Base_Itens!E101</f>
        <v>2011-Q7-3</v>
      </c>
      <c r="K124" t="str">
        <f>Base_Itens!G101</f>
        <v>07a — Paridades</v>
      </c>
      <c r="L124">
        <f>COUNTIFS(Base_Itens!$E$5:$E$1504,J124,Base_Itens!$G$5:$G$1504,K124)</f>
        <v>1</v>
      </c>
    </row>
    <row r="125" spans="1:12">
      <c r="A125" t="s">
        <v>2266</v>
      </c>
      <c r="B125">
        <v>2011</v>
      </c>
      <c r="C125" t="s">
        <v>82</v>
      </c>
      <c r="D125">
        <v>1</v>
      </c>
      <c r="E125">
        <v>1</v>
      </c>
      <c r="F125">
        <f>SUMIF(Base_Itens!$E$5:$E$1504,A125,Base_Itens!$I$5:$I$1504)</f>
        <v>1</v>
      </c>
      <c r="G125">
        <f t="shared" si="10"/>
        <v>0</v>
      </c>
      <c r="H125">
        <f>COUNTIF(Base_Itens!$E$5:$E$1504,A125)</f>
        <v>1</v>
      </c>
      <c r="I125" t="str">
        <f t="shared" si="9"/>
        <v>OK</v>
      </c>
      <c r="J125" t="str">
        <f>Base_Itens!E102</f>
        <v>2011-Q7-4</v>
      </c>
      <c r="K125" t="str">
        <f>Base_Itens!G102</f>
        <v>07a — Paridades</v>
      </c>
      <c r="L125">
        <f>COUNTIFS(Base_Itens!$E$5:$E$1504,J125,Base_Itens!$G$5:$G$1504,K125)</f>
        <v>1</v>
      </c>
    </row>
    <row r="126" spans="1:12">
      <c r="A126" t="s">
        <v>2267</v>
      </c>
      <c r="B126">
        <v>2011</v>
      </c>
      <c r="C126" t="s">
        <v>82</v>
      </c>
      <c r="D126">
        <v>1</v>
      </c>
      <c r="E126">
        <v>1</v>
      </c>
      <c r="F126">
        <f>SUMIF(Base_Itens!$E$5:$E$1504,A126,Base_Itens!$I$5:$I$1504)</f>
        <v>1</v>
      </c>
      <c r="G126">
        <f t="shared" si="10"/>
        <v>0</v>
      </c>
      <c r="H126">
        <f>COUNTIF(Base_Itens!$E$5:$E$1504,A126)</f>
        <v>1</v>
      </c>
      <c r="I126" t="str">
        <f t="shared" si="9"/>
        <v>OK</v>
      </c>
      <c r="J126" t="str">
        <f>Base_Itens!E103</f>
        <v>2011-Q8-0</v>
      </c>
      <c r="K126" t="str">
        <f>Base_Itens!G103</f>
        <v>12 — Consumo</v>
      </c>
      <c r="L126">
        <f>COUNTIFS(Base_Itens!$E$5:$E$1504,J126,Base_Itens!$G$5:$G$1504,K126)</f>
        <v>1</v>
      </c>
    </row>
    <row r="127" spans="1:12">
      <c r="A127" t="s">
        <v>2268</v>
      </c>
      <c r="B127">
        <v>2011</v>
      </c>
      <c r="C127" t="s">
        <v>82</v>
      </c>
      <c r="D127">
        <v>1</v>
      </c>
      <c r="E127">
        <v>1</v>
      </c>
      <c r="F127">
        <f>SUMIF(Base_Itens!$E$5:$E$1504,A127,Base_Itens!$I$5:$I$1504)</f>
        <v>1</v>
      </c>
      <c r="G127">
        <f t="shared" si="10"/>
        <v>0</v>
      </c>
      <c r="H127">
        <f>COUNTIF(Base_Itens!$E$5:$E$1504,A127)</f>
        <v>1</v>
      </c>
      <c r="I127" t="str">
        <f t="shared" si="9"/>
        <v>OK</v>
      </c>
      <c r="J127" t="str">
        <f>Base_Itens!E104</f>
        <v>2011-Q8-1</v>
      </c>
      <c r="K127" t="str">
        <f>Base_Itens!G104</f>
        <v>12 — Consumo</v>
      </c>
      <c r="L127">
        <f>COUNTIFS(Base_Itens!$E$5:$E$1504,J127,Base_Itens!$G$5:$G$1504,K127)</f>
        <v>1</v>
      </c>
    </row>
    <row r="128" spans="1:12">
      <c r="A128" t="s">
        <v>2269</v>
      </c>
      <c r="B128">
        <v>2011</v>
      </c>
      <c r="C128" t="s">
        <v>82</v>
      </c>
      <c r="D128">
        <v>1</v>
      </c>
      <c r="E128">
        <v>1</v>
      </c>
      <c r="F128">
        <f>SUMIF(Base_Itens!$E$5:$E$1504,A128,Base_Itens!$I$5:$I$1504)</f>
        <v>1</v>
      </c>
      <c r="G128">
        <f t="shared" si="10"/>
        <v>0</v>
      </c>
      <c r="H128">
        <f>COUNTIF(Base_Itens!$E$5:$E$1504,A128)</f>
        <v>1</v>
      </c>
      <c r="I128" t="str">
        <f t="shared" si="9"/>
        <v>OK</v>
      </c>
      <c r="J128" t="str">
        <f>Base_Itens!E105</f>
        <v>2011-Q8-2</v>
      </c>
      <c r="K128" t="str">
        <f>Base_Itens!G105</f>
        <v>12 — Consumo</v>
      </c>
      <c r="L128">
        <f>COUNTIFS(Base_Itens!$E$5:$E$1504,J128,Base_Itens!$G$5:$G$1504,K128)</f>
        <v>1</v>
      </c>
    </row>
    <row r="129" spans="1:12">
      <c r="A129" t="s">
        <v>2270</v>
      </c>
      <c r="B129">
        <v>2011</v>
      </c>
      <c r="C129" t="s">
        <v>82</v>
      </c>
      <c r="D129">
        <v>1</v>
      </c>
      <c r="E129">
        <v>1</v>
      </c>
      <c r="F129">
        <f>SUMIF(Base_Itens!$E$5:$E$1504,A129,Base_Itens!$I$5:$I$1504)</f>
        <v>1</v>
      </c>
      <c r="G129">
        <f t="shared" si="10"/>
        <v>0</v>
      </c>
      <c r="H129">
        <f>COUNTIF(Base_Itens!$E$5:$E$1504,A129)</f>
        <v>1</v>
      </c>
      <c r="I129" t="str">
        <f t="shared" si="9"/>
        <v>OK</v>
      </c>
      <c r="J129" t="str">
        <f>Base_Itens!E106</f>
        <v>2011-Q8-3</v>
      </c>
      <c r="K129" t="str">
        <f>Base_Itens!G106</f>
        <v>13 — Investimento</v>
      </c>
      <c r="L129">
        <f>COUNTIFS(Base_Itens!$E$5:$E$1504,J129,Base_Itens!$G$5:$G$1504,K129)</f>
        <v>1</v>
      </c>
    </row>
    <row r="130" spans="1:12">
      <c r="A130" t="s">
        <v>2271</v>
      </c>
      <c r="B130">
        <v>2011</v>
      </c>
      <c r="C130" t="s">
        <v>82</v>
      </c>
      <c r="D130">
        <v>1</v>
      </c>
      <c r="E130">
        <v>1</v>
      </c>
      <c r="F130">
        <f>SUMIF(Base_Itens!$E$5:$E$1504,A130,Base_Itens!$I$5:$I$1504)</f>
        <v>1</v>
      </c>
      <c r="G130">
        <f t="shared" si="10"/>
        <v>0</v>
      </c>
      <c r="H130">
        <f>COUNTIF(Base_Itens!$E$5:$E$1504,A130)</f>
        <v>1</v>
      </c>
      <c r="I130" t="str">
        <f t="shared" si="9"/>
        <v>OK</v>
      </c>
      <c r="J130" t="str">
        <f>Base_Itens!E107</f>
        <v>2011-Q8-4</v>
      </c>
      <c r="K130" t="str">
        <f>Base_Itens!G107</f>
        <v>13 — Investimento</v>
      </c>
      <c r="L130">
        <f>COUNTIFS(Base_Itens!$E$5:$E$1504,J130,Base_Itens!$G$5:$G$1504,K130)</f>
        <v>1</v>
      </c>
    </row>
    <row r="131" spans="1:12">
      <c r="A131" t="s">
        <v>2272</v>
      </c>
      <c r="B131">
        <v>2011</v>
      </c>
      <c r="C131" t="s">
        <v>82</v>
      </c>
      <c r="D131">
        <v>1</v>
      </c>
      <c r="E131">
        <v>1</v>
      </c>
      <c r="F131">
        <f>SUMIF(Base_Itens!$E$5:$E$1504,A131,Base_Itens!$I$5:$I$1504)</f>
        <v>1</v>
      </c>
      <c r="G131">
        <f t="shared" si="10"/>
        <v>0</v>
      </c>
      <c r="H131">
        <f>COUNTIF(Base_Itens!$E$5:$E$1504,A131)</f>
        <v>1</v>
      </c>
      <c r="I131" t="str">
        <f t="shared" si="9"/>
        <v>OK</v>
      </c>
      <c r="J131" t="str">
        <f>Base_Itens!E108</f>
        <v>2011-Q9-0</v>
      </c>
      <c r="K131" t="str">
        <f>Base_Itens!G108</f>
        <v>12 — Consumo</v>
      </c>
      <c r="L131">
        <f>COUNTIFS(Base_Itens!$E$5:$E$1504,J131,Base_Itens!$G$5:$G$1504,K131)</f>
        <v>1</v>
      </c>
    </row>
    <row r="132" spans="1:12">
      <c r="A132" t="s">
        <v>2273</v>
      </c>
      <c r="B132">
        <v>2011</v>
      </c>
      <c r="C132" t="s">
        <v>82</v>
      </c>
      <c r="D132">
        <v>1</v>
      </c>
      <c r="E132">
        <v>1</v>
      </c>
      <c r="F132">
        <f>SUMIF(Base_Itens!$E$5:$E$1504,A132,Base_Itens!$I$5:$I$1504)</f>
        <v>1</v>
      </c>
      <c r="G132">
        <f t="shared" si="10"/>
        <v>0</v>
      </c>
      <c r="H132">
        <f>COUNTIF(Base_Itens!$E$5:$E$1504,A132)</f>
        <v>1</v>
      </c>
      <c r="I132" t="str">
        <f t="shared" si="9"/>
        <v>OK</v>
      </c>
      <c r="J132" t="str">
        <f>Base_Itens!E109</f>
        <v>2011-Q9-1</v>
      </c>
      <c r="K132" t="str">
        <f>Base_Itens!G109</f>
        <v>12 — Consumo</v>
      </c>
      <c r="L132">
        <f>COUNTIFS(Base_Itens!$E$5:$E$1504,J132,Base_Itens!$G$5:$G$1504,K132)</f>
        <v>1</v>
      </c>
    </row>
    <row r="133" spans="1:12">
      <c r="A133" t="s">
        <v>2274</v>
      </c>
      <c r="B133">
        <v>2011</v>
      </c>
      <c r="C133" t="s">
        <v>82</v>
      </c>
      <c r="D133">
        <v>1</v>
      </c>
      <c r="E133">
        <v>1</v>
      </c>
      <c r="F133">
        <f>SUMIF(Base_Itens!$E$5:$E$1504,A133,Base_Itens!$I$5:$I$1504)</f>
        <v>1</v>
      </c>
      <c r="G133">
        <f t="shared" si="10"/>
        <v>0</v>
      </c>
      <c r="H133">
        <f>COUNTIF(Base_Itens!$E$5:$E$1504,A133)</f>
        <v>1</v>
      </c>
      <c r="I133" t="str">
        <f t="shared" si="9"/>
        <v>OK</v>
      </c>
      <c r="J133" t="str">
        <f>Base_Itens!E110</f>
        <v>2011-Q9-2</v>
      </c>
      <c r="K133" t="str">
        <f>Base_Itens!G110</f>
        <v>12 — Consumo</v>
      </c>
      <c r="L133">
        <f>COUNTIFS(Base_Itens!$E$5:$E$1504,J133,Base_Itens!$G$5:$G$1504,K133)</f>
        <v>1</v>
      </c>
    </row>
    <row r="134" spans="1:12">
      <c r="A134" t="s">
        <v>2275</v>
      </c>
      <c r="B134">
        <v>2011</v>
      </c>
      <c r="C134" t="s">
        <v>82</v>
      </c>
      <c r="D134">
        <v>1</v>
      </c>
      <c r="E134">
        <v>1</v>
      </c>
      <c r="F134">
        <f>SUMIF(Base_Itens!$E$5:$E$1504,A134,Base_Itens!$I$5:$I$1504)</f>
        <v>1</v>
      </c>
      <c r="G134">
        <f t="shared" si="10"/>
        <v>0</v>
      </c>
      <c r="H134">
        <f>COUNTIF(Base_Itens!$E$5:$E$1504,A134)</f>
        <v>1</v>
      </c>
      <c r="I134" t="str">
        <f t="shared" ref="I134:I197" si="11">IF(AND(G134=0,H134=E134),"OK","REVER")</f>
        <v>OK</v>
      </c>
      <c r="J134" t="str">
        <f>Base_Itens!E111</f>
        <v>2011-Q9-3</v>
      </c>
      <c r="K134" t="str">
        <f>Base_Itens!G111</f>
        <v>12 — Consumo</v>
      </c>
      <c r="L134">
        <f>COUNTIFS(Base_Itens!$E$5:$E$1504,J134,Base_Itens!$G$5:$G$1504,K134)</f>
        <v>1</v>
      </c>
    </row>
    <row r="135" spans="1:12">
      <c r="A135" t="s">
        <v>2276</v>
      </c>
      <c r="B135">
        <v>2011</v>
      </c>
      <c r="C135" t="s">
        <v>82</v>
      </c>
      <c r="D135">
        <v>1</v>
      </c>
      <c r="E135">
        <v>1</v>
      </c>
      <c r="F135">
        <f>SUMIF(Base_Itens!$E$5:$E$1504,A135,Base_Itens!$I$5:$I$1504)</f>
        <v>1</v>
      </c>
      <c r="G135">
        <f t="shared" si="10"/>
        <v>0</v>
      </c>
      <c r="H135">
        <f>COUNTIF(Base_Itens!$E$5:$E$1504,A135)</f>
        <v>1</v>
      </c>
      <c r="I135" t="str">
        <f t="shared" si="11"/>
        <v>OK</v>
      </c>
      <c r="J135" t="str">
        <f>Base_Itens!E112</f>
        <v>2011-Q9-4</v>
      </c>
      <c r="K135" t="str">
        <f>Base_Itens!G112</f>
        <v>12 — Consumo</v>
      </c>
      <c r="L135">
        <f>COUNTIFS(Base_Itens!$E$5:$E$1504,J135,Base_Itens!$G$5:$G$1504,K135)</f>
        <v>1</v>
      </c>
    </row>
    <row r="136" spans="1:12">
      <c r="A136" t="s">
        <v>2277</v>
      </c>
      <c r="B136">
        <v>2011</v>
      </c>
      <c r="C136" t="s">
        <v>82</v>
      </c>
      <c r="D136">
        <v>1</v>
      </c>
      <c r="E136">
        <v>1</v>
      </c>
      <c r="F136">
        <f>SUMIF(Base_Itens!$E$5:$E$1504,A136,Base_Itens!$I$5:$I$1504)</f>
        <v>1</v>
      </c>
      <c r="G136">
        <f t="shared" si="10"/>
        <v>0</v>
      </c>
      <c r="H136">
        <f>COUNTIF(Base_Itens!$E$5:$E$1504,A136)</f>
        <v>1</v>
      </c>
      <c r="I136" t="str">
        <f t="shared" si="11"/>
        <v>OK</v>
      </c>
      <c r="J136" t="str">
        <f>Base_Itens!E113</f>
        <v>2011-Q10-0</v>
      </c>
      <c r="K136" t="str">
        <f>Base_Itens!G113</f>
        <v>09 — Expectativas, Novos Clássicos e Novos Keynesianos</v>
      </c>
      <c r="L136">
        <f>COUNTIFS(Base_Itens!$E$5:$E$1504,J136,Base_Itens!$G$5:$G$1504,K136)</f>
        <v>1</v>
      </c>
    </row>
    <row r="137" spans="1:12">
      <c r="A137" t="s">
        <v>2278</v>
      </c>
      <c r="B137">
        <v>2011</v>
      </c>
      <c r="C137" t="s">
        <v>82</v>
      </c>
      <c r="D137">
        <v>1</v>
      </c>
      <c r="E137">
        <v>1</v>
      </c>
      <c r="F137">
        <f>SUMIF(Base_Itens!$E$5:$E$1504,A137,Base_Itens!$I$5:$I$1504)</f>
        <v>1</v>
      </c>
      <c r="G137">
        <f t="shared" si="10"/>
        <v>0</v>
      </c>
      <c r="H137">
        <f>COUNTIF(Base_Itens!$E$5:$E$1504,A137)</f>
        <v>1</v>
      </c>
      <c r="I137" t="str">
        <f t="shared" si="11"/>
        <v>OK</v>
      </c>
      <c r="J137" t="str">
        <f>Base_Itens!E114</f>
        <v>2011-Q10-1</v>
      </c>
      <c r="K137" t="str">
        <f>Base_Itens!G114</f>
        <v>08 — Curva de Phillips</v>
      </c>
      <c r="L137">
        <f>COUNTIFS(Base_Itens!$E$5:$E$1504,J137,Base_Itens!$G$5:$G$1504,K137)</f>
        <v>1</v>
      </c>
    </row>
    <row r="138" spans="1:12">
      <c r="A138" t="s">
        <v>2279</v>
      </c>
      <c r="B138">
        <v>2011</v>
      </c>
      <c r="C138" t="s">
        <v>82</v>
      </c>
      <c r="D138">
        <v>1</v>
      </c>
      <c r="E138">
        <v>1</v>
      </c>
      <c r="F138">
        <f>SUMIF(Base_Itens!$E$5:$E$1504,A138,Base_Itens!$I$5:$I$1504)</f>
        <v>1</v>
      </c>
      <c r="G138">
        <f t="shared" si="10"/>
        <v>0</v>
      </c>
      <c r="H138">
        <f>COUNTIF(Base_Itens!$E$5:$E$1504,A138)</f>
        <v>1</v>
      </c>
      <c r="I138" t="str">
        <f t="shared" si="11"/>
        <v>OK</v>
      </c>
      <c r="J138" t="str">
        <f>Base_Itens!E115</f>
        <v>2011-Q10-2</v>
      </c>
      <c r="K138" t="str">
        <f>Base_Itens!G115</f>
        <v>08 — Curva de Phillips</v>
      </c>
      <c r="L138">
        <f>COUNTIFS(Base_Itens!$E$5:$E$1504,J138,Base_Itens!$G$5:$G$1504,K138)</f>
        <v>1</v>
      </c>
    </row>
    <row r="139" spans="1:12">
      <c r="A139" t="s">
        <v>2280</v>
      </c>
      <c r="B139">
        <v>2011</v>
      </c>
      <c r="C139" t="s">
        <v>82</v>
      </c>
      <c r="D139">
        <v>1</v>
      </c>
      <c r="E139">
        <v>1</v>
      </c>
      <c r="F139">
        <f>SUMIF(Base_Itens!$E$5:$E$1504,A139,Base_Itens!$I$5:$I$1504)</f>
        <v>1</v>
      </c>
      <c r="G139">
        <f t="shared" si="10"/>
        <v>0</v>
      </c>
      <c r="H139">
        <f>COUNTIF(Base_Itens!$E$5:$E$1504,A139)</f>
        <v>1</v>
      </c>
      <c r="I139" t="str">
        <f t="shared" si="11"/>
        <v>OK</v>
      </c>
      <c r="J139" t="str">
        <f>Base_Itens!E116</f>
        <v>2011-Q10-3</v>
      </c>
      <c r="K139" t="str">
        <f>Base_Itens!G116</f>
        <v>09 — Expectativas, Novos Clássicos e Novos Keynesianos</v>
      </c>
      <c r="L139">
        <f>COUNTIFS(Base_Itens!$E$5:$E$1504,J139,Base_Itens!$G$5:$G$1504,K139)</f>
        <v>1</v>
      </c>
    </row>
    <row r="140" spans="1:12">
      <c r="A140" t="s">
        <v>2281</v>
      </c>
      <c r="B140">
        <v>2011</v>
      </c>
      <c r="C140" t="s">
        <v>82</v>
      </c>
      <c r="D140">
        <v>1</v>
      </c>
      <c r="E140">
        <v>1</v>
      </c>
      <c r="F140">
        <f>SUMIF(Base_Itens!$E$5:$E$1504,A140,Base_Itens!$I$5:$I$1504)</f>
        <v>1</v>
      </c>
      <c r="G140">
        <f t="shared" si="10"/>
        <v>0</v>
      </c>
      <c r="H140">
        <f>COUNTIF(Base_Itens!$E$5:$E$1504,A140)</f>
        <v>1</v>
      </c>
      <c r="I140" t="str">
        <f t="shared" si="11"/>
        <v>OK</v>
      </c>
      <c r="J140" t="str">
        <f>Base_Itens!E117</f>
        <v>2011-Q10-4</v>
      </c>
      <c r="K140" t="str">
        <f>Base_Itens!G117</f>
        <v>07b — OA-DA</v>
      </c>
      <c r="L140">
        <f>COUNTIFS(Base_Itens!$E$5:$E$1504,J140,Base_Itens!$G$5:$G$1504,K140)</f>
        <v>1</v>
      </c>
    </row>
    <row r="141" spans="1:12">
      <c r="A141" t="s">
        <v>2282</v>
      </c>
      <c r="B141">
        <v>2011</v>
      </c>
      <c r="C141" t="s">
        <v>82</v>
      </c>
      <c r="D141">
        <v>1</v>
      </c>
      <c r="E141">
        <v>1</v>
      </c>
      <c r="F141">
        <f>SUMIF(Base_Itens!$E$5:$E$1504,A141,Base_Itens!$I$5:$I$1504)</f>
        <v>1</v>
      </c>
      <c r="G141">
        <f t="shared" si="10"/>
        <v>0</v>
      </c>
      <c r="H141">
        <f>COUNTIF(Base_Itens!$E$5:$E$1504,A141)</f>
        <v>1</v>
      </c>
      <c r="I141" t="str">
        <f t="shared" si="11"/>
        <v>OK</v>
      </c>
      <c r="J141" t="str">
        <f>Base_Itens!E118</f>
        <v>2011-Q11-0</v>
      </c>
      <c r="K141" t="str">
        <f>Base_Itens!G118</f>
        <v>08 — Curva de Phillips</v>
      </c>
      <c r="L141">
        <f>COUNTIFS(Base_Itens!$E$5:$E$1504,J141,Base_Itens!$G$5:$G$1504,K141)</f>
        <v>1</v>
      </c>
    </row>
    <row r="142" spans="1:12">
      <c r="A142" t="s">
        <v>2283</v>
      </c>
      <c r="B142">
        <v>2011</v>
      </c>
      <c r="C142" t="s">
        <v>82</v>
      </c>
      <c r="D142">
        <v>1</v>
      </c>
      <c r="E142">
        <v>1</v>
      </c>
      <c r="F142">
        <f>SUMIF(Base_Itens!$E$5:$E$1504,A142,Base_Itens!$I$5:$I$1504)</f>
        <v>1</v>
      </c>
      <c r="G142">
        <f t="shared" si="10"/>
        <v>0</v>
      </c>
      <c r="H142">
        <f>COUNTIF(Base_Itens!$E$5:$E$1504,A142)</f>
        <v>1</v>
      </c>
      <c r="I142" t="str">
        <f t="shared" si="11"/>
        <v>OK</v>
      </c>
      <c r="J142" t="str">
        <f>Base_Itens!E119</f>
        <v>2011-Q11-1</v>
      </c>
      <c r="K142" t="str">
        <f>Base_Itens!G119</f>
        <v>08 — Curva de Phillips</v>
      </c>
      <c r="L142">
        <f>COUNTIFS(Base_Itens!$E$5:$E$1504,J142,Base_Itens!$G$5:$G$1504,K142)</f>
        <v>1</v>
      </c>
    </row>
    <row r="143" spans="1:12">
      <c r="A143" t="s">
        <v>2284</v>
      </c>
      <c r="B143">
        <v>2011</v>
      </c>
      <c r="C143" t="s">
        <v>82</v>
      </c>
      <c r="D143">
        <v>1</v>
      </c>
      <c r="E143">
        <v>1</v>
      </c>
      <c r="F143">
        <f>SUMIF(Base_Itens!$E$5:$E$1504,A143,Base_Itens!$I$5:$I$1504)</f>
        <v>1</v>
      </c>
      <c r="G143">
        <f t="shared" si="10"/>
        <v>0</v>
      </c>
      <c r="H143">
        <f>COUNTIF(Base_Itens!$E$5:$E$1504,A143)</f>
        <v>1</v>
      </c>
      <c r="I143" t="str">
        <f t="shared" si="11"/>
        <v>OK</v>
      </c>
      <c r="J143" t="str">
        <f>Base_Itens!E120</f>
        <v>2011-Q11-2</v>
      </c>
      <c r="K143" t="str">
        <f>Base_Itens!G120</f>
        <v>04 — Demanda por Moeda</v>
      </c>
      <c r="L143">
        <f>COUNTIFS(Base_Itens!$E$5:$E$1504,J143,Base_Itens!$G$5:$G$1504,K143)</f>
        <v>1</v>
      </c>
    </row>
    <row r="144" spans="1:12">
      <c r="A144" t="s">
        <v>2285</v>
      </c>
      <c r="B144">
        <v>2011</v>
      </c>
      <c r="C144" t="s">
        <v>82</v>
      </c>
      <c r="D144">
        <v>1</v>
      </c>
      <c r="E144">
        <v>1</v>
      </c>
      <c r="F144">
        <f>SUMIF(Base_Itens!$E$5:$E$1504,A144,Base_Itens!$I$5:$I$1504)</f>
        <v>1</v>
      </c>
      <c r="G144">
        <f t="shared" si="10"/>
        <v>0</v>
      </c>
      <c r="H144">
        <f>COUNTIF(Base_Itens!$E$5:$E$1504,A144)</f>
        <v>1</v>
      </c>
      <c r="I144" t="str">
        <f t="shared" si="11"/>
        <v>OK</v>
      </c>
      <c r="J144" t="str">
        <f>Base_Itens!E121</f>
        <v>2011-Q11-3</v>
      </c>
      <c r="K144" t="str">
        <f>Base_Itens!G121</f>
        <v>04 — Demanda por Moeda</v>
      </c>
      <c r="L144">
        <f>COUNTIFS(Base_Itens!$E$5:$E$1504,J144,Base_Itens!$G$5:$G$1504,K144)</f>
        <v>1</v>
      </c>
    </row>
    <row r="145" spans="1:12">
      <c r="A145" t="s">
        <v>2286</v>
      </c>
      <c r="B145">
        <v>2011</v>
      </c>
      <c r="C145" t="s">
        <v>82</v>
      </c>
      <c r="D145">
        <v>1</v>
      </c>
      <c r="E145">
        <v>1</v>
      </c>
      <c r="F145">
        <f>SUMIF(Base_Itens!$E$5:$E$1504,A145,Base_Itens!$I$5:$I$1504)</f>
        <v>1</v>
      </c>
      <c r="G145">
        <f t="shared" si="10"/>
        <v>0</v>
      </c>
      <c r="H145">
        <f>COUNTIF(Base_Itens!$E$5:$E$1504,A145)</f>
        <v>1</v>
      </c>
      <c r="I145" t="str">
        <f t="shared" si="11"/>
        <v>OK</v>
      </c>
      <c r="J145" t="str">
        <f>Base_Itens!E122</f>
        <v>2011-Q11-4</v>
      </c>
      <c r="K145" t="str">
        <f>Base_Itens!G122</f>
        <v>04 — Demanda por Moeda</v>
      </c>
      <c r="L145">
        <f>COUNTIFS(Base_Itens!$E$5:$E$1504,J145,Base_Itens!$G$5:$G$1504,K145)</f>
        <v>1</v>
      </c>
    </row>
    <row r="146" spans="1:12">
      <c r="A146" t="s">
        <v>2287</v>
      </c>
      <c r="B146">
        <v>2011</v>
      </c>
      <c r="C146" t="s">
        <v>82</v>
      </c>
      <c r="D146">
        <v>1</v>
      </c>
      <c r="E146">
        <v>1</v>
      </c>
      <c r="F146">
        <f>SUMIF(Base_Itens!$E$5:$E$1504,A146,Base_Itens!$I$5:$I$1504)</f>
        <v>1</v>
      </c>
      <c r="G146">
        <f t="shared" si="10"/>
        <v>0</v>
      </c>
      <c r="H146">
        <f>COUNTIF(Base_Itens!$E$5:$E$1504,A146)</f>
        <v>1</v>
      </c>
      <c r="I146" t="str">
        <f t="shared" si="11"/>
        <v>OK</v>
      </c>
      <c r="J146" t="str">
        <f>Base_Itens!E123</f>
        <v>2011-Q12-0</v>
      </c>
      <c r="K146" t="str">
        <f>Base_Itens!G123</f>
        <v>11 — Crescimento Econômico</v>
      </c>
      <c r="L146">
        <f>COUNTIFS(Base_Itens!$E$5:$E$1504,J146,Base_Itens!$G$5:$G$1504,K146)</f>
        <v>1</v>
      </c>
    </row>
    <row r="147" spans="1:12">
      <c r="A147" t="s">
        <v>2288</v>
      </c>
      <c r="B147">
        <v>2011</v>
      </c>
      <c r="C147" t="s">
        <v>82</v>
      </c>
      <c r="D147">
        <v>1</v>
      </c>
      <c r="E147">
        <v>1</v>
      </c>
      <c r="F147">
        <f>SUMIF(Base_Itens!$E$5:$E$1504,A147,Base_Itens!$I$5:$I$1504)</f>
        <v>1</v>
      </c>
      <c r="G147">
        <f t="shared" si="10"/>
        <v>0</v>
      </c>
      <c r="H147">
        <f>COUNTIF(Base_Itens!$E$5:$E$1504,A147)</f>
        <v>1</v>
      </c>
      <c r="I147" t="str">
        <f t="shared" si="11"/>
        <v>OK</v>
      </c>
      <c r="J147" t="str">
        <f>Base_Itens!E124</f>
        <v>2011-Q12-1</v>
      </c>
      <c r="K147" t="str">
        <f>Base_Itens!G124</f>
        <v>11 — Crescimento Econômico</v>
      </c>
      <c r="L147">
        <f>COUNTIFS(Base_Itens!$E$5:$E$1504,J147,Base_Itens!$G$5:$G$1504,K147)</f>
        <v>1</v>
      </c>
    </row>
    <row r="148" spans="1:12">
      <c r="A148" t="s">
        <v>2289</v>
      </c>
      <c r="B148">
        <v>2011</v>
      </c>
      <c r="C148" t="s">
        <v>82</v>
      </c>
      <c r="D148">
        <v>1</v>
      </c>
      <c r="E148">
        <v>1</v>
      </c>
      <c r="F148">
        <f>SUMIF(Base_Itens!$E$5:$E$1504,A148,Base_Itens!$I$5:$I$1504)</f>
        <v>1</v>
      </c>
      <c r="G148">
        <f t="shared" si="10"/>
        <v>0</v>
      </c>
      <c r="H148">
        <f>COUNTIF(Base_Itens!$E$5:$E$1504,A148)</f>
        <v>1</v>
      </c>
      <c r="I148" t="str">
        <f t="shared" si="11"/>
        <v>OK</v>
      </c>
      <c r="J148" t="str">
        <f>Base_Itens!E125</f>
        <v>2011-Q12-2</v>
      </c>
      <c r="K148" t="str">
        <f>Base_Itens!G125</f>
        <v>11 — Crescimento Econômico</v>
      </c>
      <c r="L148">
        <f>COUNTIFS(Base_Itens!$E$5:$E$1504,J148,Base_Itens!$G$5:$G$1504,K148)</f>
        <v>1</v>
      </c>
    </row>
    <row r="149" spans="1:12">
      <c r="A149" t="s">
        <v>2290</v>
      </c>
      <c r="B149">
        <v>2011</v>
      </c>
      <c r="C149" t="s">
        <v>82</v>
      </c>
      <c r="D149">
        <v>1</v>
      </c>
      <c r="E149">
        <v>1</v>
      </c>
      <c r="F149">
        <f>SUMIF(Base_Itens!$E$5:$E$1504,A149,Base_Itens!$I$5:$I$1504)</f>
        <v>1</v>
      </c>
      <c r="G149">
        <f t="shared" si="10"/>
        <v>0</v>
      </c>
      <c r="H149">
        <f>COUNTIF(Base_Itens!$E$5:$E$1504,A149)</f>
        <v>1</v>
      </c>
      <c r="I149" t="str">
        <f t="shared" si="11"/>
        <v>OK</v>
      </c>
      <c r="J149" t="str">
        <f>Base_Itens!E126</f>
        <v>2011-Q12-3</v>
      </c>
      <c r="K149" t="str">
        <f>Base_Itens!G126</f>
        <v>11 — Crescimento Econômico</v>
      </c>
      <c r="L149">
        <f>COUNTIFS(Base_Itens!$E$5:$E$1504,J149,Base_Itens!$G$5:$G$1504,K149)</f>
        <v>1</v>
      </c>
    </row>
    <row r="150" spans="1:12">
      <c r="A150" t="s">
        <v>2291</v>
      </c>
      <c r="B150">
        <v>2011</v>
      </c>
      <c r="C150" t="s">
        <v>82</v>
      </c>
      <c r="D150">
        <v>1</v>
      </c>
      <c r="E150">
        <v>1</v>
      </c>
      <c r="F150">
        <f>SUMIF(Base_Itens!$E$5:$E$1504,A150,Base_Itens!$I$5:$I$1504)</f>
        <v>1</v>
      </c>
      <c r="G150">
        <f t="shared" si="10"/>
        <v>0</v>
      </c>
      <c r="H150">
        <f>COUNTIF(Base_Itens!$E$5:$E$1504,A150)</f>
        <v>1</v>
      </c>
      <c r="I150" t="str">
        <f t="shared" si="11"/>
        <v>OK</v>
      </c>
      <c r="J150" t="str">
        <f>Base_Itens!E127</f>
        <v>2011-Q12-4</v>
      </c>
      <c r="K150" t="str">
        <f>Base_Itens!G127</f>
        <v>11 — Crescimento Econômico</v>
      </c>
      <c r="L150">
        <f>COUNTIFS(Base_Itens!$E$5:$E$1504,J150,Base_Itens!$G$5:$G$1504,K150)</f>
        <v>1</v>
      </c>
    </row>
    <row r="151" spans="1:12">
      <c r="A151" t="s">
        <v>2292</v>
      </c>
      <c r="B151">
        <v>2011</v>
      </c>
      <c r="C151" t="s">
        <v>82</v>
      </c>
      <c r="D151">
        <v>1</v>
      </c>
      <c r="E151">
        <v>1</v>
      </c>
      <c r="F151">
        <f>SUMIF(Base_Itens!$E$5:$E$1504,A151,Base_Itens!$I$5:$I$1504)</f>
        <v>1</v>
      </c>
      <c r="G151">
        <f t="shared" si="10"/>
        <v>0</v>
      </c>
      <c r="H151">
        <f>COUNTIF(Base_Itens!$E$5:$E$1504,A151)</f>
        <v>1</v>
      </c>
      <c r="I151" t="str">
        <f t="shared" si="11"/>
        <v>OK</v>
      </c>
      <c r="J151" t="str">
        <f>Base_Itens!E128</f>
        <v>2011-Q13-0</v>
      </c>
      <c r="K151" t="str">
        <f>Base_Itens!G128</f>
        <v>14 — Dívida Pública e Senhoriagem</v>
      </c>
      <c r="L151">
        <f>COUNTIFS(Base_Itens!$E$5:$E$1504,J151,Base_Itens!$G$5:$G$1504,K151)</f>
        <v>1</v>
      </c>
    </row>
    <row r="152" spans="1:12">
      <c r="A152" t="s">
        <v>2293</v>
      </c>
      <c r="B152">
        <v>2011</v>
      </c>
      <c r="C152" t="s">
        <v>2153</v>
      </c>
      <c r="D152">
        <v>5</v>
      </c>
      <c r="E152">
        <v>1</v>
      </c>
      <c r="F152">
        <f>SUMIF(Base_Itens!$E$5:$E$1504,A152,Base_Itens!$I$5:$I$1504)</f>
        <v>5</v>
      </c>
      <c r="G152">
        <f t="shared" si="10"/>
        <v>0</v>
      </c>
      <c r="H152">
        <f>COUNTIF(Base_Itens!$E$5:$E$1504,A152)</f>
        <v>1</v>
      </c>
      <c r="I152" t="str">
        <f t="shared" si="11"/>
        <v>OK</v>
      </c>
      <c r="J152" t="str">
        <f>Base_Itens!E129</f>
        <v>2011-Q13-1</v>
      </c>
      <c r="K152" t="str">
        <f>Base_Itens!G129</f>
        <v>14 — Dívida Pública e Senhoriagem</v>
      </c>
      <c r="L152">
        <f>COUNTIFS(Base_Itens!$E$5:$E$1504,J152,Base_Itens!$G$5:$G$1504,K152)</f>
        <v>1</v>
      </c>
    </row>
    <row r="153" spans="1:12">
      <c r="A153" t="s">
        <v>2294</v>
      </c>
      <c r="B153">
        <v>2011</v>
      </c>
      <c r="C153" t="s">
        <v>2153</v>
      </c>
      <c r="D153">
        <v>5</v>
      </c>
      <c r="E153">
        <v>1</v>
      </c>
      <c r="F153">
        <f>SUMIF(Base_Itens!$E$5:$E$1504,A153,Base_Itens!$I$5:$I$1504)</f>
        <v>5</v>
      </c>
      <c r="G153">
        <f t="shared" si="10"/>
        <v>0</v>
      </c>
      <c r="H153">
        <f>COUNTIF(Base_Itens!$E$5:$E$1504,A153)</f>
        <v>1</v>
      </c>
      <c r="I153" t="str">
        <f t="shared" si="11"/>
        <v>OK</v>
      </c>
      <c r="J153" t="str">
        <f>Base_Itens!E130</f>
        <v>2011-Q13-2</v>
      </c>
      <c r="K153" t="str">
        <f>Base_Itens!G130</f>
        <v>14 — Dívida Pública e Senhoriagem</v>
      </c>
      <c r="L153">
        <f>COUNTIFS(Base_Itens!$E$5:$E$1504,J153,Base_Itens!$G$5:$G$1504,K153)</f>
        <v>1</v>
      </c>
    </row>
    <row r="154" spans="1:12">
      <c r="A154" t="s">
        <v>2295</v>
      </c>
      <c r="B154">
        <v>2012</v>
      </c>
      <c r="C154" t="s">
        <v>82</v>
      </c>
      <c r="D154">
        <v>1</v>
      </c>
      <c r="E154">
        <v>1</v>
      </c>
      <c r="F154">
        <f>SUMIF(Base_Itens!$E$5:$E$1504,A154,Base_Itens!$I$5:$I$1504)</f>
        <v>1</v>
      </c>
      <c r="G154">
        <f t="shared" si="10"/>
        <v>0</v>
      </c>
      <c r="H154">
        <f>COUNTIF(Base_Itens!$E$5:$E$1504,A154)</f>
        <v>1</v>
      </c>
      <c r="I154" t="str">
        <f t="shared" si="11"/>
        <v>OK</v>
      </c>
      <c r="J154" t="str">
        <f>Base_Itens!E131</f>
        <v>2011-Q13-3</v>
      </c>
      <c r="K154" t="str">
        <f>Base_Itens!G131</f>
        <v>14 — Dívida Pública e Senhoriagem</v>
      </c>
      <c r="L154">
        <f>COUNTIFS(Base_Itens!$E$5:$E$1504,J154,Base_Itens!$G$5:$G$1504,K154)</f>
        <v>1</v>
      </c>
    </row>
    <row r="155" spans="1:12">
      <c r="A155" t="s">
        <v>2296</v>
      </c>
      <c r="B155">
        <v>2012</v>
      </c>
      <c r="C155" t="s">
        <v>82</v>
      </c>
      <c r="D155">
        <v>1</v>
      </c>
      <c r="E155">
        <v>1</v>
      </c>
      <c r="F155">
        <f>SUMIF(Base_Itens!$E$5:$E$1504,A155,Base_Itens!$I$5:$I$1504)</f>
        <v>1</v>
      </c>
      <c r="G155">
        <f t="shared" si="10"/>
        <v>0</v>
      </c>
      <c r="H155">
        <f>COUNTIF(Base_Itens!$E$5:$E$1504,A155)</f>
        <v>1</v>
      </c>
      <c r="I155" t="str">
        <f t="shared" si="11"/>
        <v>OK</v>
      </c>
      <c r="J155" t="str">
        <f>Base_Itens!E132</f>
        <v>2011-Q13-4</v>
      </c>
      <c r="K155" t="str">
        <f>Base_Itens!G132</f>
        <v>14 — Dívida Pública e Senhoriagem</v>
      </c>
      <c r="L155">
        <f>COUNTIFS(Base_Itens!$E$5:$E$1504,J155,Base_Itens!$G$5:$G$1504,K155)</f>
        <v>1</v>
      </c>
    </row>
    <row r="156" spans="1:12">
      <c r="A156" t="s">
        <v>2297</v>
      </c>
      <c r="B156">
        <v>2012</v>
      </c>
      <c r="C156" t="s">
        <v>82</v>
      </c>
      <c r="D156">
        <v>1</v>
      </c>
      <c r="E156">
        <v>1</v>
      </c>
      <c r="F156">
        <f>SUMIF(Base_Itens!$E$5:$E$1504,A156,Base_Itens!$I$5:$I$1504)</f>
        <v>1</v>
      </c>
      <c r="G156">
        <f t="shared" ref="G156:G219" si="12">F156-D156</f>
        <v>0</v>
      </c>
      <c r="H156">
        <f>COUNTIF(Base_Itens!$E$5:$E$1504,A156)</f>
        <v>1</v>
      </c>
      <c r="I156" t="str">
        <f t="shared" si="11"/>
        <v>OK</v>
      </c>
      <c r="J156" t="str">
        <f>Base_Itens!E133</f>
        <v>2011-Q14-ABERTA</v>
      </c>
      <c r="K156" t="str">
        <f>Base_Itens!G133</f>
        <v>05 — IS-LM</v>
      </c>
      <c r="L156">
        <f>COUNTIFS(Base_Itens!$E$5:$E$1504,J156,Base_Itens!$G$5:$G$1504,K156)</f>
        <v>1</v>
      </c>
    </row>
    <row r="157" spans="1:12">
      <c r="A157" t="s">
        <v>2298</v>
      </c>
      <c r="B157">
        <v>2012</v>
      </c>
      <c r="C157" t="s">
        <v>82</v>
      </c>
      <c r="D157">
        <v>1</v>
      </c>
      <c r="E157">
        <v>1</v>
      </c>
      <c r="F157">
        <f>SUMIF(Base_Itens!$E$5:$E$1504,A157,Base_Itens!$I$5:$I$1504)</f>
        <v>1</v>
      </c>
      <c r="G157">
        <f t="shared" si="12"/>
        <v>0</v>
      </c>
      <c r="H157">
        <f>COUNTIF(Base_Itens!$E$5:$E$1504,A157)</f>
        <v>1</v>
      </c>
      <c r="I157" t="str">
        <f t="shared" si="11"/>
        <v>OK</v>
      </c>
      <c r="J157" t="str">
        <f>Base_Itens!E134</f>
        <v>2011-Q15-ABERTA</v>
      </c>
      <c r="K157" t="str">
        <f>Base_Itens!G134</f>
        <v>11 — Crescimento Econômico</v>
      </c>
      <c r="L157">
        <f>COUNTIFS(Base_Itens!$E$5:$E$1504,J157,Base_Itens!$G$5:$G$1504,K157)</f>
        <v>1</v>
      </c>
    </row>
    <row r="158" spans="1:12">
      <c r="A158" t="s">
        <v>2299</v>
      </c>
      <c r="B158">
        <v>2012</v>
      </c>
      <c r="C158" t="s">
        <v>82</v>
      </c>
      <c r="D158">
        <v>1</v>
      </c>
      <c r="E158">
        <v>1</v>
      </c>
      <c r="F158">
        <f>SUMIF(Base_Itens!$E$5:$E$1504,A158,Base_Itens!$I$5:$I$1504)</f>
        <v>1</v>
      </c>
      <c r="G158">
        <f t="shared" si="12"/>
        <v>0</v>
      </c>
      <c r="H158">
        <f>COUNTIF(Base_Itens!$E$5:$E$1504,A158)</f>
        <v>1</v>
      </c>
      <c r="I158" t="str">
        <f t="shared" si="11"/>
        <v>OK</v>
      </c>
      <c r="J158" t="str">
        <f>Base_Itens!E135</f>
        <v>2012-Q1-0</v>
      </c>
      <c r="K158" t="str">
        <f>Base_Itens!G135</f>
        <v>12 — Consumo</v>
      </c>
      <c r="L158">
        <f>COUNTIFS(Base_Itens!$E$5:$E$1504,J158,Base_Itens!$G$5:$G$1504,K158)</f>
        <v>1</v>
      </c>
    </row>
    <row r="159" spans="1:12">
      <c r="A159" t="s">
        <v>2300</v>
      </c>
      <c r="B159">
        <v>2012</v>
      </c>
      <c r="C159" t="s">
        <v>82</v>
      </c>
      <c r="D159">
        <v>1</v>
      </c>
      <c r="E159">
        <v>1</v>
      </c>
      <c r="F159">
        <f>SUMIF(Base_Itens!$E$5:$E$1504,A159,Base_Itens!$I$5:$I$1504)</f>
        <v>1</v>
      </c>
      <c r="G159">
        <f t="shared" si="12"/>
        <v>0</v>
      </c>
      <c r="H159">
        <f>COUNTIF(Base_Itens!$E$5:$E$1504,A159)</f>
        <v>1</v>
      </c>
      <c r="I159" t="str">
        <f t="shared" si="11"/>
        <v>OK</v>
      </c>
      <c r="J159" t="str">
        <f>Base_Itens!E136</f>
        <v>2012-Q1-1</v>
      </c>
      <c r="K159" t="str">
        <f>Base_Itens!G136</f>
        <v>12 — Consumo</v>
      </c>
      <c r="L159">
        <f>COUNTIFS(Base_Itens!$E$5:$E$1504,J159,Base_Itens!$G$5:$G$1504,K159)</f>
        <v>1</v>
      </c>
    </row>
    <row r="160" spans="1:12">
      <c r="A160" t="s">
        <v>2301</v>
      </c>
      <c r="B160">
        <v>2012</v>
      </c>
      <c r="C160" t="s">
        <v>82</v>
      </c>
      <c r="D160">
        <v>1</v>
      </c>
      <c r="E160">
        <v>1</v>
      </c>
      <c r="F160">
        <f>SUMIF(Base_Itens!$E$5:$E$1504,A160,Base_Itens!$I$5:$I$1504)</f>
        <v>1</v>
      </c>
      <c r="G160">
        <f t="shared" si="12"/>
        <v>0</v>
      </c>
      <c r="H160">
        <f>COUNTIF(Base_Itens!$E$5:$E$1504,A160)</f>
        <v>1</v>
      </c>
      <c r="I160" t="str">
        <f t="shared" si="11"/>
        <v>OK</v>
      </c>
      <c r="J160" t="str">
        <f>Base_Itens!E137</f>
        <v>2012-Q1-2</v>
      </c>
      <c r="K160" t="str">
        <f>Base_Itens!G137</f>
        <v>13 — Investimento</v>
      </c>
      <c r="L160">
        <f>COUNTIFS(Base_Itens!$E$5:$E$1504,J160,Base_Itens!$G$5:$G$1504,K160)</f>
        <v>1</v>
      </c>
    </row>
    <row r="161" spans="1:12">
      <c r="A161" t="s">
        <v>2302</v>
      </c>
      <c r="B161">
        <v>2012</v>
      </c>
      <c r="C161" t="s">
        <v>82</v>
      </c>
      <c r="D161">
        <v>1</v>
      </c>
      <c r="E161">
        <v>1</v>
      </c>
      <c r="F161">
        <f>SUMIF(Base_Itens!$E$5:$E$1504,A161,Base_Itens!$I$5:$I$1504)</f>
        <v>1</v>
      </c>
      <c r="G161">
        <f t="shared" si="12"/>
        <v>0</v>
      </c>
      <c r="H161">
        <f>COUNTIF(Base_Itens!$E$5:$E$1504,A161)</f>
        <v>1</v>
      </c>
      <c r="I161" t="str">
        <f t="shared" si="11"/>
        <v>OK</v>
      </c>
      <c r="J161" t="str">
        <f>Base_Itens!E138</f>
        <v>2012-Q1-3</v>
      </c>
      <c r="K161" t="str">
        <f>Base_Itens!G138</f>
        <v>13 — Investimento</v>
      </c>
      <c r="L161">
        <f>COUNTIFS(Base_Itens!$E$5:$E$1504,J161,Base_Itens!$G$5:$G$1504,K161)</f>
        <v>1</v>
      </c>
    </row>
    <row r="162" spans="1:12">
      <c r="A162" t="s">
        <v>2303</v>
      </c>
      <c r="B162">
        <v>2012</v>
      </c>
      <c r="C162" t="s">
        <v>82</v>
      </c>
      <c r="D162">
        <v>1</v>
      </c>
      <c r="E162">
        <v>1</v>
      </c>
      <c r="F162">
        <f>SUMIF(Base_Itens!$E$5:$E$1504,A162,Base_Itens!$I$5:$I$1504)</f>
        <v>1</v>
      </c>
      <c r="G162">
        <f t="shared" si="12"/>
        <v>0</v>
      </c>
      <c r="H162">
        <f>COUNTIF(Base_Itens!$E$5:$E$1504,A162)</f>
        <v>1</v>
      </c>
      <c r="I162" t="str">
        <f t="shared" si="11"/>
        <v>OK</v>
      </c>
      <c r="J162" t="str">
        <f>Base_Itens!E139</f>
        <v>2012-Q1-4</v>
      </c>
      <c r="K162" t="str">
        <f>Base_Itens!G139</f>
        <v>13 — Investimento</v>
      </c>
      <c r="L162">
        <f>COUNTIFS(Base_Itens!$E$5:$E$1504,J162,Base_Itens!$G$5:$G$1504,K162)</f>
        <v>1</v>
      </c>
    </row>
    <row r="163" spans="1:12">
      <c r="A163" t="s">
        <v>2304</v>
      </c>
      <c r="B163">
        <v>2012</v>
      </c>
      <c r="C163" t="s">
        <v>82</v>
      </c>
      <c r="D163">
        <v>1</v>
      </c>
      <c r="E163">
        <v>1</v>
      </c>
      <c r="F163">
        <f>SUMIF(Base_Itens!$E$5:$E$1504,A163,Base_Itens!$I$5:$I$1504)</f>
        <v>1</v>
      </c>
      <c r="G163">
        <f t="shared" si="12"/>
        <v>0</v>
      </c>
      <c r="H163">
        <f>COUNTIF(Base_Itens!$E$5:$E$1504,A163)</f>
        <v>1</v>
      </c>
      <c r="I163" t="str">
        <f t="shared" si="11"/>
        <v>OK</v>
      </c>
      <c r="J163" t="str">
        <f>Base_Itens!E140</f>
        <v>2012-Q2-0</v>
      </c>
      <c r="K163" t="str">
        <f>Base_Itens!G140</f>
        <v>06 — IS-LM-BP</v>
      </c>
      <c r="L163">
        <f>COUNTIFS(Base_Itens!$E$5:$E$1504,J163,Base_Itens!$G$5:$G$1504,K163)</f>
        <v>1</v>
      </c>
    </row>
    <row r="164" spans="1:12">
      <c r="A164" t="s">
        <v>2305</v>
      </c>
      <c r="B164">
        <v>2012</v>
      </c>
      <c r="C164" t="s">
        <v>82</v>
      </c>
      <c r="D164">
        <v>1</v>
      </c>
      <c r="E164">
        <v>1</v>
      </c>
      <c r="F164">
        <f>SUMIF(Base_Itens!$E$5:$E$1504,A164,Base_Itens!$I$5:$I$1504)</f>
        <v>1</v>
      </c>
      <c r="G164">
        <f t="shared" si="12"/>
        <v>0</v>
      </c>
      <c r="H164">
        <f>COUNTIF(Base_Itens!$E$5:$E$1504,A164)</f>
        <v>1</v>
      </c>
      <c r="I164" t="str">
        <f t="shared" si="11"/>
        <v>OK</v>
      </c>
      <c r="J164" t="str">
        <f>Base_Itens!E141</f>
        <v>2012-Q2-1</v>
      </c>
      <c r="K164" t="str">
        <f>Base_Itens!G141</f>
        <v>06 — IS-LM-BP</v>
      </c>
      <c r="L164">
        <f>COUNTIFS(Base_Itens!$E$5:$E$1504,J164,Base_Itens!$G$5:$G$1504,K164)</f>
        <v>1</v>
      </c>
    </row>
    <row r="165" spans="1:12">
      <c r="A165" t="s">
        <v>2306</v>
      </c>
      <c r="B165">
        <v>2012</v>
      </c>
      <c r="C165" t="s">
        <v>82</v>
      </c>
      <c r="D165">
        <v>1</v>
      </c>
      <c r="E165">
        <v>1</v>
      </c>
      <c r="F165">
        <f>SUMIF(Base_Itens!$E$5:$E$1504,A165,Base_Itens!$I$5:$I$1504)</f>
        <v>1</v>
      </c>
      <c r="G165">
        <f t="shared" si="12"/>
        <v>0</v>
      </c>
      <c r="H165">
        <f>COUNTIF(Base_Itens!$E$5:$E$1504,A165)</f>
        <v>1</v>
      </c>
      <c r="I165" t="str">
        <f t="shared" si="11"/>
        <v>OK</v>
      </c>
      <c r="J165" t="str">
        <f>Base_Itens!E142</f>
        <v>2012-Q2-2</v>
      </c>
      <c r="K165" t="str">
        <f>Base_Itens!G142</f>
        <v>06 — IS-LM-BP</v>
      </c>
      <c r="L165">
        <f>COUNTIFS(Base_Itens!$E$5:$E$1504,J165,Base_Itens!$G$5:$G$1504,K165)</f>
        <v>1</v>
      </c>
    </row>
    <row r="166" spans="1:12">
      <c r="A166" t="s">
        <v>2307</v>
      </c>
      <c r="B166">
        <v>2012</v>
      </c>
      <c r="C166" t="s">
        <v>82</v>
      </c>
      <c r="D166">
        <v>1</v>
      </c>
      <c r="E166">
        <v>1</v>
      </c>
      <c r="F166">
        <f>SUMIF(Base_Itens!$E$5:$E$1504,A166,Base_Itens!$I$5:$I$1504)</f>
        <v>1</v>
      </c>
      <c r="G166">
        <f t="shared" si="12"/>
        <v>0</v>
      </c>
      <c r="H166">
        <f>COUNTIF(Base_Itens!$E$5:$E$1504,A166)</f>
        <v>1</v>
      </c>
      <c r="I166" t="str">
        <f t="shared" si="11"/>
        <v>OK</v>
      </c>
      <c r="J166" t="str">
        <f>Base_Itens!E143</f>
        <v>2012-Q2-3</v>
      </c>
      <c r="K166" t="str">
        <f>Base_Itens!G143</f>
        <v>06 — IS-LM-BP</v>
      </c>
      <c r="L166">
        <f>COUNTIFS(Base_Itens!$E$5:$E$1504,J166,Base_Itens!$G$5:$G$1504,K166)</f>
        <v>1</v>
      </c>
    </row>
    <row r="167" spans="1:12">
      <c r="A167" t="s">
        <v>2308</v>
      </c>
      <c r="B167">
        <v>2012</v>
      </c>
      <c r="C167" t="s">
        <v>82</v>
      </c>
      <c r="D167">
        <v>1</v>
      </c>
      <c r="E167">
        <v>2</v>
      </c>
      <c r="F167">
        <f>SUMIF(Base_Itens!$E$5:$E$1504,A167,Base_Itens!$I$5:$I$1504)</f>
        <v>1</v>
      </c>
      <c r="G167">
        <f t="shared" si="12"/>
        <v>0</v>
      </c>
      <c r="H167">
        <f>COUNTIF(Base_Itens!$E$5:$E$1504,A167)</f>
        <v>2</v>
      </c>
      <c r="I167" t="str">
        <f t="shared" si="11"/>
        <v>OK</v>
      </c>
      <c r="J167" t="str">
        <f>Base_Itens!E144</f>
        <v>2012-Q2-4</v>
      </c>
      <c r="K167" t="str">
        <f>Base_Itens!G144</f>
        <v>06 — IS-LM-BP</v>
      </c>
      <c r="L167">
        <f>COUNTIFS(Base_Itens!$E$5:$E$1504,J167,Base_Itens!$G$5:$G$1504,K167)</f>
        <v>1</v>
      </c>
    </row>
    <row r="168" spans="1:12">
      <c r="A168" t="s">
        <v>2309</v>
      </c>
      <c r="B168">
        <v>2012</v>
      </c>
      <c r="C168" t="s">
        <v>82</v>
      </c>
      <c r="D168">
        <v>1</v>
      </c>
      <c r="E168">
        <v>2</v>
      </c>
      <c r="F168">
        <f>SUMIF(Base_Itens!$E$5:$E$1504,A168,Base_Itens!$I$5:$I$1504)</f>
        <v>1</v>
      </c>
      <c r="G168">
        <f t="shared" si="12"/>
        <v>0</v>
      </c>
      <c r="H168">
        <f>COUNTIF(Base_Itens!$E$5:$E$1504,A168)</f>
        <v>2</v>
      </c>
      <c r="I168" t="str">
        <f t="shared" si="11"/>
        <v>OK</v>
      </c>
      <c r="J168" t="str">
        <f>Base_Itens!E145</f>
        <v>2012-Q3-0</v>
      </c>
      <c r="K168" t="str">
        <f>Base_Itens!G145</f>
        <v>02 — Balanço de Pagamentos</v>
      </c>
      <c r="L168">
        <f>COUNTIFS(Base_Itens!$E$5:$E$1504,J168,Base_Itens!$G$5:$G$1504,K168)</f>
        <v>1</v>
      </c>
    </row>
    <row r="169" spans="1:12">
      <c r="A169" t="s">
        <v>2310</v>
      </c>
      <c r="B169">
        <v>2012</v>
      </c>
      <c r="C169" t="s">
        <v>82</v>
      </c>
      <c r="D169">
        <v>1</v>
      </c>
      <c r="E169">
        <v>1</v>
      </c>
      <c r="F169">
        <f>SUMIF(Base_Itens!$E$5:$E$1504,A169,Base_Itens!$I$5:$I$1504)</f>
        <v>1</v>
      </c>
      <c r="G169">
        <f t="shared" si="12"/>
        <v>0</v>
      </c>
      <c r="H169">
        <f>COUNTIF(Base_Itens!$E$5:$E$1504,A169)</f>
        <v>1</v>
      </c>
      <c r="I169" t="str">
        <f t="shared" si="11"/>
        <v>OK</v>
      </c>
      <c r="J169" t="str">
        <f>Base_Itens!E146</f>
        <v>2012-Q3-1</v>
      </c>
      <c r="K169" t="str">
        <f>Base_Itens!G146</f>
        <v>02 — Balanço de Pagamentos</v>
      </c>
      <c r="L169">
        <f>COUNTIFS(Base_Itens!$E$5:$E$1504,J169,Base_Itens!$G$5:$G$1504,K169)</f>
        <v>1</v>
      </c>
    </row>
    <row r="170" spans="1:12">
      <c r="A170" t="s">
        <v>2311</v>
      </c>
      <c r="B170">
        <v>2012</v>
      </c>
      <c r="C170" t="s">
        <v>82</v>
      </c>
      <c r="D170">
        <v>1</v>
      </c>
      <c r="E170">
        <v>1</v>
      </c>
      <c r="F170">
        <f>SUMIF(Base_Itens!$E$5:$E$1504,A170,Base_Itens!$I$5:$I$1504)</f>
        <v>1</v>
      </c>
      <c r="G170">
        <f t="shared" si="12"/>
        <v>0</v>
      </c>
      <c r="H170">
        <f>COUNTIF(Base_Itens!$E$5:$E$1504,A170)</f>
        <v>1</v>
      </c>
      <c r="I170" t="str">
        <f t="shared" si="11"/>
        <v>OK</v>
      </c>
      <c r="J170" t="str">
        <f>Base_Itens!E147</f>
        <v>2012-Q3-2</v>
      </c>
      <c r="K170" t="str">
        <f>Base_Itens!G147</f>
        <v>02 — Balanço de Pagamentos</v>
      </c>
      <c r="L170">
        <f>COUNTIFS(Base_Itens!$E$5:$E$1504,J170,Base_Itens!$G$5:$G$1504,K170)</f>
        <v>1</v>
      </c>
    </row>
    <row r="171" spans="1:12">
      <c r="A171" t="s">
        <v>2312</v>
      </c>
      <c r="B171">
        <v>2012</v>
      </c>
      <c r="C171" t="s">
        <v>82</v>
      </c>
      <c r="D171">
        <v>1</v>
      </c>
      <c r="E171">
        <v>1</v>
      </c>
      <c r="F171">
        <f>SUMIF(Base_Itens!$E$5:$E$1504,A171,Base_Itens!$I$5:$I$1504)</f>
        <v>1</v>
      </c>
      <c r="G171">
        <f t="shared" si="12"/>
        <v>0</v>
      </c>
      <c r="H171">
        <f>COUNTIF(Base_Itens!$E$5:$E$1504,A171)</f>
        <v>1</v>
      </c>
      <c r="I171" t="str">
        <f t="shared" si="11"/>
        <v>OK</v>
      </c>
      <c r="J171" t="str">
        <f>Base_Itens!E148</f>
        <v>2012-Q3-3</v>
      </c>
      <c r="K171" t="str">
        <f>Base_Itens!G148</f>
        <v>01 — Contas Nacionais</v>
      </c>
      <c r="L171">
        <f>COUNTIFS(Base_Itens!$E$5:$E$1504,J171,Base_Itens!$G$5:$G$1504,K171)</f>
        <v>1</v>
      </c>
    </row>
    <row r="172" spans="1:12">
      <c r="A172" t="s">
        <v>2313</v>
      </c>
      <c r="B172">
        <v>2012</v>
      </c>
      <c r="C172" t="s">
        <v>82</v>
      </c>
      <c r="D172">
        <v>1</v>
      </c>
      <c r="E172">
        <v>1</v>
      </c>
      <c r="F172">
        <f>SUMIF(Base_Itens!$E$5:$E$1504,A172,Base_Itens!$I$5:$I$1504)</f>
        <v>1</v>
      </c>
      <c r="G172">
        <f t="shared" si="12"/>
        <v>0</v>
      </c>
      <c r="H172">
        <f>COUNTIF(Base_Itens!$E$5:$E$1504,A172)</f>
        <v>1</v>
      </c>
      <c r="I172" t="str">
        <f t="shared" si="11"/>
        <v>OK</v>
      </c>
      <c r="J172" t="str">
        <f>Base_Itens!E149</f>
        <v>2012-Q3-3</v>
      </c>
      <c r="K172" t="str">
        <f>Base_Itens!G149</f>
        <v>02 — Balanço de Pagamentos</v>
      </c>
      <c r="L172">
        <f>COUNTIFS(Base_Itens!$E$5:$E$1504,J172,Base_Itens!$G$5:$G$1504,K172)</f>
        <v>1</v>
      </c>
    </row>
    <row r="173" spans="1:12">
      <c r="A173" t="s">
        <v>2314</v>
      </c>
      <c r="B173">
        <v>2012</v>
      </c>
      <c r="C173" t="s">
        <v>82</v>
      </c>
      <c r="D173">
        <v>1</v>
      </c>
      <c r="E173">
        <v>1</v>
      </c>
      <c r="F173">
        <f>SUMIF(Base_Itens!$E$5:$E$1504,A173,Base_Itens!$I$5:$I$1504)</f>
        <v>1</v>
      </c>
      <c r="G173">
        <f t="shared" si="12"/>
        <v>0</v>
      </c>
      <c r="H173">
        <f>COUNTIF(Base_Itens!$E$5:$E$1504,A173)</f>
        <v>1</v>
      </c>
      <c r="I173" t="str">
        <f t="shared" si="11"/>
        <v>OK</v>
      </c>
      <c r="J173" t="str">
        <f>Base_Itens!E150</f>
        <v>2012-Q3-4</v>
      </c>
      <c r="K173" t="str">
        <f>Base_Itens!G150</f>
        <v>01 — Contas Nacionais</v>
      </c>
      <c r="L173">
        <f>COUNTIFS(Base_Itens!$E$5:$E$1504,J173,Base_Itens!$G$5:$G$1504,K173)</f>
        <v>1</v>
      </c>
    </row>
    <row r="174" spans="1:12">
      <c r="A174" t="s">
        <v>2315</v>
      </c>
      <c r="B174">
        <v>2012</v>
      </c>
      <c r="C174" t="s">
        <v>82</v>
      </c>
      <c r="D174">
        <v>1</v>
      </c>
      <c r="E174">
        <v>1</v>
      </c>
      <c r="F174">
        <f>SUMIF(Base_Itens!$E$5:$E$1504,A174,Base_Itens!$I$5:$I$1504)</f>
        <v>1</v>
      </c>
      <c r="G174">
        <f t="shared" si="12"/>
        <v>0</v>
      </c>
      <c r="H174">
        <f>COUNTIF(Base_Itens!$E$5:$E$1504,A174)</f>
        <v>1</v>
      </c>
      <c r="I174" t="str">
        <f t="shared" si="11"/>
        <v>OK</v>
      </c>
      <c r="J174" t="str">
        <f>Base_Itens!E151</f>
        <v>2012-Q3-4</v>
      </c>
      <c r="K174" t="str">
        <f>Base_Itens!G151</f>
        <v>02 — Balanço de Pagamentos</v>
      </c>
      <c r="L174">
        <f>COUNTIFS(Base_Itens!$E$5:$E$1504,J174,Base_Itens!$G$5:$G$1504,K174)</f>
        <v>1</v>
      </c>
    </row>
    <row r="175" spans="1:12">
      <c r="A175" t="s">
        <v>2316</v>
      </c>
      <c r="B175">
        <v>2012</v>
      </c>
      <c r="C175" t="s">
        <v>82</v>
      </c>
      <c r="D175">
        <v>1</v>
      </c>
      <c r="E175">
        <v>1</v>
      </c>
      <c r="F175">
        <f>SUMIF(Base_Itens!$E$5:$E$1504,A175,Base_Itens!$I$5:$I$1504)</f>
        <v>1</v>
      </c>
      <c r="G175">
        <f t="shared" si="12"/>
        <v>0</v>
      </c>
      <c r="H175">
        <f>COUNTIF(Base_Itens!$E$5:$E$1504,A175)</f>
        <v>1</v>
      </c>
      <c r="I175" t="str">
        <f t="shared" si="11"/>
        <v>OK</v>
      </c>
      <c r="J175" t="str">
        <f>Base_Itens!E152</f>
        <v>2012-Q4-0</v>
      </c>
      <c r="K175" t="str">
        <f>Base_Itens!G152</f>
        <v>03 — Sistema Monetário</v>
      </c>
      <c r="L175">
        <f>COUNTIFS(Base_Itens!$E$5:$E$1504,J175,Base_Itens!$G$5:$G$1504,K175)</f>
        <v>1</v>
      </c>
    </row>
    <row r="176" spans="1:12">
      <c r="A176" t="s">
        <v>2317</v>
      </c>
      <c r="B176">
        <v>2012</v>
      </c>
      <c r="C176" t="s">
        <v>82</v>
      </c>
      <c r="D176">
        <v>1</v>
      </c>
      <c r="E176">
        <v>1</v>
      </c>
      <c r="F176">
        <f>SUMIF(Base_Itens!$E$5:$E$1504,A176,Base_Itens!$I$5:$I$1504)</f>
        <v>1</v>
      </c>
      <c r="G176">
        <f t="shared" si="12"/>
        <v>0</v>
      </c>
      <c r="H176">
        <f>COUNTIF(Base_Itens!$E$5:$E$1504,A176)</f>
        <v>1</v>
      </c>
      <c r="I176" t="str">
        <f t="shared" si="11"/>
        <v>OK</v>
      </c>
      <c r="J176" t="str">
        <f>Base_Itens!E153</f>
        <v>2012-Q4-1</v>
      </c>
      <c r="K176" t="str">
        <f>Base_Itens!G153</f>
        <v>03 — Sistema Monetário</v>
      </c>
      <c r="L176">
        <f>COUNTIFS(Base_Itens!$E$5:$E$1504,J176,Base_Itens!$G$5:$G$1504,K176)</f>
        <v>1</v>
      </c>
    </row>
    <row r="177" spans="1:12">
      <c r="A177" t="s">
        <v>2318</v>
      </c>
      <c r="B177">
        <v>2012</v>
      </c>
      <c r="C177" t="s">
        <v>82</v>
      </c>
      <c r="D177">
        <v>1</v>
      </c>
      <c r="E177">
        <v>1</v>
      </c>
      <c r="F177">
        <f>SUMIF(Base_Itens!$E$5:$E$1504,A177,Base_Itens!$I$5:$I$1504)</f>
        <v>1</v>
      </c>
      <c r="G177">
        <f t="shared" si="12"/>
        <v>0</v>
      </c>
      <c r="H177">
        <f>COUNTIF(Base_Itens!$E$5:$E$1504,A177)</f>
        <v>1</v>
      </c>
      <c r="I177" t="str">
        <f t="shared" si="11"/>
        <v>OK</v>
      </c>
      <c r="J177" t="str">
        <f>Base_Itens!E154</f>
        <v>2012-Q4-2</v>
      </c>
      <c r="K177" t="str">
        <f>Base_Itens!G154</f>
        <v>03 — Sistema Monetário</v>
      </c>
      <c r="L177">
        <f>COUNTIFS(Base_Itens!$E$5:$E$1504,J177,Base_Itens!$G$5:$G$1504,K177)</f>
        <v>1</v>
      </c>
    </row>
    <row r="178" spans="1:12">
      <c r="A178" t="s">
        <v>2319</v>
      </c>
      <c r="B178">
        <v>2012</v>
      </c>
      <c r="C178" t="s">
        <v>82</v>
      </c>
      <c r="D178">
        <v>1</v>
      </c>
      <c r="E178">
        <v>1</v>
      </c>
      <c r="F178">
        <f>SUMIF(Base_Itens!$E$5:$E$1504,A178,Base_Itens!$I$5:$I$1504)</f>
        <v>1</v>
      </c>
      <c r="G178">
        <f t="shared" si="12"/>
        <v>0</v>
      </c>
      <c r="H178">
        <f>COUNTIF(Base_Itens!$E$5:$E$1504,A178)</f>
        <v>1</v>
      </c>
      <c r="I178" t="str">
        <f t="shared" si="11"/>
        <v>OK</v>
      </c>
      <c r="J178" t="str">
        <f>Base_Itens!E155</f>
        <v>2012-Q4-3</v>
      </c>
      <c r="K178" t="str">
        <f>Base_Itens!G155</f>
        <v>03 — Sistema Monetário</v>
      </c>
      <c r="L178">
        <f>COUNTIFS(Base_Itens!$E$5:$E$1504,J178,Base_Itens!$G$5:$G$1504,K178)</f>
        <v>1</v>
      </c>
    </row>
    <row r="179" spans="1:12">
      <c r="A179" t="s">
        <v>2320</v>
      </c>
      <c r="B179">
        <v>2012</v>
      </c>
      <c r="C179" t="s">
        <v>82</v>
      </c>
      <c r="D179">
        <v>1</v>
      </c>
      <c r="E179">
        <v>1</v>
      </c>
      <c r="F179">
        <f>SUMIF(Base_Itens!$E$5:$E$1504,A179,Base_Itens!$I$5:$I$1504)</f>
        <v>1</v>
      </c>
      <c r="G179">
        <f t="shared" si="12"/>
        <v>0</v>
      </c>
      <c r="H179">
        <f>COUNTIF(Base_Itens!$E$5:$E$1504,A179)</f>
        <v>1</v>
      </c>
      <c r="I179" t="str">
        <f t="shared" si="11"/>
        <v>OK</v>
      </c>
      <c r="J179" t="str">
        <f>Base_Itens!E156</f>
        <v>2012-Q4-4</v>
      </c>
      <c r="K179" t="str">
        <f>Base_Itens!G156</f>
        <v>03 — Sistema Monetário</v>
      </c>
      <c r="L179">
        <f>COUNTIFS(Base_Itens!$E$5:$E$1504,J179,Base_Itens!$G$5:$G$1504,K179)</f>
        <v>1</v>
      </c>
    </row>
    <row r="180" spans="1:12">
      <c r="A180" t="s">
        <v>2321</v>
      </c>
      <c r="B180">
        <v>2012</v>
      </c>
      <c r="C180" t="s">
        <v>82</v>
      </c>
      <c r="D180">
        <v>1</v>
      </c>
      <c r="E180">
        <v>1</v>
      </c>
      <c r="F180">
        <f>SUMIF(Base_Itens!$E$5:$E$1504,A180,Base_Itens!$I$5:$I$1504)</f>
        <v>1</v>
      </c>
      <c r="G180">
        <f t="shared" si="12"/>
        <v>0</v>
      </c>
      <c r="H180">
        <f>COUNTIF(Base_Itens!$E$5:$E$1504,A180)</f>
        <v>1</v>
      </c>
      <c r="I180" t="str">
        <f t="shared" si="11"/>
        <v>OK</v>
      </c>
      <c r="J180" t="str">
        <f>Base_Itens!E157</f>
        <v>2012-Q5-0</v>
      </c>
      <c r="K180" t="str">
        <f>Base_Itens!G157</f>
        <v>03 — Sistema Monetário</v>
      </c>
      <c r="L180">
        <f>COUNTIFS(Base_Itens!$E$5:$E$1504,J180,Base_Itens!$G$5:$G$1504,K180)</f>
        <v>1</v>
      </c>
    </row>
    <row r="181" spans="1:12">
      <c r="A181" t="s">
        <v>2322</v>
      </c>
      <c r="B181">
        <v>2012</v>
      </c>
      <c r="C181" t="s">
        <v>82</v>
      </c>
      <c r="D181">
        <v>1</v>
      </c>
      <c r="E181">
        <v>1</v>
      </c>
      <c r="F181">
        <f>SUMIF(Base_Itens!$E$5:$E$1504,A181,Base_Itens!$I$5:$I$1504)</f>
        <v>1</v>
      </c>
      <c r="G181">
        <f t="shared" si="12"/>
        <v>0</v>
      </c>
      <c r="H181">
        <f>COUNTIF(Base_Itens!$E$5:$E$1504,A181)</f>
        <v>1</v>
      </c>
      <c r="I181" t="str">
        <f t="shared" si="11"/>
        <v>OK</v>
      </c>
      <c r="J181" t="str">
        <f>Base_Itens!E158</f>
        <v>2012-Q5-1</v>
      </c>
      <c r="K181" t="str">
        <f>Base_Itens!G158</f>
        <v>08 — Curva de Phillips</v>
      </c>
      <c r="L181">
        <f>COUNTIFS(Base_Itens!$E$5:$E$1504,J181,Base_Itens!$G$5:$G$1504,K181)</f>
        <v>1</v>
      </c>
    </row>
    <row r="182" spans="1:12">
      <c r="A182" t="s">
        <v>2323</v>
      </c>
      <c r="B182">
        <v>2012</v>
      </c>
      <c r="C182" t="s">
        <v>82</v>
      </c>
      <c r="D182">
        <v>1</v>
      </c>
      <c r="E182">
        <v>1</v>
      </c>
      <c r="F182">
        <f>SUMIF(Base_Itens!$E$5:$E$1504,A182,Base_Itens!$I$5:$I$1504)</f>
        <v>1</v>
      </c>
      <c r="G182">
        <f t="shared" si="12"/>
        <v>0</v>
      </c>
      <c r="H182">
        <f>COUNTIF(Base_Itens!$E$5:$E$1504,A182)</f>
        <v>1</v>
      </c>
      <c r="I182" t="str">
        <f t="shared" si="11"/>
        <v>OK</v>
      </c>
      <c r="J182" t="str">
        <f>Base_Itens!E159</f>
        <v>2012-Q5-2</v>
      </c>
      <c r="K182" t="str">
        <f>Base_Itens!G159</f>
        <v>03 — Sistema Monetário</v>
      </c>
      <c r="L182">
        <f>COUNTIFS(Base_Itens!$E$5:$E$1504,J182,Base_Itens!$G$5:$G$1504,K182)</f>
        <v>1</v>
      </c>
    </row>
    <row r="183" spans="1:12">
      <c r="A183" t="s">
        <v>2324</v>
      </c>
      <c r="B183">
        <v>2012</v>
      </c>
      <c r="C183" t="s">
        <v>82</v>
      </c>
      <c r="D183">
        <v>1</v>
      </c>
      <c r="E183">
        <v>1</v>
      </c>
      <c r="F183">
        <f>SUMIF(Base_Itens!$E$5:$E$1504,A183,Base_Itens!$I$5:$I$1504)</f>
        <v>1</v>
      </c>
      <c r="G183">
        <f t="shared" si="12"/>
        <v>0</v>
      </c>
      <c r="H183">
        <f>COUNTIF(Base_Itens!$E$5:$E$1504,A183)</f>
        <v>1</v>
      </c>
      <c r="I183" t="str">
        <f t="shared" si="11"/>
        <v>OK</v>
      </c>
      <c r="J183" t="str">
        <f>Base_Itens!E160</f>
        <v>2012-Q5-3</v>
      </c>
      <c r="K183" t="str">
        <f>Base_Itens!G160</f>
        <v>14 — Dívida Pública e Senhoriagem</v>
      </c>
      <c r="L183">
        <f>COUNTIFS(Base_Itens!$E$5:$E$1504,J183,Base_Itens!$G$5:$G$1504,K183)</f>
        <v>1</v>
      </c>
    </row>
    <row r="184" spans="1:12">
      <c r="A184" t="s">
        <v>2325</v>
      </c>
      <c r="B184">
        <v>2012</v>
      </c>
      <c r="C184" t="s">
        <v>82</v>
      </c>
      <c r="D184">
        <v>1</v>
      </c>
      <c r="E184">
        <v>1</v>
      </c>
      <c r="F184">
        <f>SUMIF(Base_Itens!$E$5:$E$1504,A184,Base_Itens!$I$5:$I$1504)</f>
        <v>1</v>
      </c>
      <c r="G184">
        <f t="shared" si="12"/>
        <v>0</v>
      </c>
      <c r="H184">
        <f>COUNTIF(Base_Itens!$E$5:$E$1504,A184)</f>
        <v>1</v>
      </c>
      <c r="I184" t="str">
        <f t="shared" si="11"/>
        <v>OK</v>
      </c>
      <c r="J184" t="str">
        <f>Base_Itens!E161</f>
        <v>2012-Q5-4</v>
      </c>
      <c r="K184" t="str">
        <f>Base_Itens!G161</f>
        <v>03 — Sistema Monetário</v>
      </c>
      <c r="L184">
        <f>COUNTIFS(Base_Itens!$E$5:$E$1504,J184,Base_Itens!$G$5:$G$1504,K184)</f>
        <v>1</v>
      </c>
    </row>
    <row r="185" spans="1:12">
      <c r="A185" t="s">
        <v>2326</v>
      </c>
      <c r="B185">
        <v>2012</v>
      </c>
      <c r="C185" t="s">
        <v>82</v>
      </c>
      <c r="D185">
        <v>1</v>
      </c>
      <c r="E185">
        <v>1</v>
      </c>
      <c r="F185">
        <f>SUMIF(Base_Itens!$E$5:$E$1504,A185,Base_Itens!$I$5:$I$1504)</f>
        <v>1</v>
      </c>
      <c r="G185">
        <f t="shared" si="12"/>
        <v>0</v>
      </c>
      <c r="H185">
        <f>COUNTIF(Base_Itens!$E$5:$E$1504,A185)</f>
        <v>1</v>
      </c>
      <c r="I185" t="str">
        <f t="shared" si="11"/>
        <v>OK</v>
      </c>
      <c r="J185" t="str">
        <f>Base_Itens!E162</f>
        <v>2012-Q6-0</v>
      </c>
      <c r="K185" t="str">
        <f>Base_Itens!G162</f>
        <v>06 — IS-LM-BP</v>
      </c>
      <c r="L185">
        <f>COUNTIFS(Base_Itens!$E$5:$E$1504,J185,Base_Itens!$G$5:$G$1504,K185)</f>
        <v>1</v>
      </c>
    </row>
    <row r="186" spans="1:12">
      <c r="A186" t="s">
        <v>2327</v>
      </c>
      <c r="B186">
        <v>2012</v>
      </c>
      <c r="C186" t="s">
        <v>82</v>
      </c>
      <c r="D186">
        <v>1</v>
      </c>
      <c r="E186">
        <v>1</v>
      </c>
      <c r="F186">
        <f>SUMIF(Base_Itens!$E$5:$E$1504,A186,Base_Itens!$I$5:$I$1504)</f>
        <v>1</v>
      </c>
      <c r="G186">
        <f t="shared" si="12"/>
        <v>0</v>
      </c>
      <c r="H186">
        <f>COUNTIF(Base_Itens!$E$5:$E$1504,A186)</f>
        <v>1</v>
      </c>
      <c r="I186" t="str">
        <f t="shared" si="11"/>
        <v>OK</v>
      </c>
      <c r="J186" t="str">
        <f>Base_Itens!E163</f>
        <v>2012-Q6-1</v>
      </c>
      <c r="K186" t="str">
        <f>Base_Itens!G163</f>
        <v>06 — IS-LM-BP</v>
      </c>
      <c r="L186">
        <f>COUNTIFS(Base_Itens!$E$5:$E$1504,J186,Base_Itens!$G$5:$G$1504,K186)</f>
        <v>1</v>
      </c>
    </row>
    <row r="187" spans="1:12">
      <c r="A187" t="s">
        <v>2328</v>
      </c>
      <c r="B187">
        <v>2012</v>
      </c>
      <c r="C187" t="s">
        <v>82</v>
      </c>
      <c r="D187">
        <v>1</v>
      </c>
      <c r="E187">
        <v>1</v>
      </c>
      <c r="F187">
        <f>SUMIF(Base_Itens!$E$5:$E$1504,A187,Base_Itens!$I$5:$I$1504)</f>
        <v>1</v>
      </c>
      <c r="G187">
        <f t="shared" si="12"/>
        <v>0</v>
      </c>
      <c r="H187">
        <f>COUNTIF(Base_Itens!$E$5:$E$1504,A187)</f>
        <v>1</v>
      </c>
      <c r="I187" t="str">
        <f t="shared" si="11"/>
        <v>OK</v>
      </c>
      <c r="J187" t="str">
        <f>Base_Itens!E164</f>
        <v>2012-Q6-2</v>
      </c>
      <c r="K187" t="str">
        <f>Base_Itens!G164</f>
        <v>06 — IS-LM-BP</v>
      </c>
      <c r="L187">
        <f>COUNTIFS(Base_Itens!$E$5:$E$1504,J187,Base_Itens!$G$5:$G$1504,K187)</f>
        <v>1</v>
      </c>
    </row>
    <row r="188" spans="1:12">
      <c r="A188" t="s">
        <v>2329</v>
      </c>
      <c r="B188">
        <v>2012</v>
      </c>
      <c r="C188" t="s">
        <v>82</v>
      </c>
      <c r="D188">
        <v>1</v>
      </c>
      <c r="E188">
        <v>1</v>
      </c>
      <c r="F188">
        <f>SUMIF(Base_Itens!$E$5:$E$1504,A188,Base_Itens!$I$5:$I$1504)</f>
        <v>1</v>
      </c>
      <c r="G188">
        <f t="shared" si="12"/>
        <v>0</v>
      </c>
      <c r="H188">
        <f>COUNTIF(Base_Itens!$E$5:$E$1504,A188)</f>
        <v>1</v>
      </c>
      <c r="I188" t="str">
        <f t="shared" si="11"/>
        <v>OK</v>
      </c>
      <c r="J188" t="str">
        <f>Base_Itens!E165</f>
        <v>2012-Q6-3</v>
      </c>
      <c r="K188" t="str">
        <f>Base_Itens!G165</f>
        <v>06 — IS-LM-BP</v>
      </c>
      <c r="L188">
        <f>COUNTIFS(Base_Itens!$E$5:$E$1504,J188,Base_Itens!$G$5:$G$1504,K188)</f>
        <v>1</v>
      </c>
    </row>
    <row r="189" spans="1:12">
      <c r="A189" t="s">
        <v>2330</v>
      </c>
      <c r="B189">
        <v>2012</v>
      </c>
      <c r="C189" t="s">
        <v>82</v>
      </c>
      <c r="D189">
        <v>1</v>
      </c>
      <c r="E189">
        <v>1</v>
      </c>
      <c r="F189">
        <f>SUMIF(Base_Itens!$E$5:$E$1504,A189,Base_Itens!$I$5:$I$1504)</f>
        <v>1</v>
      </c>
      <c r="G189">
        <f t="shared" si="12"/>
        <v>0</v>
      </c>
      <c r="H189">
        <f>COUNTIF(Base_Itens!$E$5:$E$1504,A189)</f>
        <v>1</v>
      </c>
      <c r="I189" t="str">
        <f t="shared" si="11"/>
        <v>OK</v>
      </c>
      <c r="J189" t="str">
        <f>Base_Itens!E166</f>
        <v>2012-Q6-4</v>
      </c>
      <c r="K189" t="str">
        <f>Base_Itens!G166</f>
        <v>06 — IS-LM-BP</v>
      </c>
      <c r="L189">
        <f>COUNTIFS(Base_Itens!$E$5:$E$1504,J189,Base_Itens!$G$5:$G$1504,K189)</f>
        <v>1</v>
      </c>
    </row>
    <row r="190" spans="1:12">
      <c r="A190" t="s">
        <v>2331</v>
      </c>
      <c r="B190">
        <v>2012</v>
      </c>
      <c r="C190" t="s">
        <v>82</v>
      </c>
      <c r="D190">
        <v>1</v>
      </c>
      <c r="E190">
        <v>1</v>
      </c>
      <c r="F190">
        <f>SUMIF(Base_Itens!$E$5:$E$1504,A190,Base_Itens!$I$5:$I$1504)</f>
        <v>1</v>
      </c>
      <c r="G190">
        <f t="shared" si="12"/>
        <v>0</v>
      </c>
      <c r="H190">
        <f>COUNTIF(Base_Itens!$E$5:$E$1504,A190)</f>
        <v>1</v>
      </c>
      <c r="I190" t="str">
        <f t="shared" si="11"/>
        <v>OK</v>
      </c>
      <c r="J190" t="str">
        <f>Base_Itens!E167</f>
        <v>2012-Q7-0</v>
      </c>
      <c r="K190" t="str">
        <f>Base_Itens!G167</f>
        <v>05 — IS-LM</v>
      </c>
      <c r="L190">
        <f>COUNTIFS(Base_Itens!$E$5:$E$1504,J190,Base_Itens!$G$5:$G$1504,K190)</f>
        <v>1</v>
      </c>
    </row>
    <row r="191" spans="1:12">
      <c r="A191" t="s">
        <v>2332</v>
      </c>
      <c r="B191">
        <v>2012</v>
      </c>
      <c r="C191" t="s">
        <v>82</v>
      </c>
      <c r="D191">
        <v>1</v>
      </c>
      <c r="E191">
        <v>1</v>
      </c>
      <c r="F191">
        <f>SUMIF(Base_Itens!$E$5:$E$1504,A191,Base_Itens!$I$5:$I$1504)</f>
        <v>1</v>
      </c>
      <c r="G191">
        <f t="shared" si="12"/>
        <v>0</v>
      </c>
      <c r="H191">
        <f>COUNTIF(Base_Itens!$E$5:$E$1504,A191)</f>
        <v>1</v>
      </c>
      <c r="I191" t="str">
        <f t="shared" si="11"/>
        <v>OK</v>
      </c>
      <c r="J191" t="str">
        <f>Base_Itens!E168</f>
        <v>2012-Q7-1</v>
      </c>
      <c r="K191" t="str">
        <f>Base_Itens!G168</f>
        <v>05 — IS-LM</v>
      </c>
      <c r="L191">
        <f>COUNTIFS(Base_Itens!$E$5:$E$1504,J191,Base_Itens!$G$5:$G$1504,K191)</f>
        <v>1</v>
      </c>
    </row>
    <row r="192" spans="1:12">
      <c r="A192" t="s">
        <v>2333</v>
      </c>
      <c r="B192">
        <v>2012</v>
      </c>
      <c r="C192" t="s">
        <v>82</v>
      </c>
      <c r="D192">
        <v>1</v>
      </c>
      <c r="E192">
        <v>1</v>
      </c>
      <c r="F192">
        <f>SUMIF(Base_Itens!$E$5:$E$1504,A192,Base_Itens!$I$5:$I$1504)</f>
        <v>1</v>
      </c>
      <c r="G192">
        <f t="shared" si="12"/>
        <v>0</v>
      </c>
      <c r="H192">
        <f>COUNTIF(Base_Itens!$E$5:$E$1504,A192)</f>
        <v>1</v>
      </c>
      <c r="I192" t="str">
        <f t="shared" si="11"/>
        <v>OK</v>
      </c>
      <c r="J192" t="str">
        <f>Base_Itens!E169</f>
        <v>2012-Q7-2</v>
      </c>
      <c r="K192" t="str">
        <f>Base_Itens!G169</f>
        <v>05 — IS-LM</v>
      </c>
      <c r="L192">
        <f>COUNTIFS(Base_Itens!$E$5:$E$1504,J192,Base_Itens!$G$5:$G$1504,K192)</f>
        <v>1</v>
      </c>
    </row>
    <row r="193" spans="1:12">
      <c r="A193" t="s">
        <v>2334</v>
      </c>
      <c r="B193">
        <v>2012</v>
      </c>
      <c r="C193" t="s">
        <v>82</v>
      </c>
      <c r="D193">
        <v>1</v>
      </c>
      <c r="E193">
        <v>1</v>
      </c>
      <c r="F193">
        <f>SUMIF(Base_Itens!$E$5:$E$1504,A193,Base_Itens!$I$5:$I$1504)</f>
        <v>1</v>
      </c>
      <c r="G193">
        <f t="shared" si="12"/>
        <v>0</v>
      </c>
      <c r="H193">
        <f>COUNTIF(Base_Itens!$E$5:$E$1504,A193)</f>
        <v>1</v>
      </c>
      <c r="I193" t="str">
        <f t="shared" si="11"/>
        <v>OK</v>
      </c>
      <c r="J193" t="str">
        <f>Base_Itens!E170</f>
        <v>2012-Q7-3</v>
      </c>
      <c r="K193" t="str">
        <f>Base_Itens!G170</f>
        <v>05 — IS-LM</v>
      </c>
      <c r="L193">
        <f>COUNTIFS(Base_Itens!$E$5:$E$1504,J193,Base_Itens!$G$5:$G$1504,K193)</f>
        <v>1</v>
      </c>
    </row>
    <row r="194" spans="1:12">
      <c r="A194" t="s">
        <v>2335</v>
      </c>
      <c r="B194">
        <v>2012</v>
      </c>
      <c r="C194" t="s">
        <v>82</v>
      </c>
      <c r="D194">
        <v>1</v>
      </c>
      <c r="E194">
        <v>1</v>
      </c>
      <c r="F194">
        <f>SUMIF(Base_Itens!$E$5:$E$1504,A194,Base_Itens!$I$5:$I$1504)</f>
        <v>1</v>
      </c>
      <c r="G194">
        <f t="shared" si="12"/>
        <v>0</v>
      </c>
      <c r="H194">
        <f>COUNTIF(Base_Itens!$E$5:$E$1504,A194)</f>
        <v>1</v>
      </c>
      <c r="I194" t="str">
        <f t="shared" si="11"/>
        <v>OK</v>
      </c>
      <c r="J194" t="str">
        <f>Base_Itens!E171</f>
        <v>2012-Q7-4</v>
      </c>
      <c r="K194" t="str">
        <f>Base_Itens!G171</f>
        <v>05 — IS-LM</v>
      </c>
      <c r="L194">
        <f>COUNTIFS(Base_Itens!$E$5:$E$1504,J194,Base_Itens!$G$5:$G$1504,K194)</f>
        <v>1</v>
      </c>
    </row>
    <row r="195" spans="1:12">
      <c r="A195" t="s">
        <v>2336</v>
      </c>
      <c r="B195">
        <v>2012</v>
      </c>
      <c r="C195" t="s">
        <v>82</v>
      </c>
      <c r="D195">
        <v>1</v>
      </c>
      <c r="E195">
        <v>1</v>
      </c>
      <c r="F195">
        <f>SUMIF(Base_Itens!$E$5:$E$1504,A195,Base_Itens!$I$5:$I$1504)</f>
        <v>1</v>
      </c>
      <c r="G195">
        <f t="shared" si="12"/>
        <v>0</v>
      </c>
      <c r="H195">
        <f>COUNTIF(Base_Itens!$E$5:$E$1504,A195)</f>
        <v>1</v>
      </c>
      <c r="I195" t="str">
        <f t="shared" si="11"/>
        <v>OK</v>
      </c>
      <c r="J195" t="str">
        <f>Base_Itens!E172</f>
        <v>2012-Q8-0</v>
      </c>
      <c r="K195" t="str">
        <f>Base_Itens!G172</f>
        <v>07b — OA-DA</v>
      </c>
      <c r="L195">
        <f>COUNTIFS(Base_Itens!$E$5:$E$1504,J195,Base_Itens!$G$5:$G$1504,K195)</f>
        <v>1</v>
      </c>
    </row>
    <row r="196" spans="1:12">
      <c r="A196" t="s">
        <v>2337</v>
      </c>
      <c r="B196">
        <v>2012</v>
      </c>
      <c r="C196" t="s">
        <v>82</v>
      </c>
      <c r="D196">
        <v>1</v>
      </c>
      <c r="E196">
        <v>1</v>
      </c>
      <c r="F196">
        <f>SUMIF(Base_Itens!$E$5:$E$1504,A196,Base_Itens!$I$5:$I$1504)</f>
        <v>1</v>
      </c>
      <c r="G196">
        <f t="shared" si="12"/>
        <v>0</v>
      </c>
      <c r="H196">
        <f>COUNTIF(Base_Itens!$E$5:$E$1504,A196)</f>
        <v>1</v>
      </c>
      <c r="I196" t="str">
        <f t="shared" si="11"/>
        <v>OK</v>
      </c>
      <c r="J196" t="str">
        <f>Base_Itens!E173</f>
        <v>2012-Q8-1</v>
      </c>
      <c r="K196" t="str">
        <f>Base_Itens!G173</f>
        <v>09 — Expectativas, Novos Clássicos e Novos Keynesianos</v>
      </c>
      <c r="L196">
        <f>COUNTIFS(Base_Itens!$E$5:$E$1504,J196,Base_Itens!$G$5:$G$1504,K196)</f>
        <v>1</v>
      </c>
    </row>
    <row r="197" spans="1:12">
      <c r="A197" t="s">
        <v>2338</v>
      </c>
      <c r="B197">
        <v>2012</v>
      </c>
      <c r="C197" t="s">
        <v>82</v>
      </c>
      <c r="D197">
        <v>1</v>
      </c>
      <c r="E197">
        <v>1</v>
      </c>
      <c r="F197">
        <f>SUMIF(Base_Itens!$E$5:$E$1504,A197,Base_Itens!$I$5:$I$1504)</f>
        <v>1</v>
      </c>
      <c r="G197">
        <f t="shared" si="12"/>
        <v>0</v>
      </c>
      <c r="H197">
        <f>COUNTIF(Base_Itens!$E$5:$E$1504,A197)</f>
        <v>1</v>
      </c>
      <c r="I197" t="str">
        <f t="shared" si="11"/>
        <v>OK</v>
      </c>
      <c r="J197" t="str">
        <f>Base_Itens!E174</f>
        <v>2012-Q8-2</v>
      </c>
      <c r="K197" t="str">
        <f>Base_Itens!G174</f>
        <v>09 — Expectativas, Novos Clássicos e Novos Keynesianos</v>
      </c>
      <c r="L197">
        <f>COUNTIFS(Base_Itens!$E$5:$E$1504,J197,Base_Itens!$G$5:$G$1504,K197)</f>
        <v>1</v>
      </c>
    </row>
    <row r="198" spans="1:12">
      <c r="A198" t="s">
        <v>2339</v>
      </c>
      <c r="B198">
        <v>2012</v>
      </c>
      <c r="C198" t="s">
        <v>82</v>
      </c>
      <c r="D198">
        <v>1</v>
      </c>
      <c r="E198">
        <v>1</v>
      </c>
      <c r="F198">
        <f>SUMIF(Base_Itens!$E$5:$E$1504,A198,Base_Itens!$I$5:$I$1504)</f>
        <v>1</v>
      </c>
      <c r="G198">
        <f t="shared" si="12"/>
        <v>0</v>
      </c>
      <c r="H198">
        <f>COUNTIF(Base_Itens!$E$5:$E$1504,A198)</f>
        <v>1</v>
      </c>
      <c r="I198" t="str">
        <f t="shared" ref="I198:I261" si="13">IF(AND(G198=0,H198=E198),"OK","REVER")</f>
        <v>OK</v>
      </c>
      <c r="J198" t="str">
        <f>Base_Itens!E175</f>
        <v>2012-Q8-3</v>
      </c>
      <c r="K198" t="str">
        <f>Base_Itens!G175</f>
        <v>09 — Expectativas, Novos Clássicos e Novos Keynesianos</v>
      </c>
      <c r="L198">
        <f>COUNTIFS(Base_Itens!$E$5:$E$1504,J198,Base_Itens!$G$5:$G$1504,K198)</f>
        <v>1</v>
      </c>
    </row>
    <row r="199" spans="1:12">
      <c r="A199" t="s">
        <v>2340</v>
      </c>
      <c r="B199">
        <v>2012</v>
      </c>
      <c r="C199" t="s">
        <v>82</v>
      </c>
      <c r="D199">
        <v>1</v>
      </c>
      <c r="E199">
        <v>1</v>
      </c>
      <c r="F199">
        <f>SUMIF(Base_Itens!$E$5:$E$1504,A199,Base_Itens!$I$5:$I$1504)</f>
        <v>1</v>
      </c>
      <c r="G199">
        <f t="shared" si="12"/>
        <v>0</v>
      </c>
      <c r="H199">
        <f>COUNTIF(Base_Itens!$E$5:$E$1504,A199)</f>
        <v>1</v>
      </c>
      <c r="I199" t="str">
        <f t="shared" si="13"/>
        <v>OK</v>
      </c>
      <c r="J199" t="str">
        <f>Base_Itens!E176</f>
        <v>2012-Q8-4</v>
      </c>
      <c r="K199" t="str">
        <f>Base_Itens!G176</f>
        <v>09 — Expectativas, Novos Clássicos e Novos Keynesianos</v>
      </c>
      <c r="L199">
        <f>COUNTIFS(Base_Itens!$E$5:$E$1504,J199,Base_Itens!$G$5:$G$1504,K199)</f>
        <v>1</v>
      </c>
    </row>
    <row r="200" spans="1:12">
      <c r="A200" t="s">
        <v>2341</v>
      </c>
      <c r="B200">
        <v>2012</v>
      </c>
      <c r="C200" t="s">
        <v>82</v>
      </c>
      <c r="D200">
        <v>1</v>
      </c>
      <c r="E200">
        <v>1</v>
      </c>
      <c r="F200">
        <f>SUMIF(Base_Itens!$E$5:$E$1504,A200,Base_Itens!$I$5:$I$1504)</f>
        <v>1</v>
      </c>
      <c r="G200">
        <f t="shared" si="12"/>
        <v>0</v>
      </c>
      <c r="H200">
        <f>COUNTIF(Base_Itens!$E$5:$E$1504,A200)</f>
        <v>1</v>
      </c>
      <c r="I200" t="str">
        <f t="shared" si="13"/>
        <v>OK</v>
      </c>
      <c r="J200" t="str">
        <f>Base_Itens!E177</f>
        <v>2012-Q9-0</v>
      </c>
      <c r="K200" t="str">
        <f>Base_Itens!G177</f>
        <v>07a — Paridades</v>
      </c>
      <c r="L200">
        <f>COUNTIFS(Base_Itens!$E$5:$E$1504,J200,Base_Itens!$G$5:$G$1504,K200)</f>
        <v>1</v>
      </c>
    </row>
    <row r="201" spans="1:12">
      <c r="A201" t="s">
        <v>2342</v>
      </c>
      <c r="B201">
        <v>2012</v>
      </c>
      <c r="C201" t="s">
        <v>82</v>
      </c>
      <c r="D201">
        <v>1</v>
      </c>
      <c r="E201">
        <v>1</v>
      </c>
      <c r="F201">
        <f>SUMIF(Base_Itens!$E$5:$E$1504,A201,Base_Itens!$I$5:$I$1504)</f>
        <v>1</v>
      </c>
      <c r="G201">
        <f t="shared" si="12"/>
        <v>0</v>
      </c>
      <c r="H201">
        <f>COUNTIF(Base_Itens!$E$5:$E$1504,A201)</f>
        <v>1</v>
      </c>
      <c r="I201" t="str">
        <f t="shared" si="13"/>
        <v>OK</v>
      </c>
      <c r="J201" t="str">
        <f>Base_Itens!E178</f>
        <v>2012-Q9-1</v>
      </c>
      <c r="K201" t="str">
        <f>Base_Itens!G178</f>
        <v>E1 — Mercados Financeiros</v>
      </c>
      <c r="L201">
        <f>COUNTIFS(Base_Itens!$E$5:$E$1504,J201,Base_Itens!$G$5:$G$1504,K201)</f>
        <v>1</v>
      </c>
    </row>
    <row r="202" spans="1:12">
      <c r="A202" t="s">
        <v>2343</v>
      </c>
      <c r="B202">
        <v>2012</v>
      </c>
      <c r="C202" t="s">
        <v>82</v>
      </c>
      <c r="D202">
        <v>1</v>
      </c>
      <c r="E202">
        <v>1</v>
      </c>
      <c r="F202">
        <f>SUMIF(Base_Itens!$E$5:$E$1504,A202,Base_Itens!$I$5:$I$1504)</f>
        <v>1</v>
      </c>
      <c r="G202">
        <f t="shared" si="12"/>
        <v>0</v>
      </c>
      <c r="H202">
        <f>COUNTIF(Base_Itens!$E$5:$E$1504,A202)</f>
        <v>1</v>
      </c>
      <c r="I202" t="str">
        <f t="shared" si="13"/>
        <v>OK</v>
      </c>
      <c r="J202" t="str">
        <f>Base_Itens!E179</f>
        <v>2012-Q9-2</v>
      </c>
      <c r="K202" t="str">
        <f>Base_Itens!G179</f>
        <v>07a — Paridades</v>
      </c>
      <c r="L202">
        <f>COUNTIFS(Base_Itens!$E$5:$E$1504,J202,Base_Itens!$G$5:$G$1504,K202)</f>
        <v>1</v>
      </c>
    </row>
    <row r="203" spans="1:12">
      <c r="A203" t="s">
        <v>2344</v>
      </c>
      <c r="B203">
        <v>2012</v>
      </c>
      <c r="C203" t="s">
        <v>82</v>
      </c>
      <c r="D203">
        <v>1</v>
      </c>
      <c r="E203">
        <v>1</v>
      </c>
      <c r="F203">
        <f>SUMIF(Base_Itens!$E$5:$E$1504,A203,Base_Itens!$I$5:$I$1504)</f>
        <v>1</v>
      </c>
      <c r="G203">
        <f t="shared" si="12"/>
        <v>0</v>
      </c>
      <c r="H203">
        <f>COUNTIF(Base_Itens!$E$5:$E$1504,A203)</f>
        <v>1</v>
      </c>
      <c r="I203" t="str">
        <f t="shared" si="13"/>
        <v>OK</v>
      </c>
      <c r="J203" t="str">
        <f>Base_Itens!E180</f>
        <v>2012-Q9-3</v>
      </c>
      <c r="K203" t="str">
        <f>Base_Itens!G180</f>
        <v>07a — Paridades</v>
      </c>
      <c r="L203">
        <f>COUNTIFS(Base_Itens!$E$5:$E$1504,J203,Base_Itens!$G$5:$G$1504,K203)</f>
        <v>1</v>
      </c>
    </row>
    <row r="204" spans="1:12">
      <c r="A204" t="s">
        <v>2345</v>
      </c>
      <c r="B204">
        <v>2012</v>
      </c>
      <c r="C204" t="s">
        <v>82</v>
      </c>
      <c r="D204">
        <v>1</v>
      </c>
      <c r="E204">
        <v>1</v>
      </c>
      <c r="F204">
        <f>SUMIF(Base_Itens!$E$5:$E$1504,A204,Base_Itens!$I$5:$I$1504)</f>
        <v>1</v>
      </c>
      <c r="G204">
        <f t="shared" si="12"/>
        <v>0</v>
      </c>
      <c r="H204">
        <f>COUNTIF(Base_Itens!$E$5:$E$1504,A204)</f>
        <v>1</v>
      </c>
      <c r="I204" t="str">
        <f t="shared" si="13"/>
        <v>OK</v>
      </c>
      <c r="J204" t="str">
        <f>Base_Itens!E181</f>
        <v>2012-Q9-4</v>
      </c>
      <c r="K204" t="str">
        <f>Base_Itens!G181</f>
        <v>07a — Paridades</v>
      </c>
      <c r="L204">
        <f>COUNTIFS(Base_Itens!$E$5:$E$1504,J204,Base_Itens!$G$5:$G$1504,K204)</f>
        <v>1</v>
      </c>
    </row>
    <row r="205" spans="1:12">
      <c r="A205" t="s">
        <v>2346</v>
      </c>
      <c r="B205">
        <v>2012</v>
      </c>
      <c r="C205" t="s">
        <v>82</v>
      </c>
      <c r="D205">
        <v>1</v>
      </c>
      <c r="E205">
        <v>1</v>
      </c>
      <c r="F205">
        <f>SUMIF(Base_Itens!$E$5:$E$1504,A205,Base_Itens!$I$5:$I$1504)</f>
        <v>1</v>
      </c>
      <c r="G205">
        <f t="shared" si="12"/>
        <v>0</v>
      </c>
      <c r="H205">
        <f>COUNTIF(Base_Itens!$E$5:$E$1504,A205)</f>
        <v>1</v>
      </c>
      <c r="I205" t="str">
        <f t="shared" si="13"/>
        <v>OK</v>
      </c>
      <c r="J205" t="str">
        <f>Base_Itens!E182</f>
        <v>2012-Q10-0</v>
      </c>
      <c r="K205" t="str">
        <f>Base_Itens!G182</f>
        <v>06 — IS-LM-BP</v>
      </c>
      <c r="L205">
        <f>COUNTIFS(Base_Itens!$E$5:$E$1504,J205,Base_Itens!$G$5:$G$1504,K205)</f>
        <v>1</v>
      </c>
    </row>
    <row r="206" spans="1:12">
      <c r="A206" t="s">
        <v>2347</v>
      </c>
      <c r="B206">
        <v>2012</v>
      </c>
      <c r="C206" t="s">
        <v>82</v>
      </c>
      <c r="D206">
        <v>1</v>
      </c>
      <c r="E206">
        <v>1</v>
      </c>
      <c r="F206">
        <f>SUMIF(Base_Itens!$E$5:$E$1504,A206,Base_Itens!$I$5:$I$1504)</f>
        <v>1</v>
      </c>
      <c r="G206">
        <f t="shared" si="12"/>
        <v>0</v>
      </c>
      <c r="H206">
        <f>COUNTIF(Base_Itens!$E$5:$E$1504,A206)</f>
        <v>1</v>
      </c>
      <c r="I206" t="str">
        <f t="shared" si="13"/>
        <v>OK</v>
      </c>
      <c r="J206" t="str">
        <f>Base_Itens!E183</f>
        <v>2012-Q10-1</v>
      </c>
      <c r="K206" t="str">
        <f>Base_Itens!G183</f>
        <v>06 — IS-LM-BP</v>
      </c>
      <c r="L206">
        <f>COUNTIFS(Base_Itens!$E$5:$E$1504,J206,Base_Itens!$G$5:$G$1504,K206)</f>
        <v>1</v>
      </c>
    </row>
    <row r="207" spans="1:12">
      <c r="A207" t="s">
        <v>2348</v>
      </c>
      <c r="B207">
        <v>2012</v>
      </c>
      <c r="C207" t="s">
        <v>82</v>
      </c>
      <c r="D207">
        <v>1</v>
      </c>
      <c r="E207">
        <v>1</v>
      </c>
      <c r="F207">
        <f>SUMIF(Base_Itens!$E$5:$E$1504,A207,Base_Itens!$I$5:$I$1504)</f>
        <v>1</v>
      </c>
      <c r="G207">
        <f t="shared" si="12"/>
        <v>0</v>
      </c>
      <c r="H207">
        <f>COUNTIF(Base_Itens!$E$5:$E$1504,A207)</f>
        <v>1</v>
      </c>
      <c r="I207" t="str">
        <f t="shared" si="13"/>
        <v>OK</v>
      </c>
      <c r="J207" t="str">
        <f>Base_Itens!E184</f>
        <v>2012-Q10-2</v>
      </c>
      <c r="K207" t="str">
        <f>Base_Itens!G184</f>
        <v>06 — IS-LM-BP</v>
      </c>
      <c r="L207">
        <f>COUNTIFS(Base_Itens!$E$5:$E$1504,J207,Base_Itens!$G$5:$G$1504,K207)</f>
        <v>1</v>
      </c>
    </row>
    <row r="208" spans="1:12">
      <c r="A208" t="s">
        <v>2349</v>
      </c>
      <c r="B208">
        <v>2012</v>
      </c>
      <c r="C208" t="s">
        <v>82</v>
      </c>
      <c r="D208">
        <v>1</v>
      </c>
      <c r="E208">
        <v>1</v>
      </c>
      <c r="F208">
        <f>SUMIF(Base_Itens!$E$5:$E$1504,A208,Base_Itens!$I$5:$I$1504)</f>
        <v>1</v>
      </c>
      <c r="G208">
        <f t="shared" si="12"/>
        <v>0</v>
      </c>
      <c r="H208">
        <f>COUNTIF(Base_Itens!$E$5:$E$1504,A208)</f>
        <v>1</v>
      </c>
      <c r="I208" t="str">
        <f t="shared" si="13"/>
        <v>OK</v>
      </c>
      <c r="J208" t="str">
        <f>Base_Itens!E185</f>
        <v>2012-Q10-3</v>
      </c>
      <c r="K208" t="str">
        <f>Base_Itens!G185</f>
        <v>06 — IS-LM-BP</v>
      </c>
      <c r="L208">
        <f>COUNTIFS(Base_Itens!$E$5:$E$1504,J208,Base_Itens!$G$5:$G$1504,K208)</f>
        <v>1</v>
      </c>
    </row>
    <row r="209" spans="1:12">
      <c r="A209" t="s">
        <v>2350</v>
      </c>
      <c r="B209">
        <v>2012</v>
      </c>
      <c r="C209" t="s">
        <v>82</v>
      </c>
      <c r="D209">
        <v>1</v>
      </c>
      <c r="E209">
        <v>1</v>
      </c>
      <c r="F209">
        <f>SUMIF(Base_Itens!$E$5:$E$1504,A209,Base_Itens!$I$5:$I$1504)</f>
        <v>1</v>
      </c>
      <c r="G209">
        <f t="shared" si="12"/>
        <v>0</v>
      </c>
      <c r="H209">
        <f>COUNTIF(Base_Itens!$E$5:$E$1504,A209)</f>
        <v>1</v>
      </c>
      <c r="I209" t="str">
        <f t="shared" si="13"/>
        <v>OK</v>
      </c>
      <c r="J209" t="str">
        <f>Base_Itens!E186</f>
        <v>2012-Q10-4</v>
      </c>
      <c r="K209" t="str">
        <f>Base_Itens!G186</f>
        <v>06 — IS-LM-BP</v>
      </c>
      <c r="L209">
        <f>COUNTIFS(Base_Itens!$E$5:$E$1504,J209,Base_Itens!$G$5:$G$1504,K209)</f>
        <v>1</v>
      </c>
    </row>
    <row r="210" spans="1:12">
      <c r="A210" t="s">
        <v>2351</v>
      </c>
      <c r="B210">
        <v>2012</v>
      </c>
      <c r="C210" t="s">
        <v>82</v>
      </c>
      <c r="D210">
        <v>1</v>
      </c>
      <c r="E210">
        <v>1</v>
      </c>
      <c r="F210">
        <f>SUMIF(Base_Itens!$E$5:$E$1504,A210,Base_Itens!$I$5:$I$1504)</f>
        <v>1</v>
      </c>
      <c r="G210">
        <f t="shared" si="12"/>
        <v>0</v>
      </c>
      <c r="H210">
        <f>COUNTIF(Base_Itens!$E$5:$E$1504,A210)</f>
        <v>1</v>
      </c>
      <c r="I210" t="str">
        <f t="shared" si="13"/>
        <v>OK</v>
      </c>
      <c r="J210" t="str">
        <f>Base_Itens!E187</f>
        <v>2012-Q11-0</v>
      </c>
      <c r="K210" t="str">
        <f>Base_Itens!G187</f>
        <v>11 — Crescimento Econômico</v>
      </c>
      <c r="L210">
        <f>COUNTIFS(Base_Itens!$E$5:$E$1504,J210,Base_Itens!$G$5:$G$1504,K210)</f>
        <v>1</v>
      </c>
    </row>
    <row r="211" spans="1:12">
      <c r="A211" t="s">
        <v>2352</v>
      </c>
      <c r="B211">
        <v>2012</v>
      </c>
      <c r="C211" t="s">
        <v>82</v>
      </c>
      <c r="D211">
        <v>1</v>
      </c>
      <c r="E211">
        <v>1</v>
      </c>
      <c r="F211">
        <f>SUMIF(Base_Itens!$E$5:$E$1504,A211,Base_Itens!$I$5:$I$1504)</f>
        <v>1</v>
      </c>
      <c r="G211">
        <f t="shared" si="12"/>
        <v>0</v>
      </c>
      <c r="H211">
        <f>COUNTIF(Base_Itens!$E$5:$E$1504,A211)</f>
        <v>1</v>
      </c>
      <c r="I211" t="str">
        <f t="shared" si="13"/>
        <v>OK</v>
      </c>
      <c r="J211" t="str">
        <f>Base_Itens!E188</f>
        <v>2012-Q11-1</v>
      </c>
      <c r="K211" t="str">
        <f>Base_Itens!G188</f>
        <v>11 — Crescimento Econômico</v>
      </c>
      <c r="L211">
        <f>COUNTIFS(Base_Itens!$E$5:$E$1504,J211,Base_Itens!$G$5:$G$1504,K211)</f>
        <v>1</v>
      </c>
    </row>
    <row r="212" spans="1:12">
      <c r="A212" t="s">
        <v>2353</v>
      </c>
      <c r="B212">
        <v>2012</v>
      </c>
      <c r="C212" t="s">
        <v>82</v>
      </c>
      <c r="D212">
        <v>1</v>
      </c>
      <c r="E212">
        <v>1</v>
      </c>
      <c r="F212">
        <f>SUMIF(Base_Itens!$E$5:$E$1504,A212,Base_Itens!$I$5:$I$1504)</f>
        <v>1</v>
      </c>
      <c r="G212">
        <f t="shared" si="12"/>
        <v>0</v>
      </c>
      <c r="H212">
        <f>COUNTIF(Base_Itens!$E$5:$E$1504,A212)</f>
        <v>1</v>
      </c>
      <c r="I212" t="str">
        <f t="shared" si="13"/>
        <v>OK</v>
      </c>
      <c r="J212" t="str">
        <f>Base_Itens!E189</f>
        <v>2012-Q11-2</v>
      </c>
      <c r="K212" t="str">
        <f>Base_Itens!G189</f>
        <v>11 — Crescimento Econômico</v>
      </c>
      <c r="L212">
        <f>COUNTIFS(Base_Itens!$E$5:$E$1504,J212,Base_Itens!$G$5:$G$1504,K212)</f>
        <v>1</v>
      </c>
    </row>
    <row r="213" spans="1:12">
      <c r="A213" t="s">
        <v>2354</v>
      </c>
      <c r="B213">
        <v>2012</v>
      </c>
      <c r="C213" t="s">
        <v>82</v>
      </c>
      <c r="D213">
        <v>1</v>
      </c>
      <c r="E213">
        <v>2</v>
      </c>
      <c r="F213">
        <f>SUMIF(Base_Itens!$E$5:$E$1504,A213,Base_Itens!$I$5:$I$1504)</f>
        <v>1</v>
      </c>
      <c r="G213">
        <f t="shared" si="12"/>
        <v>0</v>
      </c>
      <c r="H213">
        <f>COUNTIF(Base_Itens!$E$5:$E$1504,A213)</f>
        <v>2</v>
      </c>
      <c r="I213" t="str">
        <f t="shared" si="13"/>
        <v>OK</v>
      </c>
      <c r="J213" t="str">
        <f>Base_Itens!E190</f>
        <v>2012-Q11-3</v>
      </c>
      <c r="K213" t="str">
        <f>Base_Itens!G190</f>
        <v>11 — Crescimento Econômico</v>
      </c>
      <c r="L213">
        <f>COUNTIFS(Base_Itens!$E$5:$E$1504,J213,Base_Itens!$G$5:$G$1504,K213)</f>
        <v>1</v>
      </c>
    </row>
    <row r="214" spans="1:12">
      <c r="A214" t="s">
        <v>2355</v>
      </c>
      <c r="B214">
        <v>2012</v>
      </c>
      <c r="C214" t="s">
        <v>82</v>
      </c>
      <c r="D214">
        <v>1</v>
      </c>
      <c r="E214">
        <v>1</v>
      </c>
      <c r="F214">
        <f>SUMIF(Base_Itens!$E$5:$E$1504,A214,Base_Itens!$I$5:$I$1504)</f>
        <v>1</v>
      </c>
      <c r="G214">
        <f t="shared" si="12"/>
        <v>0</v>
      </c>
      <c r="H214">
        <f>COUNTIF(Base_Itens!$E$5:$E$1504,A214)</f>
        <v>1</v>
      </c>
      <c r="I214" t="str">
        <f t="shared" si="13"/>
        <v>OK</v>
      </c>
      <c r="J214" t="str">
        <f>Base_Itens!E191</f>
        <v>2012-Q11-4</v>
      </c>
      <c r="K214" t="str">
        <f>Base_Itens!G191</f>
        <v>11 — Crescimento Econômico</v>
      </c>
      <c r="L214">
        <f>COUNTIFS(Base_Itens!$E$5:$E$1504,J214,Base_Itens!$G$5:$G$1504,K214)</f>
        <v>1</v>
      </c>
    </row>
    <row r="215" spans="1:12">
      <c r="A215" t="s">
        <v>2356</v>
      </c>
      <c r="B215">
        <v>2012</v>
      </c>
      <c r="C215" t="s">
        <v>82</v>
      </c>
      <c r="D215">
        <v>1</v>
      </c>
      <c r="E215">
        <v>1</v>
      </c>
      <c r="F215">
        <f>SUMIF(Base_Itens!$E$5:$E$1504,A215,Base_Itens!$I$5:$I$1504)</f>
        <v>1</v>
      </c>
      <c r="G215">
        <f t="shared" si="12"/>
        <v>0</v>
      </c>
      <c r="H215">
        <f>COUNTIF(Base_Itens!$E$5:$E$1504,A215)</f>
        <v>1</v>
      </c>
      <c r="I215" t="str">
        <f t="shared" si="13"/>
        <v>OK</v>
      </c>
      <c r="J215" t="str">
        <f>Base_Itens!E192</f>
        <v>2012-Q12-0</v>
      </c>
      <c r="K215" t="str">
        <f>Base_Itens!G192</f>
        <v>08 — Curva de Phillips</v>
      </c>
      <c r="L215">
        <f>COUNTIFS(Base_Itens!$E$5:$E$1504,J215,Base_Itens!$G$5:$G$1504,K215)</f>
        <v>1</v>
      </c>
    </row>
    <row r="216" spans="1:12">
      <c r="A216" t="s">
        <v>2357</v>
      </c>
      <c r="B216">
        <v>2012</v>
      </c>
      <c r="C216" t="s">
        <v>82</v>
      </c>
      <c r="D216">
        <v>1</v>
      </c>
      <c r="E216">
        <v>1</v>
      </c>
      <c r="F216">
        <f>SUMIF(Base_Itens!$E$5:$E$1504,A216,Base_Itens!$I$5:$I$1504)</f>
        <v>1</v>
      </c>
      <c r="G216">
        <f t="shared" si="12"/>
        <v>0</v>
      </c>
      <c r="H216">
        <f>COUNTIF(Base_Itens!$E$5:$E$1504,A216)</f>
        <v>1</v>
      </c>
      <c r="I216" t="str">
        <f t="shared" si="13"/>
        <v>OK</v>
      </c>
      <c r="J216" t="str">
        <f>Base_Itens!E193</f>
        <v>2012-Q12-1</v>
      </c>
      <c r="K216" t="str">
        <f>Base_Itens!G193</f>
        <v>08 — Curva de Phillips</v>
      </c>
      <c r="L216">
        <f>COUNTIFS(Base_Itens!$E$5:$E$1504,J216,Base_Itens!$G$5:$G$1504,K216)</f>
        <v>1</v>
      </c>
    </row>
    <row r="217" spans="1:12">
      <c r="A217" t="s">
        <v>2358</v>
      </c>
      <c r="B217">
        <v>2012</v>
      </c>
      <c r="C217" t="s">
        <v>82</v>
      </c>
      <c r="D217">
        <v>1</v>
      </c>
      <c r="E217">
        <v>1</v>
      </c>
      <c r="F217">
        <f>SUMIF(Base_Itens!$E$5:$E$1504,A217,Base_Itens!$I$5:$I$1504)</f>
        <v>1</v>
      </c>
      <c r="G217">
        <f t="shared" si="12"/>
        <v>0</v>
      </c>
      <c r="H217">
        <f>COUNTIF(Base_Itens!$E$5:$E$1504,A217)</f>
        <v>1</v>
      </c>
      <c r="I217" t="str">
        <f t="shared" si="13"/>
        <v>OK</v>
      </c>
      <c r="J217" t="str">
        <f>Base_Itens!E194</f>
        <v>2012-Q12-2</v>
      </c>
      <c r="K217" t="str">
        <f>Base_Itens!G194</f>
        <v>08 — Curva de Phillips</v>
      </c>
      <c r="L217">
        <f>COUNTIFS(Base_Itens!$E$5:$E$1504,J217,Base_Itens!$G$5:$G$1504,K217)</f>
        <v>1</v>
      </c>
    </row>
    <row r="218" spans="1:12">
      <c r="A218" t="s">
        <v>2359</v>
      </c>
      <c r="B218">
        <v>2012</v>
      </c>
      <c r="C218" t="s">
        <v>82</v>
      </c>
      <c r="D218">
        <v>1</v>
      </c>
      <c r="E218">
        <v>1</v>
      </c>
      <c r="F218">
        <f>SUMIF(Base_Itens!$E$5:$E$1504,A218,Base_Itens!$I$5:$I$1504)</f>
        <v>1</v>
      </c>
      <c r="G218">
        <f t="shared" si="12"/>
        <v>0</v>
      </c>
      <c r="H218">
        <f>COUNTIF(Base_Itens!$E$5:$E$1504,A218)</f>
        <v>1</v>
      </c>
      <c r="I218" t="str">
        <f t="shared" si="13"/>
        <v>OK</v>
      </c>
      <c r="J218" t="str">
        <f>Base_Itens!E195</f>
        <v>2012-Q12-3</v>
      </c>
      <c r="K218" t="str">
        <f>Base_Itens!G195</f>
        <v>08 — Curva de Phillips</v>
      </c>
      <c r="L218">
        <f>COUNTIFS(Base_Itens!$E$5:$E$1504,J218,Base_Itens!$G$5:$G$1504,K218)</f>
        <v>1</v>
      </c>
    </row>
    <row r="219" spans="1:12">
      <c r="A219" t="s">
        <v>2360</v>
      </c>
      <c r="B219">
        <v>2012</v>
      </c>
      <c r="C219" t="s">
        <v>2153</v>
      </c>
      <c r="D219">
        <v>5</v>
      </c>
      <c r="E219">
        <v>1</v>
      </c>
      <c r="F219">
        <f>SUMIF(Base_Itens!$E$5:$E$1504,A219,Base_Itens!$I$5:$I$1504)</f>
        <v>5</v>
      </c>
      <c r="G219">
        <f t="shared" si="12"/>
        <v>0</v>
      </c>
      <c r="H219">
        <f>COUNTIF(Base_Itens!$E$5:$E$1504,A219)</f>
        <v>1</v>
      </c>
      <c r="I219" t="str">
        <f t="shared" si="13"/>
        <v>OK</v>
      </c>
      <c r="J219" t="str">
        <f>Base_Itens!E196</f>
        <v>2012-Q12-4</v>
      </c>
      <c r="K219" t="str">
        <f>Base_Itens!G196</f>
        <v>08 — Curva de Phillips</v>
      </c>
      <c r="L219">
        <f>COUNTIFS(Base_Itens!$E$5:$E$1504,J219,Base_Itens!$G$5:$G$1504,K219)</f>
        <v>1</v>
      </c>
    </row>
    <row r="220" spans="1:12">
      <c r="A220" t="s">
        <v>2361</v>
      </c>
      <c r="B220">
        <v>2012</v>
      </c>
      <c r="C220" t="s">
        <v>2153</v>
      </c>
      <c r="D220">
        <v>5</v>
      </c>
      <c r="E220">
        <v>1</v>
      </c>
      <c r="F220">
        <f>SUMIF(Base_Itens!$E$5:$E$1504,A220,Base_Itens!$I$5:$I$1504)</f>
        <v>5</v>
      </c>
      <c r="G220">
        <f t="shared" ref="G220:G283" si="14">F220-D220</f>
        <v>0</v>
      </c>
      <c r="H220">
        <f>COUNTIF(Base_Itens!$E$5:$E$1504,A220)</f>
        <v>1</v>
      </c>
      <c r="I220" t="str">
        <f t="shared" si="13"/>
        <v>OK</v>
      </c>
      <c r="J220" t="str">
        <f>Base_Itens!E197</f>
        <v>2012-Q12-4</v>
      </c>
      <c r="K220" t="str">
        <f>Base_Itens!G197</f>
        <v>09 — Expectativas, Novos Clássicos e Novos Keynesianos</v>
      </c>
      <c r="L220">
        <f>COUNTIFS(Base_Itens!$E$5:$E$1504,J220,Base_Itens!$G$5:$G$1504,K220)</f>
        <v>1</v>
      </c>
    </row>
    <row r="221" spans="1:12">
      <c r="A221" t="s">
        <v>2362</v>
      </c>
      <c r="B221">
        <v>2013</v>
      </c>
      <c r="C221" t="s">
        <v>82</v>
      </c>
      <c r="D221">
        <v>1</v>
      </c>
      <c r="E221">
        <v>1</v>
      </c>
      <c r="F221">
        <f>SUMIF(Base_Itens!$E$5:$E$1504,A221,Base_Itens!$I$5:$I$1504)</f>
        <v>1</v>
      </c>
      <c r="G221">
        <f t="shared" si="14"/>
        <v>0</v>
      </c>
      <c r="H221">
        <f>COUNTIF(Base_Itens!$E$5:$E$1504,A221)</f>
        <v>1</v>
      </c>
      <c r="I221" t="str">
        <f t="shared" si="13"/>
        <v>OK</v>
      </c>
      <c r="J221" t="str">
        <f>Base_Itens!E198</f>
        <v>2012-Q13-0</v>
      </c>
      <c r="K221" t="str">
        <f>Base_Itens!G198</f>
        <v>11 — Crescimento Econômico</v>
      </c>
      <c r="L221">
        <f>COUNTIFS(Base_Itens!$E$5:$E$1504,J221,Base_Itens!$G$5:$G$1504,K221)</f>
        <v>1</v>
      </c>
    </row>
    <row r="222" spans="1:12">
      <c r="A222" t="s">
        <v>2363</v>
      </c>
      <c r="B222">
        <v>2013</v>
      </c>
      <c r="C222" t="s">
        <v>82</v>
      </c>
      <c r="D222">
        <v>1</v>
      </c>
      <c r="E222">
        <v>1</v>
      </c>
      <c r="F222">
        <f>SUMIF(Base_Itens!$E$5:$E$1504,A222,Base_Itens!$I$5:$I$1504)</f>
        <v>1</v>
      </c>
      <c r="G222">
        <f t="shared" si="14"/>
        <v>0</v>
      </c>
      <c r="H222">
        <f>COUNTIF(Base_Itens!$E$5:$E$1504,A222)</f>
        <v>1</v>
      </c>
      <c r="I222" t="str">
        <f t="shared" si="13"/>
        <v>OK</v>
      </c>
      <c r="J222" t="str">
        <f>Base_Itens!E199</f>
        <v>2012-Q13-1</v>
      </c>
      <c r="K222" t="str">
        <f>Base_Itens!G199</f>
        <v>11 — Crescimento Econômico</v>
      </c>
      <c r="L222">
        <f>COUNTIFS(Base_Itens!$E$5:$E$1504,J222,Base_Itens!$G$5:$G$1504,K222)</f>
        <v>1</v>
      </c>
    </row>
    <row r="223" spans="1:12">
      <c r="A223" t="s">
        <v>2364</v>
      </c>
      <c r="B223">
        <v>2013</v>
      </c>
      <c r="C223" t="s">
        <v>82</v>
      </c>
      <c r="D223">
        <v>1</v>
      </c>
      <c r="E223">
        <v>1</v>
      </c>
      <c r="F223">
        <f>SUMIF(Base_Itens!$E$5:$E$1504,A223,Base_Itens!$I$5:$I$1504)</f>
        <v>1</v>
      </c>
      <c r="G223">
        <f t="shared" si="14"/>
        <v>0</v>
      </c>
      <c r="H223">
        <f>COUNTIF(Base_Itens!$E$5:$E$1504,A223)</f>
        <v>1</v>
      </c>
      <c r="I223" t="str">
        <f t="shared" si="13"/>
        <v>OK</v>
      </c>
      <c r="J223" t="str">
        <f>Base_Itens!E200</f>
        <v>2012-Q13-2</v>
      </c>
      <c r="K223" t="str">
        <f>Base_Itens!G200</f>
        <v>11 — Crescimento Econômico</v>
      </c>
      <c r="L223">
        <f>COUNTIFS(Base_Itens!$E$5:$E$1504,J223,Base_Itens!$G$5:$G$1504,K223)</f>
        <v>1</v>
      </c>
    </row>
    <row r="224" spans="1:12">
      <c r="A224" t="s">
        <v>2365</v>
      </c>
      <c r="B224">
        <v>2013</v>
      </c>
      <c r="C224" t="s">
        <v>82</v>
      </c>
      <c r="D224">
        <v>1</v>
      </c>
      <c r="E224">
        <v>1</v>
      </c>
      <c r="F224">
        <f>SUMIF(Base_Itens!$E$5:$E$1504,A224,Base_Itens!$I$5:$I$1504)</f>
        <v>1</v>
      </c>
      <c r="G224">
        <f t="shared" si="14"/>
        <v>0</v>
      </c>
      <c r="H224">
        <f>COUNTIF(Base_Itens!$E$5:$E$1504,A224)</f>
        <v>1</v>
      </c>
      <c r="I224" t="str">
        <f t="shared" si="13"/>
        <v>OK</v>
      </c>
      <c r="J224" t="str">
        <f>Base_Itens!E201</f>
        <v>2012-Q13-3</v>
      </c>
      <c r="K224" t="str">
        <f>Base_Itens!G201</f>
        <v>11 — Crescimento Econômico</v>
      </c>
      <c r="L224">
        <f>COUNTIFS(Base_Itens!$E$5:$E$1504,J224,Base_Itens!$G$5:$G$1504,K224)</f>
        <v>1</v>
      </c>
    </row>
    <row r="225" spans="1:12">
      <c r="A225" t="s">
        <v>2366</v>
      </c>
      <c r="B225">
        <v>2013</v>
      </c>
      <c r="C225" t="s">
        <v>82</v>
      </c>
      <c r="D225">
        <v>1</v>
      </c>
      <c r="E225">
        <v>1</v>
      </c>
      <c r="F225">
        <f>SUMIF(Base_Itens!$E$5:$E$1504,A225,Base_Itens!$I$5:$I$1504)</f>
        <v>1</v>
      </c>
      <c r="G225">
        <f t="shared" si="14"/>
        <v>0</v>
      </c>
      <c r="H225">
        <f>COUNTIF(Base_Itens!$E$5:$E$1504,A225)</f>
        <v>1</v>
      </c>
      <c r="I225" t="str">
        <f t="shared" si="13"/>
        <v>OK</v>
      </c>
      <c r="J225" t="str">
        <f>Base_Itens!E202</f>
        <v>2012-Q13-4</v>
      </c>
      <c r="K225" t="str">
        <f>Base_Itens!G202</f>
        <v>11 — Crescimento Econômico</v>
      </c>
      <c r="L225">
        <f>COUNTIFS(Base_Itens!$E$5:$E$1504,J225,Base_Itens!$G$5:$G$1504,K225)</f>
        <v>1</v>
      </c>
    </row>
    <row r="226" spans="1:12">
      <c r="A226" t="s">
        <v>2367</v>
      </c>
      <c r="B226">
        <v>2013</v>
      </c>
      <c r="C226" t="s">
        <v>82</v>
      </c>
      <c r="D226">
        <v>1</v>
      </c>
      <c r="E226">
        <v>1</v>
      </c>
      <c r="F226">
        <f>SUMIF(Base_Itens!$E$5:$E$1504,A226,Base_Itens!$I$5:$I$1504)</f>
        <v>1</v>
      </c>
      <c r="G226">
        <f t="shared" si="14"/>
        <v>0</v>
      </c>
      <c r="H226">
        <f>COUNTIF(Base_Itens!$E$5:$E$1504,A226)</f>
        <v>1</v>
      </c>
      <c r="I226" t="str">
        <f t="shared" si="13"/>
        <v>OK</v>
      </c>
      <c r="J226" t="str">
        <f>Base_Itens!E203</f>
        <v>2012-Q14-ABERTA</v>
      </c>
      <c r="K226" t="str">
        <f>Base_Itens!G203</f>
        <v>04 — Demanda por Moeda</v>
      </c>
      <c r="L226">
        <f>COUNTIFS(Base_Itens!$E$5:$E$1504,J226,Base_Itens!$G$5:$G$1504,K226)</f>
        <v>1</v>
      </c>
    </row>
    <row r="227" spans="1:12">
      <c r="A227" t="s">
        <v>2368</v>
      </c>
      <c r="B227">
        <v>2013</v>
      </c>
      <c r="C227" t="s">
        <v>82</v>
      </c>
      <c r="D227">
        <v>1</v>
      </c>
      <c r="E227">
        <v>1</v>
      </c>
      <c r="F227">
        <f>SUMIF(Base_Itens!$E$5:$E$1504,A227,Base_Itens!$I$5:$I$1504)</f>
        <v>1</v>
      </c>
      <c r="G227">
        <f t="shared" si="14"/>
        <v>0</v>
      </c>
      <c r="H227">
        <f>COUNTIF(Base_Itens!$E$5:$E$1504,A227)</f>
        <v>1</v>
      </c>
      <c r="I227" t="str">
        <f t="shared" si="13"/>
        <v>OK</v>
      </c>
      <c r="J227" t="str">
        <f>Base_Itens!E204</f>
        <v>2012-Q15-ABERTA</v>
      </c>
      <c r="K227" t="str">
        <f>Base_Itens!G204</f>
        <v>09 — Expectativas, Novos Clássicos e Novos Keynesianos</v>
      </c>
      <c r="L227">
        <f>COUNTIFS(Base_Itens!$E$5:$E$1504,J227,Base_Itens!$G$5:$G$1504,K227)</f>
        <v>1</v>
      </c>
    </row>
    <row r="228" spans="1:12">
      <c r="A228" t="s">
        <v>2369</v>
      </c>
      <c r="B228">
        <v>2013</v>
      </c>
      <c r="C228" t="s">
        <v>82</v>
      </c>
      <c r="D228">
        <v>1</v>
      </c>
      <c r="E228">
        <v>1</v>
      </c>
      <c r="F228">
        <f>SUMIF(Base_Itens!$E$5:$E$1504,A228,Base_Itens!$I$5:$I$1504)</f>
        <v>1</v>
      </c>
      <c r="G228">
        <f t="shared" si="14"/>
        <v>0</v>
      </c>
      <c r="H228">
        <f>COUNTIF(Base_Itens!$E$5:$E$1504,A228)</f>
        <v>1</v>
      </c>
      <c r="I228" t="str">
        <f t="shared" si="13"/>
        <v>OK</v>
      </c>
      <c r="J228" t="str">
        <f>Base_Itens!E205</f>
        <v>2013-Q1-0</v>
      </c>
      <c r="K228" t="str">
        <f>Base_Itens!G205</f>
        <v>05 — IS-LM</v>
      </c>
      <c r="L228">
        <f>COUNTIFS(Base_Itens!$E$5:$E$1504,J228,Base_Itens!$G$5:$G$1504,K228)</f>
        <v>1</v>
      </c>
    </row>
    <row r="229" spans="1:12">
      <c r="A229" t="s">
        <v>2370</v>
      </c>
      <c r="B229">
        <v>2013</v>
      </c>
      <c r="C229" t="s">
        <v>82</v>
      </c>
      <c r="D229">
        <v>1</v>
      </c>
      <c r="E229">
        <v>1</v>
      </c>
      <c r="F229">
        <f>SUMIF(Base_Itens!$E$5:$E$1504,A229,Base_Itens!$I$5:$I$1504)</f>
        <v>1</v>
      </c>
      <c r="G229">
        <f t="shared" si="14"/>
        <v>0</v>
      </c>
      <c r="H229">
        <f>COUNTIF(Base_Itens!$E$5:$E$1504,A229)</f>
        <v>1</v>
      </c>
      <c r="I229" t="str">
        <f t="shared" si="13"/>
        <v>OK</v>
      </c>
      <c r="J229" t="str">
        <f>Base_Itens!E206</f>
        <v>2013-Q1-1</v>
      </c>
      <c r="K229" t="str">
        <f>Base_Itens!G206</f>
        <v>05 — IS-LM</v>
      </c>
      <c r="L229">
        <f>COUNTIFS(Base_Itens!$E$5:$E$1504,J229,Base_Itens!$G$5:$G$1504,K229)</f>
        <v>1</v>
      </c>
    </row>
    <row r="230" spans="1:12">
      <c r="A230" t="s">
        <v>2371</v>
      </c>
      <c r="B230">
        <v>2013</v>
      </c>
      <c r="C230" t="s">
        <v>82</v>
      </c>
      <c r="D230">
        <v>1</v>
      </c>
      <c r="E230">
        <v>1</v>
      </c>
      <c r="F230">
        <f>SUMIF(Base_Itens!$E$5:$E$1504,A230,Base_Itens!$I$5:$I$1504)</f>
        <v>1</v>
      </c>
      <c r="G230">
        <f t="shared" si="14"/>
        <v>0</v>
      </c>
      <c r="H230">
        <f>COUNTIF(Base_Itens!$E$5:$E$1504,A230)</f>
        <v>1</v>
      </c>
      <c r="I230" t="str">
        <f t="shared" si="13"/>
        <v>OK</v>
      </c>
      <c r="J230" t="str">
        <f>Base_Itens!E207</f>
        <v>2013-Q1-2</v>
      </c>
      <c r="K230" t="str">
        <f>Base_Itens!G207</f>
        <v>05 — IS-LM</v>
      </c>
      <c r="L230">
        <f>COUNTIFS(Base_Itens!$E$5:$E$1504,J230,Base_Itens!$G$5:$G$1504,K230)</f>
        <v>1</v>
      </c>
    </row>
    <row r="231" spans="1:12">
      <c r="A231" t="s">
        <v>2372</v>
      </c>
      <c r="B231">
        <v>2013</v>
      </c>
      <c r="C231" t="s">
        <v>82</v>
      </c>
      <c r="D231">
        <v>1</v>
      </c>
      <c r="E231">
        <v>1</v>
      </c>
      <c r="F231">
        <f>SUMIF(Base_Itens!$E$5:$E$1504,A231,Base_Itens!$I$5:$I$1504)</f>
        <v>1</v>
      </c>
      <c r="G231">
        <f t="shared" si="14"/>
        <v>0</v>
      </c>
      <c r="H231">
        <f>COUNTIF(Base_Itens!$E$5:$E$1504,A231)</f>
        <v>1</v>
      </c>
      <c r="I231" t="str">
        <f t="shared" si="13"/>
        <v>OK</v>
      </c>
      <c r="J231" t="str">
        <f>Base_Itens!E208</f>
        <v>2013-Q1-3</v>
      </c>
      <c r="K231" t="str">
        <f>Base_Itens!G208</f>
        <v>05 — IS-LM</v>
      </c>
      <c r="L231">
        <f>COUNTIFS(Base_Itens!$E$5:$E$1504,J231,Base_Itens!$G$5:$G$1504,K231)</f>
        <v>1</v>
      </c>
    </row>
    <row r="232" spans="1:12">
      <c r="A232" t="s">
        <v>2373</v>
      </c>
      <c r="B232">
        <v>2013</v>
      </c>
      <c r="C232" t="s">
        <v>82</v>
      </c>
      <c r="D232">
        <v>1</v>
      </c>
      <c r="E232">
        <v>1</v>
      </c>
      <c r="F232">
        <f>SUMIF(Base_Itens!$E$5:$E$1504,A232,Base_Itens!$I$5:$I$1504)</f>
        <v>1</v>
      </c>
      <c r="G232">
        <f t="shared" si="14"/>
        <v>0</v>
      </c>
      <c r="H232">
        <f>COUNTIF(Base_Itens!$E$5:$E$1504,A232)</f>
        <v>1</v>
      </c>
      <c r="I232" t="str">
        <f t="shared" si="13"/>
        <v>OK</v>
      </c>
      <c r="J232" t="str">
        <f>Base_Itens!E209</f>
        <v>2013-Q1-4</v>
      </c>
      <c r="K232" t="str">
        <f>Base_Itens!G209</f>
        <v>05 — IS-LM</v>
      </c>
      <c r="L232">
        <f>COUNTIFS(Base_Itens!$E$5:$E$1504,J232,Base_Itens!$G$5:$G$1504,K232)</f>
        <v>1</v>
      </c>
    </row>
    <row r="233" spans="1:12">
      <c r="A233" t="s">
        <v>2374</v>
      </c>
      <c r="B233">
        <v>2013</v>
      </c>
      <c r="C233" t="s">
        <v>82</v>
      </c>
      <c r="D233">
        <v>1</v>
      </c>
      <c r="E233">
        <v>1</v>
      </c>
      <c r="F233">
        <f>SUMIF(Base_Itens!$E$5:$E$1504,A233,Base_Itens!$I$5:$I$1504)</f>
        <v>1</v>
      </c>
      <c r="G233">
        <f t="shared" si="14"/>
        <v>0</v>
      </c>
      <c r="H233">
        <f>COUNTIF(Base_Itens!$E$5:$E$1504,A233)</f>
        <v>1</v>
      </c>
      <c r="I233" t="str">
        <f t="shared" si="13"/>
        <v>OK</v>
      </c>
      <c r="J233" t="str">
        <f>Base_Itens!E210</f>
        <v>2013-Q2-0</v>
      </c>
      <c r="K233" t="str">
        <f>Base_Itens!G210</f>
        <v>07a — Paridades</v>
      </c>
      <c r="L233">
        <f>COUNTIFS(Base_Itens!$E$5:$E$1504,J233,Base_Itens!$G$5:$G$1504,K233)</f>
        <v>1</v>
      </c>
    </row>
    <row r="234" spans="1:12">
      <c r="A234" t="s">
        <v>2375</v>
      </c>
      <c r="B234">
        <v>2013</v>
      </c>
      <c r="C234" t="s">
        <v>82</v>
      </c>
      <c r="D234">
        <v>1</v>
      </c>
      <c r="E234">
        <v>1</v>
      </c>
      <c r="F234">
        <f>SUMIF(Base_Itens!$E$5:$E$1504,A234,Base_Itens!$I$5:$I$1504)</f>
        <v>1</v>
      </c>
      <c r="G234">
        <f t="shared" si="14"/>
        <v>0</v>
      </c>
      <c r="H234">
        <f>COUNTIF(Base_Itens!$E$5:$E$1504,A234)</f>
        <v>1</v>
      </c>
      <c r="I234" t="str">
        <f t="shared" si="13"/>
        <v>OK</v>
      </c>
      <c r="J234" t="str">
        <f>Base_Itens!E211</f>
        <v>2013-Q2-1</v>
      </c>
      <c r="K234" t="str">
        <f>Base_Itens!G211</f>
        <v>07a — Paridades</v>
      </c>
      <c r="L234">
        <f>COUNTIFS(Base_Itens!$E$5:$E$1504,J234,Base_Itens!$G$5:$G$1504,K234)</f>
        <v>1</v>
      </c>
    </row>
    <row r="235" spans="1:12">
      <c r="A235" t="s">
        <v>2376</v>
      </c>
      <c r="B235">
        <v>2013</v>
      </c>
      <c r="C235" t="s">
        <v>82</v>
      </c>
      <c r="D235">
        <v>1</v>
      </c>
      <c r="E235">
        <v>1</v>
      </c>
      <c r="F235">
        <f>SUMIF(Base_Itens!$E$5:$E$1504,A235,Base_Itens!$I$5:$I$1504)</f>
        <v>1</v>
      </c>
      <c r="G235">
        <f t="shared" si="14"/>
        <v>0</v>
      </c>
      <c r="H235">
        <f>COUNTIF(Base_Itens!$E$5:$E$1504,A235)</f>
        <v>1</v>
      </c>
      <c r="I235" t="str">
        <f t="shared" si="13"/>
        <v>OK</v>
      </c>
      <c r="J235" t="str">
        <f>Base_Itens!E212</f>
        <v>2013-Q2-2</v>
      </c>
      <c r="K235" t="str">
        <f>Base_Itens!G212</f>
        <v>07a — Paridades</v>
      </c>
      <c r="L235">
        <f>COUNTIFS(Base_Itens!$E$5:$E$1504,J235,Base_Itens!$G$5:$G$1504,K235)</f>
        <v>1</v>
      </c>
    </row>
    <row r="236" spans="1:12">
      <c r="A236" t="s">
        <v>2377</v>
      </c>
      <c r="B236">
        <v>2013</v>
      </c>
      <c r="C236" t="s">
        <v>82</v>
      </c>
      <c r="D236">
        <v>1</v>
      </c>
      <c r="E236">
        <v>1</v>
      </c>
      <c r="F236">
        <f>SUMIF(Base_Itens!$E$5:$E$1504,A236,Base_Itens!$I$5:$I$1504)</f>
        <v>1</v>
      </c>
      <c r="G236">
        <f t="shared" si="14"/>
        <v>0</v>
      </c>
      <c r="H236">
        <f>COUNTIF(Base_Itens!$E$5:$E$1504,A236)</f>
        <v>1</v>
      </c>
      <c r="I236" t="str">
        <f t="shared" si="13"/>
        <v>OK</v>
      </c>
      <c r="J236" t="str">
        <f>Base_Itens!E213</f>
        <v>2013-Q2-3</v>
      </c>
      <c r="K236" t="str">
        <f>Base_Itens!G213</f>
        <v>07a — Paridades</v>
      </c>
      <c r="L236">
        <f>COUNTIFS(Base_Itens!$E$5:$E$1504,J236,Base_Itens!$G$5:$G$1504,K236)</f>
        <v>1</v>
      </c>
    </row>
    <row r="237" spans="1:12">
      <c r="A237" t="s">
        <v>2378</v>
      </c>
      <c r="B237">
        <v>2013</v>
      </c>
      <c r="C237" t="s">
        <v>82</v>
      </c>
      <c r="D237">
        <v>1</v>
      </c>
      <c r="E237">
        <v>1</v>
      </c>
      <c r="F237">
        <f>SUMIF(Base_Itens!$E$5:$E$1504,A237,Base_Itens!$I$5:$I$1504)</f>
        <v>1</v>
      </c>
      <c r="G237">
        <f t="shared" si="14"/>
        <v>0</v>
      </c>
      <c r="H237">
        <f>COUNTIF(Base_Itens!$E$5:$E$1504,A237)</f>
        <v>1</v>
      </c>
      <c r="I237" t="str">
        <f t="shared" si="13"/>
        <v>OK</v>
      </c>
      <c r="J237" t="str">
        <f>Base_Itens!E214</f>
        <v>2013-Q2-4</v>
      </c>
      <c r="K237" t="str">
        <f>Base_Itens!G214</f>
        <v>07a — Paridades</v>
      </c>
      <c r="L237">
        <f>COUNTIFS(Base_Itens!$E$5:$E$1504,J237,Base_Itens!$G$5:$G$1504,K237)</f>
        <v>1</v>
      </c>
    </row>
    <row r="238" spans="1:12">
      <c r="A238" t="s">
        <v>2379</v>
      </c>
      <c r="B238">
        <v>2013</v>
      </c>
      <c r="C238" t="s">
        <v>82</v>
      </c>
      <c r="D238">
        <v>1</v>
      </c>
      <c r="E238">
        <v>1</v>
      </c>
      <c r="F238">
        <f>SUMIF(Base_Itens!$E$5:$E$1504,A238,Base_Itens!$I$5:$I$1504)</f>
        <v>1</v>
      </c>
      <c r="G238">
        <f t="shared" si="14"/>
        <v>0</v>
      </c>
      <c r="H238">
        <f>COUNTIF(Base_Itens!$E$5:$E$1504,A238)</f>
        <v>1</v>
      </c>
      <c r="I238" t="str">
        <f t="shared" si="13"/>
        <v>OK</v>
      </c>
      <c r="J238" t="str">
        <f>Base_Itens!E215</f>
        <v>2013-Q3-0</v>
      </c>
      <c r="K238" t="str">
        <f>Base_Itens!G215</f>
        <v>14 — Dívida Pública e Senhoriagem</v>
      </c>
      <c r="L238">
        <f>COUNTIFS(Base_Itens!$E$5:$E$1504,J238,Base_Itens!$G$5:$G$1504,K238)</f>
        <v>1</v>
      </c>
    </row>
    <row r="239" spans="1:12">
      <c r="A239" t="s">
        <v>2380</v>
      </c>
      <c r="B239">
        <v>2013</v>
      </c>
      <c r="C239" t="s">
        <v>82</v>
      </c>
      <c r="D239">
        <v>1</v>
      </c>
      <c r="E239">
        <v>1</v>
      </c>
      <c r="F239">
        <f>SUMIF(Base_Itens!$E$5:$E$1504,A239,Base_Itens!$I$5:$I$1504)</f>
        <v>1</v>
      </c>
      <c r="G239">
        <f t="shared" si="14"/>
        <v>0</v>
      </c>
      <c r="H239">
        <f>COUNTIF(Base_Itens!$E$5:$E$1504,A239)</f>
        <v>1</v>
      </c>
      <c r="I239" t="str">
        <f t="shared" si="13"/>
        <v>OK</v>
      </c>
      <c r="J239" t="str">
        <f>Base_Itens!E216</f>
        <v>2013-Q3-1</v>
      </c>
      <c r="K239" t="str">
        <f>Base_Itens!G216</f>
        <v>03 — Sistema Monetário</v>
      </c>
      <c r="L239">
        <f>COUNTIFS(Base_Itens!$E$5:$E$1504,J239,Base_Itens!$G$5:$G$1504,K239)</f>
        <v>1</v>
      </c>
    </row>
    <row r="240" spans="1:12">
      <c r="A240" t="s">
        <v>2381</v>
      </c>
      <c r="B240">
        <v>2013</v>
      </c>
      <c r="C240" t="s">
        <v>82</v>
      </c>
      <c r="D240">
        <v>1</v>
      </c>
      <c r="E240">
        <v>1</v>
      </c>
      <c r="F240">
        <f>SUMIF(Base_Itens!$E$5:$E$1504,A240,Base_Itens!$I$5:$I$1504)</f>
        <v>1</v>
      </c>
      <c r="G240">
        <f t="shared" si="14"/>
        <v>0</v>
      </c>
      <c r="H240">
        <f>COUNTIF(Base_Itens!$E$5:$E$1504,A240)</f>
        <v>1</v>
      </c>
      <c r="I240" t="str">
        <f t="shared" si="13"/>
        <v>OK</v>
      </c>
      <c r="J240" t="str">
        <f>Base_Itens!E217</f>
        <v>2013-Q3-2</v>
      </c>
      <c r="K240" t="str">
        <f>Base_Itens!G217</f>
        <v>12 — Consumo</v>
      </c>
      <c r="L240">
        <f>COUNTIFS(Base_Itens!$E$5:$E$1504,J240,Base_Itens!$G$5:$G$1504,K240)</f>
        <v>1</v>
      </c>
    </row>
    <row r="241" spans="1:12">
      <c r="A241" t="s">
        <v>2382</v>
      </c>
      <c r="B241">
        <v>2013</v>
      </c>
      <c r="C241" t="s">
        <v>82</v>
      </c>
      <c r="D241">
        <v>1</v>
      </c>
      <c r="E241">
        <v>1</v>
      </c>
      <c r="F241">
        <f>SUMIF(Base_Itens!$E$5:$E$1504,A241,Base_Itens!$I$5:$I$1504)</f>
        <v>1</v>
      </c>
      <c r="G241">
        <f t="shared" si="14"/>
        <v>0</v>
      </c>
      <c r="H241">
        <f>COUNTIF(Base_Itens!$E$5:$E$1504,A241)</f>
        <v>1</v>
      </c>
      <c r="I241" t="str">
        <f t="shared" si="13"/>
        <v>OK</v>
      </c>
      <c r="J241" t="str">
        <f>Base_Itens!E218</f>
        <v>2013-Q3-3</v>
      </c>
      <c r="K241" t="str">
        <f>Base_Itens!G218</f>
        <v>12 — Consumo</v>
      </c>
      <c r="L241">
        <f>COUNTIFS(Base_Itens!$E$5:$E$1504,J241,Base_Itens!$G$5:$G$1504,K241)</f>
        <v>1</v>
      </c>
    </row>
    <row r="242" spans="1:12">
      <c r="A242" t="s">
        <v>2383</v>
      </c>
      <c r="B242">
        <v>2013</v>
      </c>
      <c r="C242" t="s">
        <v>82</v>
      </c>
      <c r="D242">
        <v>1</v>
      </c>
      <c r="E242">
        <v>1</v>
      </c>
      <c r="F242">
        <f>SUMIF(Base_Itens!$E$5:$E$1504,A242,Base_Itens!$I$5:$I$1504)</f>
        <v>1</v>
      </c>
      <c r="G242">
        <f t="shared" si="14"/>
        <v>0</v>
      </c>
      <c r="H242">
        <f>COUNTIF(Base_Itens!$E$5:$E$1504,A242)</f>
        <v>1</v>
      </c>
      <c r="I242" t="str">
        <f t="shared" si="13"/>
        <v>OK</v>
      </c>
      <c r="J242" t="str">
        <f>Base_Itens!E219</f>
        <v>2013-Q3-4</v>
      </c>
      <c r="K242" t="str">
        <f>Base_Itens!G219</f>
        <v>14 — Dívida Pública e Senhoriagem</v>
      </c>
      <c r="L242">
        <f>COUNTIFS(Base_Itens!$E$5:$E$1504,J242,Base_Itens!$G$5:$G$1504,K242)</f>
        <v>1</v>
      </c>
    </row>
    <row r="243" spans="1:12">
      <c r="A243" t="s">
        <v>2384</v>
      </c>
      <c r="B243">
        <v>2013</v>
      </c>
      <c r="C243" t="s">
        <v>82</v>
      </c>
      <c r="D243">
        <v>1</v>
      </c>
      <c r="E243">
        <v>1</v>
      </c>
      <c r="F243">
        <f>SUMIF(Base_Itens!$E$5:$E$1504,A243,Base_Itens!$I$5:$I$1504)</f>
        <v>1</v>
      </c>
      <c r="G243">
        <f t="shared" si="14"/>
        <v>0</v>
      </c>
      <c r="H243">
        <f>COUNTIF(Base_Itens!$E$5:$E$1504,A243)</f>
        <v>1</v>
      </c>
      <c r="I243" t="str">
        <f t="shared" si="13"/>
        <v>OK</v>
      </c>
      <c r="J243" t="str">
        <f>Base_Itens!E220</f>
        <v>2013-Q4-0</v>
      </c>
      <c r="K243" t="str">
        <f>Base_Itens!G220</f>
        <v>09 — Expectativas, Novos Clássicos e Novos Keynesianos</v>
      </c>
      <c r="L243">
        <f>COUNTIFS(Base_Itens!$E$5:$E$1504,J243,Base_Itens!$G$5:$G$1504,K243)</f>
        <v>1</v>
      </c>
    </row>
    <row r="244" spans="1:12">
      <c r="A244" t="s">
        <v>2385</v>
      </c>
      <c r="B244">
        <v>2013</v>
      </c>
      <c r="C244" t="s">
        <v>82</v>
      </c>
      <c r="D244">
        <v>1</v>
      </c>
      <c r="E244">
        <v>1</v>
      </c>
      <c r="F244">
        <f>SUMIF(Base_Itens!$E$5:$E$1504,A244,Base_Itens!$I$5:$I$1504)</f>
        <v>1</v>
      </c>
      <c r="G244">
        <f t="shared" si="14"/>
        <v>0</v>
      </c>
      <c r="H244">
        <f>COUNTIF(Base_Itens!$E$5:$E$1504,A244)</f>
        <v>1</v>
      </c>
      <c r="I244" t="str">
        <f t="shared" si="13"/>
        <v>OK</v>
      </c>
      <c r="J244" t="str">
        <f>Base_Itens!E221</f>
        <v>2013-Q4-1</v>
      </c>
      <c r="K244" t="str">
        <f>Base_Itens!G221</f>
        <v>10 — Ciclos Reais de Negócios (RBC)</v>
      </c>
      <c r="L244">
        <f>COUNTIFS(Base_Itens!$E$5:$E$1504,J244,Base_Itens!$G$5:$G$1504,K244)</f>
        <v>1</v>
      </c>
    </row>
    <row r="245" spans="1:12">
      <c r="A245" t="s">
        <v>2386</v>
      </c>
      <c r="B245">
        <v>2013</v>
      </c>
      <c r="C245" t="s">
        <v>82</v>
      </c>
      <c r="D245">
        <v>1</v>
      </c>
      <c r="E245">
        <v>1</v>
      </c>
      <c r="F245">
        <f>SUMIF(Base_Itens!$E$5:$E$1504,A245,Base_Itens!$I$5:$I$1504)</f>
        <v>1</v>
      </c>
      <c r="G245">
        <f t="shared" si="14"/>
        <v>0</v>
      </c>
      <c r="H245">
        <f>COUNTIF(Base_Itens!$E$5:$E$1504,A245)</f>
        <v>1</v>
      </c>
      <c r="I245" t="str">
        <f t="shared" si="13"/>
        <v>OK</v>
      </c>
      <c r="J245" t="str">
        <f>Base_Itens!E222</f>
        <v>2013-Q4-2</v>
      </c>
      <c r="K245" t="str">
        <f>Base_Itens!G222</f>
        <v>09 — Expectativas, Novos Clássicos e Novos Keynesianos</v>
      </c>
      <c r="L245">
        <f>COUNTIFS(Base_Itens!$E$5:$E$1504,J245,Base_Itens!$G$5:$G$1504,K245)</f>
        <v>1</v>
      </c>
    </row>
    <row r="246" spans="1:12">
      <c r="A246" t="s">
        <v>2387</v>
      </c>
      <c r="B246">
        <v>2013</v>
      </c>
      <c r="C246" t="s">
        <v>82</v>
      </c>
      <c r="D246">
        <v>1</v>
      </c>
      <c r="E246">
        <v>1</v>
      </c>
      <c r="F246">
        <f>SUMIF(Base_Itens!$E$5:$E$1504,A246,Base_Itens!$I$5:$I$1504)</f>
        <v>1</v>
      </c>
      <c r="G246">
        <f t="shared" si="14"/>
        <v>0</v>
      </c>
      <c r="H246">
        <f>COUNTIF(Base_Itens!$E$5:$E$1504,A246)</f>
        <v>1</v>
      </c>
      <c r="I246" t="str">
        <f t="shared" si="13"/>
        <v>OK</v>
      </c>
      <c r="J246" t="str">
        <f>Base_Itens!E223</f>
        <v>2013-Q4-3</v>
      </c>
      <c r="K246" t="str">
        <f>Base_Itens!G223</f>
        <v>08 — Curva de Phillips</v>
      </c>
      <c r="L246">
        <f>COUNTIFS(Base_Itens!$E$5:$E$1504,J246,Base_Itens!$G$5:$G$1504,K246)</f>
        <v>1</v>
      </c>
    </row>
    <row r="247" spans="1:12">
      <c r="A247" t="s">
        <v>2388</v>
      </c>
      <c r="B247">
        <v>2013</v>
      </c>
      <c r="C247" t="s">
        <v>82</v>
      </c>
      <c r="D247">
        <v>1</v>
      </c>
      <c r="E247">
        <v>2</v>
      </c>
      <c r="F247">
        <f>SUMIF(Base_Itens!$E$5:$E$1504,A247,Base_Itens!$I$5:$I$1504)</f>
        <v>1</v>
      </c>
      <c r="G247">
        <f t="shared" si="14"/>
        <v>0</v>
      </c>
      <c r="H247">
        <f>COUNTIF(Base_Itens!$E$5:$E$1504,A247)</f>
        <v>2</v>
      </c>
      <c r="I247" t="str">
        <f t="shared" si="13"/>
        <v>OK</v>
      </c>
      <c r="J247" t="str">
        <f>Base_Itens!E224</f>
        <v>2013-Q4-4</v>
      </c>
      <c r="K247" t="str">
        <f>Base_Itens!G224</f>
        <v>10 — Ciclos Reais de Negócios (RBC)</v>
      </c>
      <c r="L247">
        <f>COUNTIFS(Base_Itens!$E$5:$E$1504,J247,Base_Itens!$G$5:$G$1504,K247)</f>
        <v>1</v>
      </c>
    </row>
    <row r="248" spans="1:12">
      <c r="A248" t="s">
        <v>2389</v>
      </c>
      <c r="B248">
        <v>2013</v>
      </c>
      <c r="C248" t="s">
        <v>82</v>
      </c>
      <c r="D248">
        <v>1</v>
      </c>
      <c r="E248">
        <v>1</v>
      </c>
      <c r="F248">
        <f>SUMIF(Base_Itens!$E$5:$E$1504,A248,Base_Itens!$I$5:$I$1504)</f>
        <v>1</v>
      </c>
      <c r="G248">
        <f t="shared" si="14"/>
        <v>0</v>
      </c>
      <c r="H248">
        <f>COUNTIF(Base_Itens!$E$5:$E$1504,A248)</f>
        <v>1</v>
      </c>
      <c r="I248" t="str">
        <f t="shared" si="13"/>
        <v>OK</v>
      </c>
      <c r="J248" t="str">
        <f>Base_Itens!E225</f>
        <v>2013-Q5-0</v>
      </c>
      <c r="K248" t="str">
        <f>Base_Itens!G225</f>
        <v>11 — Crescimento Econômico</v>
      </c>
      <c r="L248">
        <f>COUNTIFS(Base_Itens!$E$5:$E$1504,J248,Base_Itens!$G$5:$G$1504,K248)</f>
        <v>1</v>
      </c>
    </row>
    <row r="249" spans="1:12">
      <c r="A249" t="s">
        <v>2390</v>
      </c>
      <c r="B249">
        <v>2013</v>
      </c>
      <c r="C249" t="s">
        <v>82</v>
      </c>
      <c r="D249">
        <v>1</v>
      </c>
      <c r="E249">
        <v>1</v>
      </c>
      <c r="F249">
        <f>SUMIF(Base_Itens!$E$5:$E$1504,A249,Base_Itens!$I$5:$I$1504)</f>
        <v>1</v>
      </c>
      <c r="G249">
        <f t="shared" si="14"/>
        <v>0</v>
      </c>
      <c r="H249">
        <f>COUNTIF(Base_Itens!$E$5:$E$1504,A249)</f>
        <v>1</v>
      </c>
      <c r="I249" t="str">
        <f t="shared" si="13"/>
        <v>OK</v>
      </c>
      <c r="J249" t="str">
        <f>Base_Itens!E226</f>
        <v>2013-Q5-1</v>
      </c>
      <c r="K249" t="str">
        <f>Base_Itens!G226</f>
        <v>11 — Crescimento Econômico</v>
      </c>
      <c r="L249">
        <f>COUNTIFS(Base_Itens!$E$5:$E$1504,J249,Base_Itens!$G$5:$G$1504,K249)</f>
        <v>1</v>
      </c>
    </row>
    <row r="250" spans="1:12">
      <c r="A250" t="s">
        <v>2391</v>
      </c>
      <c r="B250">
        <v>2013</v>
      </c>
      <c r="C250" t="s">
        <v>82</v>
      </c>
      <c r="D250">
        <v>1</v>
      </c>
      <c r="E250">
        <v>1</v>
      </c>
      <c r="F250">
        <f>SUMIF(Base_Itens!$E$5:$E$1504,A250,Base_Itens!$I$5:$I$1504)</f>
        <v>1</v>
      </c>
      <c r="G250">
        <f t="shared" si="14"/>
        <v>0</v>
      </c>
      <c r="H250">
        <f>COUNTIF(Base_Itens!$E$5:$E$1504,A250)</f>
        <v>1</v>
      </c>
      <c r="I250" t="str">
        <f t="shared" si="13"/>
        <v>OK</v>
      </c>
      <c r="J250" t="str">
        <f>Base_Itens!E227</f>
        <v>2013-Q5-2</v>
      </c>
      <c r="K250" t="str">
        <f>Base_Itens!G227</f>
        <v>11 — Crescimento Econômico</v>
      </c>
      <c r="L250">
        <f>COUNTIFS(Base_Itens!$E$5:$E$1504,J250,Base_Itens!$G$5:$G$1504,K250)</f>
        <v>1</v>
      </c>
    </row>
    <row r="251" spans="1:12">
      <c r="A251" t="s">
        <v>2392</v>
      </c>
      <c r="B251">
        <v>2013</v>
      </c>
      <c r="C251" t="s">
        <v>82</v>
      </c>
      <c r="D251">
        <v>1</v>
      </c>
      <c r="E251">
        <v>1</v>
      </c>
      <c r="F251">
        <f>SUMIF(Base_Itens!$E$5:$E$1504,A251,Base_Itens!$I$5:$I$1504)</f>
        <v>1</v>
      </c>
      <c r="G251">
        <f t="shared" si="14"/>
        <v>0</v>
      </c>
      <c r="H251">
        <f>COUNTIF(Base_Itens!$E$5:$E$1504,A251)</f>
        <v>1</v>
      </c>
      <c r="I251" t="str">
        <f t="shared" si="13"/>
        <v>OK</v>
      </c>
      <c r="J251" t="str">
        <f>Base_Itens!E228</f>
        <v>2013-Q5-3</v>
      </c>
      <c r="K251" t="str">
        <f>Base_Itens!G228</f>
        <v>11 — Crescimento Econômico</v>
      </c>
      <c r="L251">
        <f>COUNTIFS(Base_Itens!$E$5:$E$1504,J251,Base_Itens!$G$5:$G$1504,K251)</f>
        <v>1</v>
      </c>
    </row>
    <row r="252" spans="1:12">
      <c r="A252" t="s">
        <v>2393</v>
      </c>
      <c r="B252">
        <v>2013</v>
      </c>
      <c r="C252" t="s">
        <v>82</v>
      </c>
      <c r="D252">
        <v>1</v>
      </c>
      <c r="E252">
        <v>1</v>
      </c>
      <c r="F252">
        <f>SUMIF(Base_Itens!$E$5:$E$1504,A252,Base_Itens!$I$5:$I$1504)</f>
        <v>1</v>
      </c>
      <c r="G252">
        <f t="shared" si="14"/>
        <v>0</v>
      </c>
      <c r="H252">
        <f>COUNTIF(Base_Itens!$E$5:$E$1504,A252)</f>
        <v>1</v>
      </c>
      <c r="I252" t="str">
        <f t="shared" si="13"/>
        <v>OK</v>
      </c>
      <c r="J252" t="str">
        <f>Base_Itens!E229</f>
        <v>2013-Q5-4</v>
      </c>
      <c r="K252" t="str">
        <f>Base_Itens!G229</f>
        <v>11 — Crescimento Econômico</v>
      </c>
      <c r="L252">
        <f>COUNTIFS(Base_Itens!$E$5:$E$1504,J252,Base_Itens!$G$5:$G$1504,K252)</f>
        <v>1</v>
      </c>
    </row>
    <row r="253" spans="1:12">
      <c r="A253" t="s">
        <v>2394</v>
      </c>
      <c r="B253">
        <v>2013</v>
      </c>
      <c r="C253" t="s">
        <v>82</v>
      </c>
      <c r="D253">
        <v>1</v>
      </c>
      <c r="E253">
        <v>1</v>
      </c>
      <c r="F253">
        <f>SUMIF(Base_Itens!$E$5:$E$1504,A253,Base_Itens!$I$5:$I$1504)</f>
        <v>1</v>
      </c>
      <c r="G253">
        <f t="shared" si="14"/>
        <v>0</v>
      </c>
      <c r="H253">
        <f>COUNTIF(Base_Itens!$E$5:$E$1504,A253)</f>
        <v>1</v>
      </c>
      <c r="I253" t="str">
        <f t="shared" si="13"/>
        <v>OK</v>
      </c>
      <c r="J253" t="str">
        <f>Base_Itens!E230</f>
        <v>2013-Q6-0</v>
      </c>
      <c r="K253" t="str">
        <f>Base_Itens!G230</f>
        <v>01 — Contas Nacionais</v>
      </c>
      <c r="L253">
        <f>COUNTIFS(Base_Itens!$E$5:$E$1504,J253,Base_Itens!$G$5:$G$1504,K253)</f>
        <v>1</v>
      </c>
    </row>
    <row r="254" spans="1:12">
      <c r="A254" t="s">
        <v>2395</v>
      </c>
      <c r="B254">
        <v>2013</v>
      </c>
      <c r="C254" t="s">
        <v>82</v>
      </c>
      <c r="D254">
        <v>1</v>
      </c>
      <c r="E254">
        <v>1</v>
      </c>
      <c r="F254">
        <f>SUMIF(Base_Itens!$E$5:$E$1504,A254,Base_Itens!$I$5:$I$1504)</f>
        <v>1</v>
      </c>
      <c r="G254">
        <f t="shared" si="14"/>
        <v>0</v>
      </c>
      <c r="H254">
        <f>COUNTIF(Base_Itens!$E$5:$E$1504,A254)</f>
        <v>1</v>
      </c>
      <c r="I254" t="str">
        <f t="shared" si="13"/>
        <v>OK</v>
      </c>
      <c r="J254" t="str">
        <f>Base_Itens!E231</f>
        <v>2013-Q6-1</v>
      </c>
      <c r="K254" t="str">
        <f>Base_Itens!G231</f>
        <v>01 — Contas Nacionais</v>
      </c>
      <c r="L254">
        <f>COUNTIFS(Base_Itens!$E$5:$E$1504,J254,Base_Itens!$G$5:$G$1504,K254)</f>
        <v>1</v>
      </c>
    </row>
    <row r="255" spans="1:12">
      <c r="A255" t="s">
        <v>2396</v>
      </c>
      <c r="B255">
        <v>2013</v>
      </c>
      <c r="C255" t="s">
        <v>82</v>
      </c>
      <c r="D255">
        <v>1</v>
      </c>
      <c r="E255">
        <v>1</v>
      </c>
      <c r="F255">
        <f>SUMIF(Base_Itens!$E$5:$E$1504,A255,Base_Itens!$I$5:$I$1504)</f>
        <v>1</v>
      </c>
      <c r="G255">
        <f t="shared" si="14"/>
        <v>0</v>
      </c>
      <c r="H255">
        <f>COUNTIF(Base_Itens!$E$5:$E$1504,A255)</f>
        <v>1</v>
      </c>
      <c r="I255" t="str">
        <f t="shared" si="13"/>
        <v>OK</v>
      </c>
      <c r="J255" t="str">
        <f>Base_Itens!E232</f>
        <v>2013-Q6-1</v>
      </c>
      <c r="K255" t="str">
        <f>Base_Itens!G232</f>
        <v>02 — Balanço de Pagamentos</v>
      </c>
      <c r="L255">
        <f>COUNTIFS(Base_Itens!$E$5:$E$1504,J255,Base_Itens!$G$5:$G$1504,K255)</f>
        <v>1</v>
      </c>
    </row>
    <row r="256" spans="1:12">
      <c r="A256" t="s">
        <v>2397</v>
      </c>
      <c r="B256">
        <v>2013</v>
      </c>
      <c r="C256" t="s">
        <v>82</v>
      </c>
      <c r="D256">
        <v>1</v>
      </c>
      <c r="E256">
        <v>1</v>
      </c>
      <c r="F256">
        <f>SUMIF(Base_Itens!$E$5:$E$1504,A256,Base_Itens!$I$5:$I$1504)</f>
        <v>1</v>
      </c>
      <c r="G256">
        <f t="shared" si="14"/>
        <v>0</v>
      </c>
      <c r="H256">
        <f>COUNTIF(Base_Itens!$E$5:$E$1504,A256)</f>
        <v>1</v>
      </c>
      <c r="I256" t="str">
        <f t="shared" si="13"/>
        <v>OK</v>
      </c>
      <c r="J256" t="str">
        <f>Base_Itens!E233</f>
        <v>2013-Q6-2</v>
      </c>
      <c r="K256" t="str">
        <f>Base_Itens!G233</f>
        <v>01 — Contas Nacionais</v>
      </c>
      <c r="L256">
        <f>COUNTIFS(Base_Itens!$E$5:$E$1504,J256,Base_Itens!$G$5:$G$1504,K256)</f>
        <v>1</v>
      </c>
    </row>
    <row r="257" spans="1:12">
      <c r="A257" t="s">
        <v>2398</v>
      </c>
      <c r="B257">
        <v>2013</v>
      </c>
      <c r="C257" t="s">
        <v>82</v>
      </c>
      <c r="D257">
        <v>1</v>
      </c>
      <c r="E257">
        <v>1</v>
      </c>
      <c r="F257">
        <f>SUMIF(Base_Itens!$E$5:$E$1504,A257,Base_Itens!$I$5:$I$1504)</f>
        <v>1</v>
      </c>
      <c r="G257">
        <f t="shared" si="14"/>
        <v>0</v>
      </c>
      <c r="H257">
        <f>COUNTIF(Base_Itens!$E$5:$E$1504,A257)</f>
        <v>1</v>
      </c>
      <c r="I257" t="str">
        <f t="shared" si="13"/>
        <v>OK</v>
      </c>
      <c r="J257" t="str">
        <f>Base_Itens!E234</f>
        <v>2013-Q6-3</v>
      </c>
      <c r="K257" t="str">
        <f>Base_Itens!G234</f>
        <v>01 — Contas Nacionais</v>
      </c>
      <c r="L257">
        <f>COUNTIFS(Base_Itens!$E$5:$E$1504,J257,Base_Itens!$G$5:$G$1504,K257)</f>
        <v>1</v>
      </c>
    </row>
    <row r="258" spans="1:12">
      <c r="A258" t="s">
        <v>2399</v>
      </c>
      <c r="B258">
        <v>2013</v>
      </c>
      <c r="C258" t="s">
        <v>82</v>
      </c>
      <c r="D258">
        <v>1</v>
      </c>
      <c r="E258">
        <v>1</v>
      </c>
      <c r="F258">
        <f>SUMIF(Base_Itens!$E$5:$E$1504,A258,Base_Itens!$I$5:$I$1504)</f>
        <v>1</v>
      </c>
      <c r="G258">
        <f t="shared" si="14"/>
        <v>0</v>
      </c>
      <c r="H258">
        <f>COUNTIF(Base_Itens!$E$5:$E$1504,A258)</f>
        <v>1</v>
      </c>
      <c r="I258" t="str">
        <f t="shared" si="13"/>
        <v>OK</v>
      </c>
      <c r="J258" t="str">
        <f>Base_Itens!E235</f>
        <v>2013-Q6-4</v>
      </c>
      <c r="K258" t="str">
        <f>Base_Itens!G235</f>
        <v>07a — Paridades</v>
      </c>
      <c r="L258">
        <f>COUNTIFS(Base_Itens!$E$5:$E$1504,J258,Base_Itens!$G$5:$G$1504,K258)</f>
        <v>1</v>
      </c>
    </row>
    <row r="259" spans="1:12">
      <c r="A259" t="s">
        <v>2400</v>
      </c>
      <c r="B259">
        <v>2013</v>
      </c>
      <c r="C259" t="s">
        <v>82</v>
      </c>
      <c r="D259">
        <v>1</v>
      </c>
      <c r="E259">
        <v>1</v>
      </c>
      <c r="F259">
        <f>SUMIF(Base_Itens!$E$5:$E$1504,A259,Base_Itens!$I$5:$I$1504)</f>
        <v>1</v>
      </c>
      <c r="G259">
        <f t="shared" si="14"/>
        <v>0</v>
      </c>
      <c r="H259">
        <f>COUNTIF(Base_Itens!$E$5:$E$1504,A259)</f>
        <v>1</v>
      </c>
      <c r="I259" t="str">
        <f t="shared" si="13"/>
        <v>OK</v>
      </c>
      <c r="J259" t="str">
        <f>Base_Itens!E236</f>
        <v>2013-Q7-0</v>
      </c>
      <c r="K259" t="str">
        <f>Base_Itens!G236</f>
        <v>12 — Consumo</v>
      </c>
      <c r="L259">
        <f>COUNTIFS(Base_Itens!$E$5:$E$1504,J259,Base_Itens!$G$5:$G$1504,K259)</f>
        <v>1</v>
      </c>
    </row>
    <row r="260" spans="1:12">
      <c r="A260" t="s">
        <v>2401</v>
      </c>
      <c r="B260">
        <v>2013</v>
      </c>
      <c r="C260" t="s">
        <v>82</v>
      </c>
      <c r="D260">
        <v>1</v>
      </c>
      <c r="E260">
        <v>1</v>
      </c>
      <c r="F260">
        <f>SUMIF(Base_Itens!$E$5:$E$1504,A260,Base_Itens!$I$5:$I$1504)</f>
        <v>1</v>
      </c>
      <c r="G260">
        <f t="shared" si="14"/>
        <v>0</v>
      </c>
      <c r="H260">
        <f>COUNTIF(Base_Itens!$E$5:$E$1504,A260)</f>
        <v>1</v>
      </c>
      <c r="I260" t="str">
        <f t="shared" si="13"/>
        <v>OK</v>
      </c>
      <c r="J260" t="str">
        <f>Base_Itens!E237</f>
        <v>2013-Q7-1</v>
      </c>
      <c r="K260" t="str">
        <f>Base_Itens!G237</f>
        <v>12 — Consumo</v>
      </c>
      <c r="L260">
        <f>COUNTIFS(Base_Itens!$E$5:$E$1504,J260,Base_Itens!$G$5:$G$1504,K260)</f>
        <v>1</v>
      </c>
    </row>
    <row r="261" spans="1:12">
      <c r="A261" t="s">
        <v>2402</v>
      </c>
      <c r="B261">
        <v>2013</v>
      </c>
      <c r="C261" t="s">
        <v>82</v>
      </c>
      <c r="D261">
        <v>1</v>
      </c>
      <c r="E261">
        <v>1</v>
      </c>
      <c r="F261">
        <f>SUMIF(Base_Itens!$E$5:$E$1504,A261,Base_Itens!$I$5:$I$1504)</f>
        <v>1</v>
      </c>
      <c r="G261">
        <f t="shared" si="14"/>
        <v>0</v>
      </c>
      <c r="H261">
        <f>COUNTIF(Base_Itens!$E$5:$E$1504,A261)</f>
        <v>1</v>
      </c>
      <c r="I261" t="str">
        <f t="shared" si="13"/>
        <v>OK</v>
      </c>
      <c r="J261" t="str">
        <f>Base_Itens!E238</f>
        <v>2013-Q7-2</v>
      </c>
      <c r="K261" t="str">
        <f>Base_Itens!G238</f>
        <v>12 — Consumo</v>
      </c>
      <c r="L261">
        <f>COUNTIFS(Base_Itens!$E$5:$E$1504,J261,Base_Itens!$G$5:$G$1504,K261)</f>
        <v>1</v>
      </c>
    </row>
    <row r="262" spans="1:12">
      <c r="A262" t="s">
        <v>2403</v>
      </c>
      <c r="B262">
        <v>2013</v>
      </c>
      <c r="C262" t="s">
        <v>82</v>
      </c>
      <c r="D262">
        <v>1</v>
      </c>
      <c r="E262">
        <v>1</v>
      </c>
      <c r="F262">
        <f>SUMIF(Base_Itens!$E$5:$E$1504,A262,Base_Itens!$I$5:$I$1504)</f>
        <v>1</v>
      </c>
      <c r="G262">
        <f t="shared" si="14"/>
        <v>0</v>
      </c>
      <c r="H262">
        <f>COUNTIF(Base_Itens!$E$5:$E$1504,A262)</f>
        <v>1</v>
      </c>
      <c r="I262" t="str">
        <f t="shared" ref="I262:I325" si="15">IF(AND(G262=0,H262=E262),"OK","REVER")</f>
        <v>OK</v>
      </c>
      <c r="J262" t="str">
        <f>Base_Itens!E239</f>
        <v>2013-Q7-3</v>
      </c>
      <c r="K262" t="str">
        <f>Base_Itens!G239</f>
        <v>13 — Investimento</v>
      </c>
      <c r="L262">
        <f>COUNTIFS(Base_Itens!$E$5:$E$1504,J262,Base_Itens!$G$5:$G$1504,K262)</f>
        <v>1</v>
      </c>
    </row>
    <row r="263" spans="1:12">
      <c r="A263" t="s">
        <v>2404</v>
      </c>
      <c r="B263">
        <v>2013</v>
      </c>
      <c r="C263" t="s">
        <v>82</v>
      </c>
      <c r="D263">
        <v>1</v>
      </c>
      <c r="E263">
        <v>1</v>
      </c>
      <c r="F263">
        <f>SUMIF(Base_Itens!$E$5:$E$1504,A263,Base_Itens!$I$5:$I$1504)</f>
        <v>1</v>
      </c>
      <c r="G263">
        <f t="shared" si="14"/>
        <v>0</v>
      </c>
      <c r="H263">
        <f>COUNTIF(Base_Itens!$E$5:$E$1504,A263)</f>
        <v>1</v>
      </c>
      <c r="I263" t="str">
        <f t="shared" si="15"/>
        <v>OK</v>
      </c>
      <c r="J263" t="str">
        <f>Base_Itens!E240</f>
        <v>2013-Q7-4</v>
      </c>
      <c r="K263" t="str">
        <f>Base_Itens!G240</f>
        <v>13 — Investimento</v>
      </c>
      <c r="L263">
        <f>COUNTIFS(Base_Itens!$E$5:$E$1504,J263,Base_Itens!$G$5:$G$1504,K263)</f>
        <v>1</v>
      </c>
    </row>
    <row r="264" spans="1:12">
      <c r="A264" t="s">
        <v>2405</v>
      </c>
      <c r="B264">
        <v>2013</v>
      </c>
      <c r="C264" t="s">
        <v>82</v>
      </c>
      <c r="D264">
        <v>1</v>
      </c>
      <c r="E264">
        <v>1</v>
      </c>
      <c r="F264">
        <f>SUMIF(Base_Itens!$E$5:$E$1504,A264,Base_Itens!$I$5:$I$1504)</f>
        <v>1</v>
      </c>
      <c r="G264">
        <f t="shared" si="14"/>
        <v>0</v>
      </c>
      <c r="H264">
        <f>COUNTIF(Base_Itens!$E$5:$E$1504,A264)</f>
        <v>1</v>
      </c>
      <c r="I264" t="str">
        <f t="shared" si="15"/>
        <v>OK</v>
      </c>
      <c r="J264" t="str">
        <f>Base_Itens!E241</f>
        <v>2013-Q8-0</v>
      </c>
      <c r="K264" t="str">
        <f>Base_Itens!G241</f>
        <v>04 — Demanda por Moeda</v>
      </c>
      <c r="L264">
        <f>COUNTIFS(Base_Itens!$E$5:$E$1504,J264,Base_Itens!$G$5:$G$1504,K264)</f>
        <v>1</v>
      </c>
    </row>
    <row r="265" spans="1:12">
      <c r="A265" t="s">
        <v>2406</v>
      </c>
      <c r="B265">
        <v>2013</v>
      </c>
      <c r="C265" t="s">
        <v>82</v>
      </c>
      <c r="D265">
        <v>1</v>
      </c>
      <c r="E265">
        <v>1</v>
      </c>
      <c r="F265">
        <f>SUMIF(Base_Itens!$E$5:$E$1504,A265,Base_Itens!$I$5:$I$1504)</f>
        <v>1</v>
      </c>
      <c r="G265">
        <f t="shared" si="14"/>
        <v>0</v>
      </c>
      <c r="H265">
        <f>COUNTIF(Base_Itens!$E$5:$E$1504,A265)</f>
        <v>1</v>
      </c>
      <c r="I265" t="str">
        <f t="shared" si="15"/>
        <v>OK</v>
      </c>
      <c r="J265" t="str">
        <f>Base_Itens!E242</f>
        <v>2013-Q8-1</v>
      </c>
      <c r="K265" t="str">
        <f>Base_Itens!G242</f>
        <v>04 — Demanda por Moeda</v>
      </c>
      <c r="L265">
        <f>COUNTIFS(Base_Itens!$E$5:$E$1504,J265,Base_Itens!$G$5:$G$1504,K265)</f>
        <v>1</v>
      </c>
    </row>
    <row r="266" spans="1:12">
      <c r="A266" t="s">
        <v>2407</v>
      </c>
      <c r="B266">
        <v>2013</v>
      </c>
      <c r="C266" t="s">
        <v>82</v>
      </c>
      <c r="D266">
        <v>1</v>
      </c>
      <c r="E266">
        <v>1</v>
      </c>
      <c r="F266">
        <f>SUMIF(Base_Itens!$E$5:$E$1504,A266,Base_Itens!$I$5:$I$1504)</f>
        <v>1</v>
      </c>
      <c r="G266">
        <f t="shared" si="14"/>
        <v>0</v>
      </c>
      <c r="H266">
        <f>COUNTIF(Base_Itens!$E$5:$E$1504,A266)</f>
        <v>1</v>
      </c>
      <c r="I266" t="str">
        <f t="shared" si="15"/>
        <v>OK</v>
      </c>
      <c r="J266" t="str">
        <f>Base_Itens!E243</f>
        <v>2013-Q8-2</v>
      </c>
      <c r="K266" t="str">
        <f>Base_Itens!G243</f>
        <v>09 — Expectativas, Novos Clássicos e Novos Keynesianos</v>
      </c>
      <c r="L266">
        <f>COUNTIFS(Base_Itens!$E$5:$E$1504,J266,Base_Itens!$G$5:$G$1504,K266)</f>
        <v>1</v>
      </c>
    </row>
    <row r="267" spans="1:12">
      <c r="A267" t="s">
        <v>2408</v>
      </c>
      <c r="B267">
        <v>2013</v>
      </c>
      <c r="C267" t="s">
        <v>82</v>
      </c>
      <c r="D267">
        <v>1</v>
      </c>
      <c r="E267">
        <v>1</v>
      </c>
      <c r="F267">
        <f>SUMIF(Base_Itens!$E$5:$E$1504,A267,Base_Itens!$I$5:$I$1504)</f>
        <v>1</v>
      </c>
      <c r="G267">
        <f t="shared" si="14"/>
        <v>0</v>
      </c>
      <c r="H267">
        <f>COUNTIF(Base_Itens!$E$5:$E$1504,A267)</f>
        <v>1</v>
      </c>
      <c r="I267" t="str">
        <f t="shared" si="15"/>
        <v>OK</v>
      </c>
      <c r="J267" t="str">
        <f>Base_Itens!E244</f>
        <v>2013-Q8-3</v>
      </c>
      <c r="K267" t="str">
        <f>Base_Itens!G244</f>
        <v>01 — Contas Nacionais</v>
      </c>
      <c r="L267">
        <f>COUNTIFS(Base_Itens!$E$5:$E$1504,J267,Base_Itens!$G$5:$G$1504,K267)</f>
        <v>1</v>
      </c>
    </row>
    <row r="268" spans="1:12">
      <c r="A268" t="s">
        <v>2409</v>
      </c>
      <c r="B268">
        <v>2013</v>
      </c>
      <c r="C268" t="s">
        <v>82</v>
      </c>
      <c r="D268">
        <v>1</v>
      </c>
      <c r="E268">
        <v>1</v>
      </c>
      <c r="F268">
        <f>SUMIF(Base_Itens!$E$5:$E$1504,A268,Base_Itens!$I$5:$I$1504)</f>
        <v>1</v>
      </c>
      <c r="G268">
        <f t="shared" si="14"/>
        <v>0</v>
      </c>
      <c r="H268">
        <f>COUNTIF(Base_Itens!$E$5:$E$1504,A268)</f>
        <v>1</v>
      </c>
      <c r="I268" t="str">
        <f t="shared" si="15"/>
        <v>OK</v>
      </c>
      <c r="J268" t="str">
        <f>Base_Itens!E245</f>
        <v>2013-Q8-4</v>
      </c>
      <c r="K268" t="str">
        <f>Base_Itens!G245</f>
        <v>01 — Contas Nacionais</v>
      </c>
      <c r="L268">
        <f>COUNTIFS(Base_Itens!$E$5:$E$1504,J268,Base_Itens!$G$5:$G$1504,K268)</f>
        <v>1</v>
      </c>
    </row>
    <row r="269" spans="1:12">
      <c r="A269" t="s">
        <v>2410</v>
      </c>
      <c r="B269">
        <v>2013</v>
      </c>
      <c r="C269" t="s">
        <v>82</v>
      </c>
      <c r="D269">
        <v>1</v>
      </c>
      <c r="E269">
        <v>1</v>
      </c>
      <c r="F269">
        <f>SUMIF(Base_Itens!$E$5:$E$1504,A269,Base_Itens!$I$5:$I$1504)</f>
        <v>1</v>
      </c>
      <c r="G269">
        <f t="shared" si="14"/>
        <v>0</v>
      </c>
      <c r="H269">
        <f>COUNTIF(Base_Itens!$E$5:$E$1504,A269)</f>
        <v>1</v>
      </c>
      <c r="I269" t="str">
        <f t="shared" si="15"/>
        <v>OK</v>
      </c>
      <c r="J269" t="str">
        <f>Base_Itens!E246</f>
        <v>2013-Q9-0</v>
      </c>
      <c r="K269" t="str">
        <f>Base_Itens!G246</f>
        <v>07a — Paridades</v>
      </c>
      <c r="L269">
        <f>COUNTIFS(Base_Itens!$E$5:$E$1504,J269,Base_Itens!$G$5:$G$1504,K269)</f>
        <v>1</v>
      </c>
    </row>
    <row r="270" spans="1:12">
      <c r="A270" t="s">
        <v>2411</v>
      </c>
      <c r="B270">
        <v>2013</v>
      </c>
      <c r="C270" t="s">
        <v>82</v>
      </c>
      <c r="D270">
        <v>1</v>
      </c>
      <c r="E270">
        <v>1</v>
      </c>
      <c r="F270">
        <f>SUMIF(Base_Itens!$E$5:$E$1504,A270,Base_Itens!$I$5:$I$1504)</f>
        <v>1</v>
      </c>
      <c r="G270">
        <f t="shared" si="14"/>
        <v>0</v>
      </c>
      <c r="H270">
        <f>COUNTIF(Base_Itens!$E$5:$E$1504,A270)</f>
        <v>1</v>
      </c>
      <c r="I270" t="str">
        <f t="shared" si="15"/>
        <v>OK</v>
      </c>
      <c r="J270" t="str">
        <f>Base_Itens!E247</f>
        <v>2013-Q9-1</v>
      </c>
      <c r="K270" t="str">
        <f>Base_Itens!G247</f>
        <v>07a — Paridades</v>
      </c>
      <c r="L270">
        <f>COUNTIFS(Base_Itens!$E$5:$E$1504,J270,Base_Itens!$G$5:$G$1504,K270)</f>
        <v>1</v>
      </c>
    </row>
    <row r="271" spans="1:12">
      <c r="A271" t="s">
        <v>2412</v>
      </c>
      <c r="B271">
        <v>2013</v>
      </c>
      <c r="C271" t="s">
        <v>82</v>
      </c>
      <c r="D271">
        <v>1</v>
      </c>
      <c r="E271">
        <v>1</v>
      </c>
      <c r="F271">
        <f>SUMIF(Base_Itens!$E$5:$E$1504,A271,Base_Itens!$I$5:$I$1504)</f>
        <v>1</v>
      </c>
      <c r="G271">
        <f t="shared" si="14"/>
        <v>0</v>
      </c>
      <c r="H271">
        <f>COUNTIF(Base_Itens!$E$5:$E$1504,A271)</f>
        <v>1</v>
      </c>
      <c r="I271" t="str">
        <f t="shared" si="15"/>
        <v>OK</v>
      </c>
      <c r="J271" t="str">
        <f>Base_Itens!E248</f>
        <v>2013-Q9-2</v>
      </c>
      <c r="K271" t="str">
        <f>Base_Itens!G248</f>
        <v>07a — Paridades</v>
      </c>
      <c r="L271">
        <f>COUNTIFS(Base_Itens!$E$5:$E$1504,J271,Base_Itens!$G$5:$G$1504,K271)</f>
        <v>1</v>
      </c>
    </row>
    <row r="272" spans="1:12">
      <c r="A272" t="s">
        <v>2413</v>
      </c>
      <c r="B272">
        <v>2013</v>
      </c>
      <c r="C272" t="s">
        <v>82</v>
      </c>
      <c r="D272">
        <v>1</v>
      </c>
      <c r="E272">
        <v>1</v>
      </c>
      <c r="F272">
        <f>SUMIF(Base_Itens!$E$5:$E$1504,A272,Base_Itens!$I$5:$I$1504)</f>
        <v>1</v>
      </c>
      <c r="G272">
        <f t="shared" si="14"/>
        <v>0</v>
      </c>
      <c r="H272">
        <f>COUNTIF(Base_Itens!$E$5:$E$1504,A272)</f>
        <v>1</v>
      </c>
      <c r="I272" t="str">
        <f t="shared" si="15"/>
        <v>OK</v>
      </c>
      <c r="J272" t="str">
        <f>Base_Itens!E249</f>
        <v>2013-Q9-3</v>
      </c>
      <c r="K272" t="str">
        <f>Base_Itens!G249</f>
        <v>07a — Paridades</v>
      </c>
      <c r="L272">
        <f>COUNTIFS(Base_Itens!$E$5:$E$1504,J272,Base_Itens!$G$5:$G$1504,K272)</f>
        <v>1</v>
      </c>
    </row>
    <row r="273" spans="1:12">
      <c r="A273" t="s">
        <v>2414</v>
      </c>
      <c r="B273">
        <v>2013</v>
      </c>
      <c r="C273" t="s">
        <v>82</v>
      </c>
      <c r="D273">
        <v>1</v>
      </c>
      <c r="E273">
        <v>1</v>
      </c>
      <c r="F273">
        <f>SUMIF(Base_Itens!$E$5:$E$1504,A273,Base_Itens!$I$5:$I$1504)</f>
        <v>1</v>
      </c>
      <c r="G273">
        <f t="shared" si="14"/>
        <v>0</v>
      </c>
      <c r="H273">
        <f>COUNTIF(Base_Itens!$E$5:$E$1504,A273)</f>
        <v>1</v>
      </c>
      <c r="I273" t="str">
        <f t="shared" si="15"/>
        <v>OK</v>
      </c>
      <c r="J273" t="str">
        <f>Base_Itens!E250</f>
        <v>2013-Q9-4</v>
      </c>
      <c r="K273" t="str">
        <f>Base_Itens!G250</f>
        <v>07a — Paridades</v>
      </c>
      <c r="L273">
        <f>COUNTIFS(Base_Itens!$E$5:$E$1504,J273,Base_Itens!$G$5:$G$1504,K273)</f>
        <v>1</v>
      </c>
    </row>
    <row r="274" spans="1:12">
      <c r="A274" t="s">
        <v>2415</v>
      </c>
      <c r="B274">
        <v>2013</v>
      </c>
      <c r="C274" t="s">
        <v>82</v>
      </c>
      <c r="D274">
        <v>1</v>
      </c>
      <c r="E274">
        <v>1</v>
      </c>
      <c r="F274">
        <f>SUMIF(Base_Itens!$E$5:$E$1504,A274,Base_Itens!$I$5:$I$1504)</f>
        <v>1</v>
      </c>
      <c r="G274">
        <f t="shared" si="14"/>
        <v>0</v>
      </c>
      <c r="H274">
        <f>COUNTIF(Base_Itens!$E$5:$E$1504,A274)</f>
        <v>1</v>
      </c>
      <c r="I274" t="str">
        <f t="shared" si="15"/>
        <v>OK</v>
      </c>
      <c r="J274" t="str">
        <f>Base_Itens!E251</f>
        <v>2013-Q10-0</v>
      </c>
      <c r="K274" t="str">
        <f>Base_Itens!G251</f>
        <v>03 — Sistema Monetário</v>
      </c>
      <c r="L274">
        <f>COUNTIFS(Base_Itens!$E$5:$E$1504,J274,Base_Itens!$G$5:$G$1504,K274)</f>
        <v>1</v>
      </c>
    </row>
    <row r="275" spans="1:12">
      <c r="A275" t="s">
        <v>2416</v>
      </c>
      <c r="B275">
        <v>2013</v>
      </c>
      <c r="C275" t="s">
        <v>82</v>
      </c>
      <c r="D275">
        <v>1</v>
      </c>
      <c r="E275">
        <v>1</v>
      </c>
      <c r="F275">
        <f>SUMIF(Base_Itens!$E$5:$E$1504,A275,Base_Itens!$I$5:$I$1504)</f>
        <v>1</v>
      </c>
      <c r="G275">
        <f t="shared" si="14"/>
        <v>0</v>
      </c>
      <c r="H275">
        <f>COUNTIF(Base_Itens!$E$5:$E$1504,A275)</f>
        <v>1</v>
      </c>
      <c r="I275" t="str">
        <f t="shared" si="15"/>
        <v>OK</v>
      </c>
      <c r="J275" t="str">
        <f>Base_Itens!E252</f>
        <v>2013-Q10-1</v>
      </c>
      <c r="K275" t="str">
        <f>Base_Itens!G252</f>
        <v>04 — Demanda por Moeda</v>
      </c>
      <c r="L275">
        <f>COUNTIFS(Base_Itens!$E$5:$E$1504,J275,Base_Itens!$G$5:$G$1504,K275)</f>
        <v>1</v>
      </c>
    </row>
    <row r="276" spans="1:12">
      <c r="A276" t="s">
        <v>2417</v>
      </c>
      <c r="B276">
        <v>2013</v>
      </c>
      <c r="C276" t="s">
        <v>82</v>
      </c>
      <c r="D276">
        <v>1</v>
      </c>
      <c r="E276">
        <v>1</v>
      </c>
      <c r="F276">
        <f>SUMIF(Base_Itens!$E$5:$E$1504,A276,Base_Itens!$I$5:$I$1504)</f>
        <v>1</v>
      </c>
      <c r="G276">
        <f t="shared" si="14"/>
        <v>0</v>
      </c>
      <c r="H276">
        <f>COUNTIF(Base_Itens!$E$5:$E$1504,A276)</f>
        <v>1</v>
      </c>
      <c r="I276" t="str">
        <f t="shared" si="15"/>
        <v>OK</v>
      </c>
      <c r="J276" t="str">
        <f>Base_Itens!E253</f>
        <v>2013-Q10-2</v>
      </c>
      <c r="K276" t="str">
        <f>Base_Itens!G253</f>
        <v>03 — Sistema Monetário</v>
      </c>
      <c r="L276">
        <f>COUNTIFS(Base_Itens!$E$5:$E$1504,J276,Base_Itens!$G$5:$G$1504,K276)</f>
        <v>1</v>
      </c>
    </row>
    <row r="277" spans="1:12">
      <c r="A277" t="s">
        <v>2418</v>
      </c>
      <c r="B277">
        <v>2013</v>
      </c>
      <c r="C277" t="s">
        <v>82</v>
      </c>
      <c r="D277">
        <v>1</v>
      </c>
      <c r="E277">
        <v>1</v>
      </c>
      <c r="F277">
        <f>SUMIF(Base_Itens!$E$5:$E$1504,A277,Base_Itens!$I$5:$I$1504)</f>
        <v>1</v>
      </c>
      <c r="G277">
        <f t="shared" si="14"/>
        <v>0</v>
      </c>
      <c r="H277">
        <f>COUNTIF(Base_Itens!$E$5:$E$1504,A277)</f>
        <v>1</v>
      </c>
      <c r="I277" t="str">
        <f t="shared" si="15"/>
        <v>OK</v>
      </c>
      <c r="J277" t="str">
        <f>Base_Itens!E254</f>
        <v>2013-Q10-3</v>
      </c>
      <c r="K277" t="str">
        <f>Base_Itens!G254</f>
        <v>03 — Sistema Monetário</v>
      </c>
      <c r="L277">
        <f>COUNTIFS(Base_Itens!$E$5:$E$1504,J277,Base_Itens!$G$5:$G$1504,K277)</f>
        <v>1</v>
      </c>
    </row>
    <row r="278" spans="1:12">
      <c r="A278" t="s">
        <v>2419</v>
      </c>
      <c r="B278">
        <v>2013</v>
      </c>
      <c r="C278" t="s">
        <v>82</v>
      </c>
      <c r="D278">
        <v>1</v>
      </c>
      <c r="E278">
        <v>2</v>
      </c>
      <c r="F278">
        <f>SUMIF(Base_Itens!$E$5:$E$1504,A278,Base_Itens!$I$5:$I$1504)</f>
        <v>1</v>
      </c>
      <c r="G278">
        <f t="shared" si="14"/>
        <v>0</v>
      </c>
      <c r="H278">
        <f>COUNTIF(Base_Itens!$E$5:$E$1504,A278)</f>
        <v>2</v>
      </c>
      <c r="I278" t="str">
        <f t="shared" si="15"/>
        <v>OK</v>
      </c>
      <c r="J278" t="str">
        <f>Base_Itens!E255</f>
        <v>2013-Q10-4</v>
      </c>
      <c r="K278" t="str">
        <f>Base_Itens!G255</f>
        <v>04 — Demanda por Moeda</v>
      </c>
      <c r="L278">
        <f>COUNTIFS(Base_Itens!$E$5:$E$1504,J278,Base_Itens!$G$5:$G$1504,K278)</f>
        <v>1</v>
      </c>
    </row>
    <row r="279" spans="1:12">
      <c r="A279" t="s">
        <v>2420</v>
      </c>
      <c r="B279">
        <v>2013</v>
      </c>
      <c r="C279" t="s">
        <v>82</v>
      </c>
      <c r="D279">
        <v>1</v>
      </c>
      <c r="E279">
        <v>1</v>
      </c>
      <c r="F279">
        <f>SUMIF(Base_Itens!$E$5:$E$1504,A279,Base_Itens!$I$5:$I$1504)</f>
        <v>1</v>
      </c>
      <c r="G279">
        <f t="shared" si="14"/>
        <v>0</v>
      </c>
      <c r="H279">
        <f>COUNTIF(Base_Itens!$E$5:$E$1504,A279)</f>
        <v>1</v>
      </c>
      <c r="I279" t="str">
        <f t="shared" si="15"/>
        <v>OK</v>
      </c>
      <c r="J279" t="str">
        <f>Base_Itens!E256</f>
        <v>2013-Q11-0</v>
      </c>
      <c r="K279" t="str">
        <f>Base_Itens!G256</f>
        <v>09 — Expectativas, Novos Clássicos e Novos Keynesianos</v>
      </c>
      <c r="L279">
        <f>COUNTIFS(Base_Itens!$E$5:$E$1504,J279,Base_Itens!$G$5:$G$1504,K279)</f>
        <v>1</v>
      </c>
    </row>
    <row r="280" spans="1:12">
      <c r="A280" t="s">
        <v>2421</v>
      </c>
      <c r="B280">
        <v>2013</v>
      </c>
      <c r="C280" t="s">
        <v>82</v>
      </c>
      <c r="D280">
        <v>1</v>
      </c>
      <c r="E280">
        <v>2</v>
      </c>
      <c r="F280">
        <f>SUMIF(Base_Itens!$E$5:$E$1504,A280,Base_Itens!$I$5:$I$1504)</f>
        <v>1</v>
      </c>
      <c r="G280">
        <f t="shared" si="14"/>
        <v>0</v>
      </c>
      <c r="H280">
        <f>COUNTIF(Base_Itens!$E$5:$E$1504,A280)</f>
        <v>2</v>
      </c>
      <c r="I280" t="str">
        <f t="shared" si="15"/>
        <v>OK</v>
      </c>
      <c r="J280" t="str">
        <f>Base_Itens!E257</f>
        <v>2013-Q11-1</v>
      </c>
      <c r="K280" t="str">
        <f>Base_Itens!G257</f>
        <v>10 — Ciclos Reais de Negócios (RBC)</v>
      </c>
      <c r="L280">
        <f>COUNTIFS(Base_Itens!$E$5:$E$1504,J280,Base_Itens!$G$5:$G$1504,K280)</f>
        <v>1</v>
      </c>
    </row>
    <row r="281" spans="1:12">
      <c r="A281" t="s">
        <v>2422</v>
      </c>
      <c r="B281">
        <v>2013</v>
      </c>
      <c r="C281" t="s">
        <v>82</v>
      </c>
      <c r="D281">
        <v>1</v>
      </c>
      <c r="E281">
        <v>1</v>
      </c>
      <c r="F281">
        <f>SUMIF(Base_Itens!$E$5:$E$1504,A281,Base_Itens!$I$5:$I$1504)</f>
        <v>1</v>
      </c>
      <c r="G281">
        <f t="shared" si="14"/>
        <v>0</v>
      </c>
      <c r="H281">
        <f>COUNTIF(Base_Itens!$E$5:$E$1504,A281)</f>
        <v>1</v>
      </c>
      <c r="I281" t="str">
        <f t="shared" si="15"/>
        <v>OK</v>
      </c>
      <c r="J281" t="str">
        <f>Base_Itens!E258</f>
        <v>2013-Q11-2</v>
      </c>
      <c r="K281" t="str">
        <f>Base_Itens!G258</f>
        <v>09 — Expectativas, Novos Clássicos e Novos Keynesianos</v>
      </c>
      <c r="L281">
        <f>COUNTIFS(Base_Itens!$E$5:$E$1504,J281,Base_Itens!$G$5:$G$1504,K281)</f>
        <v>1</v>
      </c>
    </row>
    <row r="282" spans="1:12">
      <c r="A282" t="s">
        <v>2423</v>
      </c>
      <c r="B282">
        <v>2013</v>
      </c>
      <c r="C282" t="s">
        <v>82</v>
      </c>
      <c r="D282">
        <v>1</v>
      </c>
      <c r="E282">
        <v>1</v>
      </c>
      <c r="F282">
        <f>SUMIF(Base_Itens!$E$5:$E$1504,A282,Base_Itens!$I$5:$I$1504)</f>
        <v>1</v>
      </c>
      <c r="G282">
        <f t="shared" si="14"/>
        <v>0</v>
      </c>
      <c r="H282">
        <f>COUNTIF(Base_Itens!$E$5:$E$1504,A282)</f>
        <v>1</v>
      </c>
      <c r="I282" t="str">
        <f t="shared" si="15"/>
        <v>OK</v>
      </c>
      <c r="J282" t="str">
        <f>Base_Itens!E259</f>
        <v>2013-Q11-3</v>
      </c>
      <c r="K282" t="str">
        <f>Base_Itens!G259</f>
        <v>09 — Expectativas, Novos Clássicos e Novos Keynesianos</v>
      </c>
      <c r="L282">
        <f>COUNTIFS(Base_Itens!$E$5:$E$1504,J282,Base_Itens!$G$5:$G$1504,K282)</f>
        <v>1</v>
      </c>
    </row>
    <row r="283" spans="1:12">
      <c r="A283" t="s">
        <v>2424</v>
      </c>
      <c r="B283">
        <v>2013</v>
      </c>
      <c r="C283" t="s">
        <v>82</v>
      </c>
      <c r="D283">
        <v>1</v>
      </c>
      <c r="E283">
        <v>1</v>
      </c>
      <c r="F283">
        <f>SUMIF(Base_Itens!$E$5:$E$1504,A283,Base_Itens!$I$5:$I$1504)</f>
        <v>1</v>
      </c>
      <c r="G283">
        <f t="shared" si="14"/>
        <v>0</v>
      </c>
      <c r="H283">
        <f>COUNTIF(Base_Itens!$E$5:$E$1504,A283)</f>
        <v>1</v>
      </c>
      <c r="I283" t="str">
        <f t="shared" si="15"/>
        <v>OK</v>
      </c>
      <c r="J283" t="str">
        <f>Base_Itens!E260</f>
        <v>2013-Q11-4</v>
      </c>
      <c r="K283" t="str">
        <f>Base_Itens!G260</f>
        <v>07b — OA-DA</v>
      </c>
      <c r="L283">
        <f>COUNTIFS(Base_Itens!$E$5:$E$1504,J283,Base_Itens!$G$5:$G$1504,K283)</f>
        <v>1</v>
      </c>
    </row>
    <row r="284" spans="1:12">
      <c r="A284" t="s">
        <v>2425</v>
      </c>
      <c r="B284">
        <v>2013</v>
      </c>
      <c r="C284" t="s">
        <v>82</v>
      </c>
      <c r="D284">
        <v>1</v>
      </c>
      <c r="E284">
        <v>1</v>
      </c>
      <c r="F284">
        <f>SUMIF(Base_Itens!$E$5:$E$1504,A284,Base_Itens!$I$5:$I$1504)</f>
        <v>1</v>
      </c>
      <c r="G284">
        <f t="shared" ref="G284:G347" si="16">F284-D284</f>
        <v>0</v>
      </c>
      <c r="H284">
        <f>COUNTIF(Base_Itens!$E$5:$E$1504,A284)</f>
        <v>1</v>
      </c>
      <c r="I284" t="str">
        <f t="shared" si="15"/>
        <v>OK</v>
      </c>
      <c r="J284" t="str">
        <f>Base_Itens!E261</f>
        <v>2013-Q12-0</v>
      </c>
      <c r="K284" t="str">
        <f>Base_Itens!G261</f>
        <v>02 — Balanço de Pagamentos</v>
      </c>
      <c r="L284">
        <f>COUNTIFS(Base_Itens!$E$5:$E$1504,J284,Base_Itens!$G$5:$G$1504,K284)</f>
        <v>1</v>
      </c>
    </row>
    <row r="285" spans="1:12">
      <c r="A285" t="s">
        <v>2426</v>
      </c>
      <c r="B285">
        <v>2013</v>
      </c>
      <c r="C285" t="s">
        <v>82</v>
      </c>
      <c r="D285">
        <v>1</v>
      </c>
      <c r="E285">
        <v>1</v>
      </c>
      <c r="F285">
        <f>SUMIF(Base_Itens!$E$5:$E$1504,A285,Base_Itens!$I$5:$I$1504)</f>
        <v>1</v>
      </c>
      <c r="G285">
        <f t="shared" si="16"/>
        <v>0</v>
      </c>
      <c r="H285">
        <f>COUNTIF(Base_Itens!$E$5:$E$1504,A285)</f>
        <v>1</v>
      </c>
      <c r="I285" t="str">
        <f t="shared" si="15"/>
        <v>OK</v>
      </c>
      <c r="J285" t="str">
        <f>Base_Itens!E262</f>
        <v>2013-Q12-1</v>
      </c>
      <c r="K285" t="str">
        <f>Base_Itens!G262</f>
        <v>02 — Balanço de Pagamentos</v>
      </c>
      <c r="L285">
        <f>COUNTIFS(Base_Itens!$E$5:$E$1504,J285,Base_Itens!$G$5:$G$1504,K285)</f>
        <v>1</v>
      </c>
    </row>
    <row r="286" spans="1:12">
      <c r="A286" t="s">
        <v>2427</v>
      </c>
      <c r="B286">
        <v>2013</v>
      </c>
      <c r="C286" t="s">
        <v>2153</v>
      </c>
      <c r="D286">
        <v>5</v>
      </c>
      <c r="E286">
        <v>1</v>
      </c>
      <c r="F286">
        <f>SUMIF(Base_Itens!$E$5:$E$1504,A286,Base_Itens!$I$5:$I$1504)</f>
        <v>5</v>
      </c>
      <c r="G286">
        <f t="shared" si="16"/>
        <v>0</v>
      </c>
      <c r="H286">
        <f>COUNTIF(Base_Itens!$E$5:$E$1504,A286)</f>
        <v>1</v>
      </c>
      <c r="I286" t="str">
        <f t="shared" si="15"/>
        <v>OK</v>
      </c>
      <c r="J286" t="str">
        <f>Base_Itens!E263</f>
        <v>2013-Q12-2</v>
      </c>
      <c r="K286" t="str">
        <f>Base_Itens!G263</f>
        <v>01 — Contas Nacionais</v>
      </c>
      <c r="L286">
        <f>COUNTIFS(Base_Itens!$E$5:$E$1504,J286,Base_Itens!$G$5:$G$1504,K286)</f>
        <v>1</v>
      </c>
    </row>
    <row r="287" spans="1:12">
      <c r="A287" t="s">
        <v>2428</v>
      </c>
      <c r="B287">
        <v>2013</v>
      </c>
      <c r="C287" t="s">
        <v>82</v>
      </c>
      <c r="D287">
        <v>1</v>
      </c>
      <c r="E287">
        <v>1</v>
      </c>
      <c r="F287">
        <f>SUMIF(Base_Itens!$E$5:$E$1504,A287,Base_Itens!$I$5:$I$1504)</f>
        <v>1</v>
      </c>
      <c r="G287">
        <f t="shared" si="16"/>
        <v>0</v>
      </c>
      <c r="H287">
        <f>COUNTIF(Base_Itens!$E$5:$E$1504,A287)</f>
        <v>1</v>
      </c>
      <c r="I287" t="str">
        <f t="shared" si="15"/>
        <v>OK</v>
      </c>
      <c r="J287" t="str">
        <f>Base_Itens!E264</f>
        <v>2013-Q12-2</v>
      </c>
      <c r="K287" t="str">
        <f>Base_Itens!G264</f>
        <v>02 — Balanço de Pagamentos</v>
      </c>
      <c r="L287">
        <f>COUNTIFS(Base_Itens!$E$5:$E$1504,J287,Base_Itens!$G$5:$G$1504,K287)</f>
        <v>1</v>
      </c>
    </row>
    <row r="288" spans="1:12">
      <c r="A288" t="s">
        <v>2429</v>
      </c>
      <c r="B288">
        <v>2013</v>
      </c>
      <c r="C288" t="s">
        <v>82</v>
      </c>
      <c r="D288">
        <v>1</v>
      </c>
      <c r="E288">
        <v>1</v>
      </c>
      <c r="F288">
        <f>SUMIF(Base_Itens!$E$5:$E$1504,A288,Base_Itens!$I$5:$I$1504)</f>
        <v>1</v>
      </c>
      <c r="G288">
        <f t="shared" si="16"/>
        <v>0</v>
      </c>
      <c r="H288">
        <f>COUNTIF(Base_Itens!$E$5:$E$1504,A288)</f>
        <v>1</v>
      </c>
      <c r="I288" t="str">
        <f t="shared" si="15"/>
        <v>OK</v>
      </c>
      <c r="J288" t="str">
        <f>Base_Itens!E265</f>
        <v>2013-Q12-3</v>
      </c>
      <c r="K288" t="str">
        <f>Base_Itens!G265</f>
        <v>02 — Balanço de Pagamentos</v>
      </c>
      <c r="L288">
        <f>COUNTIFS(Base_Itens!$E$5:$E$1504,J288,Base_Itens!$G$5:$G$1504,K288)</f>
        <v>1</v>
      </c>
    </row>
    <row r="289" spans="1:12">
      <c r="A289" t="s">
        <v>2430</v>
      </c>
      <c r="B289">
        <v>2013</v>
      </c>
      <c r="C289" t="s">
        <v>82</v>
      </c>
      <c r="D289">
        <v>1</v>
      </c>
      <c r="E289">
        <v>1</v>
      </c>
      <c r="F289">
        <f>SUMIF(Base_Itens!$E$5:$E$1504,A289,Base_Itens!$I$5:$I$1504)</f>
        <v>1</v>
      </c>
      <c r="G289">
        <f t="shared" si="16"/>
        <v>0</v>
      </c>
      <c r="H289">
        <f>COUNTIF(Base_Itens!$E$5:$E$1504,A289)</f>
        <v>1</v>
      </c>
      <c r="I289" t="str">
        <f t="shared" si="15"/>
        <v>OK</v>
      </c>
      <c r="J289" t="str">
        <f>Base_Itens!E266</f>
        <v>2013-Q12-4</v>
      </c>
      <c r="K289" t="str">
        <f>Base_Itens!G266</f>
        <v>01 — Contas Nacionais</v>
      </c>
      <c r="L289">
        <f>COUNTIFS(Base_Itens!$E$5:$E$1504,J289,Base_Itens!$G$5:$G$1504,K289)</f>
        <v>1</v>
      </c>
    </row>
    <row r="290" spans="1:12">
      <c r="A290" t="s">
        <v>2431</v>
      </c>
      <c r="B290">
        <v>2013</v>
      </c>
      <c r="C290" t="s">
        <v>82</v>
      </c>
      <c r="D290">
        <v>1</v>
      </c>
      <c r="E290">
        <v>1</v>
      </c>
      <c r="F290">
        <f>SUMIF(Base_Itens!$E$5:$E$1504,A290,Base_Itens!$I$5:$I$1504)</f>
        <v>1</v>
      </c>
      <c r="G290">
        <f t="shared" si="16"/>
        <v>0</v>
      </c>
      <c r="H290">
        <f>COUNTIF(Base_Itens!$E$5:$E$1504,A290)</f>
        <v>1</v>
      </c>
      <c r="I290" t="str">
        <f t="shared" si="15"/>
        <v>OK</v>
      </c>
      <c r="J290" t="str">
        <f>Base_Itens!E267</f>
        <v>2013-Q12-4</v>
      </c>
      <c r="K290" t="str">
        <f>Base_Itens!G267</f>
        <v>02 — Balanço de Pagamentos</v>
      </c>
      <c r="L290">
        <f>COUNTIFS(Base_Itens!$E$5:$E$1504,J290,Base_Itens!$G$5:$G$1504,K290)</f>
        <v>1</v>
      </c>
    </row>
    <row r="291" spans="1:12">
      <c r="A291" t="s">
        <v>2432</v>
      </c>
      <c r="B291">
        <v>2013</v>
      </c>
      <c r="C291" t="s">
        <v>82</v>
      </c>
      <c r="D291">
        <v>1</v>
      </c>
      <c r="E291">
        <v>1</v>
      </c>
      <c r="F291">
        <f>SUMIF(Base_Itens!$E$5:$E$1504,A291,Base_Itens!$I$5:$I$1504)</f>
        <v>1</v>
      </c>
      <c r="G291">
        <f t="shared" si="16"/>
        <v>0</v>
      </c>
      <c r="H291">
        <f>COUNTIF(Base_Itens!$E$5:$E$1504,A291)</f>
        <v>1</v>
      </c>
      <c r="I291" t="str">
        <f t="shared" si="15"/>
        <v>OK</v>
      </c>
      <c r="J291" t="str">
        <f>Base_Itens!E268</f>
        <v>2013-Q13-0</v>
      </c>
      <c r="K291" t="str">
        <f>Base_Itens!G268</f>
        <v>06 — IS-LM-BP</v>
      </c>
      <c r="L291">
        <f>COUNTIFS(Base_Itens!$E$5:$E$1504,J291,Base_Itens!$G$5:$G$1504,K291)</f>
        <v>1</v>
      </c>
    </row>
    <row r="292" spans="1:12">
      <c r="A292" t="s">
        <v>2433</v>
      </c>
      <c r="B292">
        <v>2014</v>
      </c>
      <c r="C292" t="s">
        <v>82</v>
      </c>
      <c r="D292">
        <v>1</v>
      </c>
      <c r="E292">
        <v>1</v>
      </c>
      <c r="F292">
        <f>SUMIF(Base_Itens!$E$5:$E$1504,A292,Base_Itens!$I$5:$I$1504)</f>
        <v>1</v>
      </c>
      <c r="G292">
        <f t="shared" si="16"/>
        <v>0</v>
      </c>
      <c r="H292">
        <f>COUNTIF(Base_Itens!$E$5:$E$1504,A292)</f>
        <v>1</v>
      </c>
      <c r="I292" t="str">
        <f t="shared" si="15"/>
        <v>OK</v>
      </c>
      <c r="J292" t="str">
        <f>Base_Itens!E269</f>
        <v>2013-Q13-1</v>
      </c>
      <c r="K292" t="str">
        <f>Base_Itens!G269</f>
        <v>06 — IS-LM-BP</v>
      </c>
      <c r="L292">
        <f>COUNTIFS(Base_Itens!$E$5:$E$1504,J292,Base_Itens!$G$5:$G$1504,K292)</f>
        <v>1</v>
      </c>
    </row>
    <row r="293" spans="1:12">
      <c r="A293" t="s">
        <v>2434</v>
      </c>
      <c r="B293">
        <v>2014</v>
      </c>
      <c r="C293" t="s">
        <v>82</v>
      </c>
      <c r="D293">
        <v>1</v>
      </c>
      <c r="E293">
        <v>1</v>
      </c>
      <c r="F293">
        <f>SUMIF(Base_Itens!$E$5:$E$1504,A293,Base_Itens!$I$5:$I$1504)</f>
        <v>1</v>
      </c>
      <c r="G293">
        <f t="shared" si="16"/>
        <v>0</v>
      </c>
      <c r="H293">
        <f>COUNTIF(Base_Itens!$E$5:$E$1504,A293)</f>
        <v>1</v>
      </c>
      <c r="I293" t="str">
        <f t="shared" si="15"/>
        <v>OK</v>
      </c>
      <c r="J293" t="str">
        <f>Base_Itens!E270</f>
        <v>2013-Q13-2</v>
      </c>
      <c r="K293" t="str">
        <f>Base_Itens!G270</f>
        <v>06 — IS-LM-BP</v>
      </c>
      <c r="L293">
        <f>COUNTIFS(Base_Itens!$E$5:$E$1504,J293,Base_Itens!$G$5:$G$1504,K293)</f>
        <v>1</v>
      </c>
    </row>
    <row r="294" spans="1:12">
      <c r="A294" t="s">
        <v>2435</v>
      </c>
      <c r="B294">
        <v>2014</v>
      </c>
      <c r="C294" t="s">
        <v>82</v>
      </c>
      <c r="D294">
        <v>1</v>
      </c>
      <c r="E294">
        <v>1</v>
      </c>
      <c r="F294">
        <f>SUMIF(Base_Itens!$E$5:$E$1504,A294,Base_Itens!$I$5:$I$1504)</f>
        <v>1</v>
      </c>
      <c r="G294">
        <f t="shared" si="16"/>
        <v>0</v>
      </c>
      <c r="H294">
        <f>COUNTIF(Base_Itens!$E$5:$E$1504,A294)</f>
        <v>1</v>
      </c>
      <c r="I294" t="str">
        <f t="shared" si="15"/>
        <v>OK</v>
      </c>
      <c r="J294" t="str">
        <f>Base_Itens!E271</f>
        <v>2013-Q13-3</v>
      </c>
      <c r="K294" t="str">
        <f>Base_Itens!G271</f>
        <v>06 — IS-LM-BP</v>
      </c>
      <c r="L294">
        <f>COUNTIFS(Base_Itens!$E$5:$E$1504,J294,Base_Itens!$G$5:$G$1504,K294)</f>
        <v>1</v>
      </c>
    </row>
    <row r="295" spans="1:12">
      <c r="A295" t="s">
        <v>2436</v>
      </c>
      <c r="B295">
        <v>2014</v>
      </c>
      <c r="C295" t="s">
        <v>82</v>
      </c>
      <c r="D295">
        <v>1</v>
      </c>
      <c r="E295">
        <v>1</v>
      </c>
      <c r="F295">
        <f>SUMIF(Base_Itens!$E$5:$E$1504,A295,Base_Itens!$I$5:$I$1504)</f>
        <v>1</v>
      </c>
      <c r="G295">
        <f t="shared" si="16"/>
        <v>0</v>
      </c>
      <c r="H295">
        <f>COUNTIF(Base_Itens!$E$5:$E$1504,A295)</f>
        <v>1</v>
      </c>
      <c r="I295" t="str">
        <f t="shared" si="15"/>
        <v>OK</v>
      </c>
      <c r="J295" t="str">
        <f>Base_Itens!E272</f>
        <v>2013-Q13-4</v>
      </c>
      <c r="K295" t="str">
        <f>Base_Itens!G272</f>
        <v>06 — IS-LM-BP</v>
      </c>
      <c r="L295">
        <f>COUNTIFS(Base_Itens!$E$5:$E$1504,J295,Base_Itens!$G$5:$G$1504,K295)</f>
        <v>1</v>
      </c>
    </row>
    <row r="296" spans="1:12">
      <c r="A296" t="s">
        <v>2437</v>
      </c>
      <c r="B296">
        <v>2014</v>
      </c>
      <c r="C296" t="s">
        <v>82</v>
      </c>
      <c r="D296">
        <v>1</v>
      </c>
      <c r="E296">
        <v>1</v>
      </c>
      <c r="F296">
        <f>SUMIF(Base_Itens!$E$5:$E$1504,A296,Base_Itens!$I$5:$I$1504)</f>
        <v>1</v>
      </c>
      <c r="G296">
        <f t="shared" si="16"/>
        <v>0</v>
      </c>
      <c r="H296">
        <f>COUNTIF(Base_Itens!$E$5:$E$1504,A296)</f>
        <v>1</v>
      </c>
      <c r="I296" t="str">
        <f t="shared" si="15"/>
        <v>OK</v>
      </c>
      <c r="J296" t="str">
        <f>Base_Itens!E273</f>
        <v>2013-Q14-ABERTA</v>
      </c>
      <c r="K296" t="str">
        <f>Base_Itens!G273</f>
        <v>11 — Crescimento Econômico</v>
      </c>
      <c r="L296">
        <f>COUNTIFS(Base_Itens!$E$5:$E$1504,J296,Base_Itens!$G$5:$G$1504,K296)</f>
        <v>1</v>
      </c>
    </row>
    <row r="297" spans="1:12">
      <c r="A297" t="s">
        <v>2438</v>
      </c>
      <c r="B297">
        <v>2014</v>
      </c>
      <c r="C297" t="s">
        <v>82</v>
      </c>
      <c r="D297">
        <v>1</v>
      </c>
      <c r="E297">
        <v>1</v>
      </c>
      <c r="F297">
        <f>SUMIF(Base_Itens!$E$5:$E$1504,A297,Base_Itens!$I$5:$I$1504)</f>
        <v>1</v>
      </c>
      <c r="G297">
        <f t="shared" si="16"/>
        <v>0</v>
      </c>
      <c r="H297">
        <f>COUNTIF(Base_Itens!$E$5:$E$1504,A297)</f>
        <v>1</v>
      </c>
      <c r="I297" t="str">
        <f t="shared" si="15"/>
        <v>OK</v>
      </c>
      <c r="J297" t="str">
        <f>Base_Itens!E274</f>
        <v>2013-Q15-0</v>
      </c>
      <c r="K297" t="str">
        <f>Base_Itens!G274</f>
        <v>12 — Consumo</v>
      </c>
      <c r="L297">
        <f>COUNTIFS(Base_Itens!$E$5:$E$1504,J297,Base_Itens!$G$5:$G$1504,K297)</f>
        <v>1</v>
      </c>
    </row>
    <row r="298" spans="1:12">
      <c r="A298" t="s">
        <v>2439</v>
      </c>
      <c r="B298">
        <v>2014</v>
      </c>
      <c r="C298" t="s">
        <v>82</v>
      </c>
      <c r="D298">
        <v>1</v>
      </c>
      <c r="E298">
        <v>1</v>
      </c>
      <c r="F298">
        <f>SUMIF(Base_Itens!$E$5:$E$1504,A298,Base_Itens!$I$5:$I$1504)</f>
        <v>1</v>
      </c>
      <c r="G298">
        <f t="shared" si="16"/>
        <v>0</v>
      </c>
      <c r="H298">
        <f>COUNTIF(Base_Itens!$E$5:$E$1504,A298)</f>
        <v>1</v>
      </c>
      <c r="I298" t="str">
        <f t="shared" si="15"/>
        <v>OK</v>
      </c>
      <c r="J298" t="str">
        <f>Base_Itens!E275</f>
        <v>2013-Q15-1</v>
      </c>
      <c r="K298" t="str">
        <f>Base_Itens!G275</f>
        <v>13 — Investimento</v>
      </c>
      <c r="L298">
        <f>COUNTIFS(Base_Itens!$E$5:$E$1504,J298,Base_Itens!$G$5:$G$1504,K298)</f>
        <v>1</v>
      </c>
    </row>
    <row r="299" spans="1:12">
      <c r="A299" t="s">
        <v>2440</v>
      </c>
      <c r="B299">
        <v>2014</v>
      </c>
      <c r="C299" t="s">
        <v>82</v>
      </c>
      <c r="D299">
        <v>1</v>
      </c>
      <c r="E299">
        <v>1</v>
      </c>
      <c r="F299">
        <f>SUMIF(Base_Itens!$E$5:$E$1504,A299,Base_Itens!$I$5:$I$1504)</f>
        <v>1</v>
      </c>
      <c r="G299">
        <f t="shared" si="16"/>
        <v>0</v>
      </c>
      <c r="H299">
        <f>COUNTIF(Base_Itens!$E$5:$E$1504,A299)</f>
        <v>1</v>
      </c>
      <c r="I299" t="str">
        <f t="shared" si="15"/>
        <v>OK</v>
      </c>
      <c r="J299" t="str">
        <f>Base_Itens!E276</f>
        <v>2013-Q15-2</v>
      </c>
      <c r="K299" t="str">
        <f>Base_Itens!G276</f>
        <v>01 — Contas Nacionais</v>
      </c>
      <c r="L299">
        <f>COUNTIFS(Base_Itens!$E$5:$E$1504,J299,Base_Itens!$G$5:$G$1504,K299)</f>
        <v>1</v>
      </c>
    </row>
    <row r="300" spans="1:12">
      <c r="A300" t="s">
        <v>2441</v>
      </c>
      <c r="B300">
        <v>2014</v>
      </c>
      <c r="C300" t="s">
        <v>82</v>
      </c>
      <c r="D300">
        <v>1</v>
      </c>
      <c r="E300">
        <v>1</v>
      </c>
      <c r="F300">
        <f>SUMIF(Base_Itens!$E$5:$E$1504,A300,Base_Itens!$I$5:$I$1504)</f>
        <v>1</v>
      </c>
      <c r="G300">
        <f t="shared" si="16"/>
        <v>0</v>
      </c>
      <c r="H300">
        <f>COUNTIF(Base_Itens!$E$5:$E$1504,A300)</f>
        <v>1</v>
      </c>
      <c r="I300" t="str">
        <f t="shared" si="15"/>
        <v>OK</v>
      </c>
      <c r="J300" t="str">
        <f>Base_Itens!E277</f>
        <v>2013-Q15-3</v>
      </c>
      <c r="K300" t="str">
        <f>Base_Itens!G277</f>
        <v>12 — Consumo</v>
      </c>
      <c r="L300">
        <f>COUNTIFS(Base_Itens!$E$5:$E$1504,J300,Base_Itens!$G$5:$G$1504,K300)</f>
        <v>1</v>
      </c>
    </row>
    <row r="301" spans="1:12">
      <c r="A301" t="s">
        <v>2442</v>
      </c>
      <c r="B301">
        <v>2014</v>
      </c>
      <c r="C301" t="s">
        <v>82</v>
      </c>
      <c r="D301">
        <v>1</v>
      </c>
      <c r="E301">
        <v>1</v>
      </c>
      <c r="F301">
        <f>SUMIF(Base_Itens!$E$5:$E$1504,A301,Base_Itens!$I$5:$I$1504)</f>
        <v>1</v>
      </c>
      <c r="G301">
        <f t="shared" si="16"/>
        <v>0</v>
      </c>
      <c r="H301">
        <f>COUNTIF(Base_Itens!$E$5:$E$1504,A301)</f>
        <v>1</v>
      </c>
      <c r="I301" t="str">
        <f t="shared" si="15"/>
        <v>OK</v>
      </c>
      <c r="J301" t="str">
        <f>Base_Itens!E278</f>
        <v>2013-Q15-4</v>
      </c>
      <c r="K301" t="str">
        <f>Base_Itens!G278</f>
        <v>12 — Consumo</v>
      </c>
      <c r="L301">
        <f>COUNTIFS(Base_Itens!$E$5:$E$1504,J301,Base_Itens!$G$5:$G$1504,K301)</f>
        <v>1</v>
      </c>
    </row>
    <row r="302" spans="1:12">
      <c r="A302" t="s">
        <v>2443</v>
      </c>
      <c r="B302">
        <v>2014</v>
      </c>
      <c r="C302" t="s">
        <v>82</v>
      </c>
      <c r="D302">
        <v>1</v>
      </c>
      <c r="E302">
        <v>1</v>
      </c>
      <c r="F302">
        <f>SUMIF(Base_Itens!$E$5:$E$1504,A302,Base_Itens!$I$5:$I$1504)</f>
        <v>1</v>
      </c>
      <c r="G302">
        <f t="shared" si="16"/>
        <v>0</v>
      </c>
      <c r="H302">
        <f>COUNTIF(Base_Itens!$E$5:$E$1504,A302)</f>
        <v>1</v>
      </c>
      <c r="I302" t="str">
        <f t="shared" si="15"/>
        <v>OK</v>
      </c>
      <c r="J302" t="str">
        <f>Base_Itens!E279</f>
        <v>2014-Q1-0</v>
      </c>
      <c r="K302" t="str">
        <f>Base_Itens!G279</f>
        <v>01 — Contas Nacionais</v>
      </c>
      <c r="L302">
        <f>COUNTIFS(Base_Itens!$E$5:$E$1504,J302,Base_Itens!$G$5:$G$1504,K302)</f>
        <v>1</v>
      </c>
    </row>
    <row r="303" spans="1:12">
      <c r="A303" t="s">
        <v>2444</v>
      </c>
      <c r="B303">
        <v>2014</v>
      </c>
      <c r="C303" t="s">
        <v>82</v>
      </c>
      <c r="D303">
        <v>1</v>
      </c>
      <c r="E303">
        <v>1</v>
      </c>
      <c r="F303">
        <f>SUMIF(Base_Itens!$E$5:$E$1504,A303,Base_Itens!$I$5:$I$1504)</f>
        <v>1</v>
      </c>
      <c r="G303">
        <f t="shared" si="16"/>
        <v>0</v>
      </c>
      <c r="H303">
        <f>COUNTIF(Base_Itens!$E$5:$E$1504,A303)</f>
        <v>1</v>
      </c>
      <c r="I303" t="str">
        <f t="shared" si="15"/>
        <v>OK</v>
      </c>
      <c r="J303" t="str">
        <f>Base_Itens!E280</f>
        <v>2014-Q1-1</v>
      </c>
      <c r="K303" t="str">
        <f>Base_Itens!G280</f>
        <v>01 — Contas Nacionais</v>
      </c>
      <c r="L303">
        <f>COUNTIFS(Base_Itens!$E$5:$E$1504,J303,Base_Itens!$G$5:$G$1504,K303)</f>
        <v>1</v>
      </c>
    </row>
    <row r="304" spans="1:12">
      <c r="A304" t="s">
        <v>2445</v>
      </c>
      <c r="B304">
        <v>2014</v>
      </c>
      <c r="C304" t="s">
        <v>82</v>
      </c>
      <c r="D304">
        <v>1</v>
      </c>
      <c r="E304">
        <v>1</v>
      </c>
      <c r="F304">
        <f>SUMIF(Base_Itens!$E$5:$E$1504,A304,Base_Itens!$I$5:$I$1504)</f>
        <v>1</v>
      </c>
      <c r="G304">
        <f t="shared" si="16"/>
        <v>0</v>
      </c>
      <c r="H304">
        <f>COUNTIF(Base_Itens!$E$5:$E$1504,A304)</f>
        <v>1</v>
      </c>
      <c r="I304" t="str">
        <f t="shared" si="15"/>
        <v>OK</v>
      </c>
      <c r="J304" t="str">
        <f>Base_Itens!E281</f>
        <v>2014-Q1-2</v>
      </c>
      <c r="K304" t="str">
        <f>Base_Itens!G281</f>
        <v>01 — Contas Nacionais</v>
      </c>
      <c r="L304">
        <f>COUNTIFS(Base_Itens!$E$5:$E$1504,J304,Base_Itens!$G$5:$G$1504,K304)</f>
        <v>1</v>
      </c>
    </row>
    <row r="305" spans="1:12">
      <c r="A305" t="s">
        <v>2446</v>
      </c>
      <c r="B305">
        <v>2014</v>
      </c>
      <c r="C305" t="s">
        <v>82</v>
      </c>
      <c r="D305">
        <v>1</v>
      </c>
      <c r="E305">
        <v>1</v>
      </c>
      <c r="F305">
        <f>SUMIF(Base_Itens!$E$5:$E$1504,A305,Base_Itens!$I$5:$I$1504)</f>
        <v>1</v>
      </c>
      <c r="G305">
        <f t="shared" si="16"/>
        <v>0</v>
      </c>
      <c r="H305">
        <f>COUNTIF(Base_Itens!$E$5:$E$1504,A305)</f>
        <v>1</v>
      </c>
      <c r="I305" t="str">
        <f t="shared" si="15"/>
        <v>OK</v>
      </c>
      <c r="J305" t="str">
        <f>Base_Itens!E282</f>
        <v>2014-Q1-3</v>
      </c>
      <c r="K305" t="str">
        <f>Base_Itens!G282</f>
        <v>02 — Balanço de Pagamentos</v>
      </c>
      <c r="L305">
        <f>COUNTIFS(Base_Itens!$E$5:$E$1504,J305,Base_Itens!$G$5:$G$1504,K305)</f>
        <v>1</v>
      </c>
    </row>
    <row r="306" spans="1:12">
      <c r="A306" t="s">
        <v>2447</v>
      </c>
      <c r="B306">
        <v>2014</v>
      </c>
      <c r="C306" t="s">
        <v>82</v>
      </c>
      <c r="D306">
        <v>1</v>
      </c>
      <c r="E306">
        <v>1</v>
      </c>
      <c r="F306">
        <f>SUMIF(Base_Itens!$E$5:$E$1504,A306,Base_Itens!$I$5:$I$1504)</f>
        <v>1</v>
      </c>
      <c r="G306">
        <f t="shared" si="16"/>
        <v>0</v>
      </c>
      <c r="H306">
        <f>COUNTIF(Base_Itens!$E$5:$E$1504,A306)</f>
        <v>1</v>
      </c>
      <c r="I306" t="str">
        <f t="shared" si="15"/>
        <v>OK</v>
      </c>
      <c r="J306" t="str">
        <f>Base_Itens!E283</f>
        <v>2014-Q1-4</v>
      </c>
      <c r="K306" t="str">
        <f>Base_Itens!G283</f>
        <v>01 — Contas Nacionais</v>
      </c>
      <c r="L306">
        <f>COUNTIFS(Base_Itens!$E$5:$E$1504,J306,Base_Itens!$G$5:$G$1504,K306)</f>
        <v>1</v>
      </c>
    </row>
    <row r="307" spans="1:12">
      <c r="A307" t="s">
        <v>2448</v>
      </c>
      <c r="B307">
        <v>2014</v>
      </c>
      <c r="C307" t="s">
        <v>82</v>
      </c>
      <c r="D307">
        <v>1</v>
      </c>
      <c r="E307">
        <v>1</v>
      </c>
      <c r="F307">
        <f>SUMIF(Base_Itens!$E$5:$E$1504,A307,Base_Itens!$I$5:$I$1504)</f>
        <v>1</v>
      </c>
      <c r="G307">
        <f t="shared" si="16"/>
        <v>0</v>
      </c>
      <c r="H307">
        <f>COUNTIF(Base_Itens!$E$5:$E$1504,A307)</f>
        <v>1</v>
      </c>
      <c r="I307" t="str">
        <f t="shared" si="15"/>
        <v>OK</v>
      </c>
      <c r="J307" t="str">
        <f>Base_Itens!E284</f>
        <v>2014-Q2-0</v>
      </c>
      <c r="K307" t="str">
        <f>Base_Itens!G284</f>
        <v>09 — Expectativas, Novos Clássicos e Novos Keynesianos</v>
      </c>
      <c r="L307">
        <f>COUNTIFS(Base_Itens!$E$5:$E$1504,J307,Base_Itens!$G$5:$G$1504,K307)</f>
        <v>1</v>
      </c>
    </row>
    <row r="308" spans="1:12">
      <c r="A308" t="s">
        <v>2449</v>
      </c>
      <c r="B308">
        <v>2014</v>
      </c>
      <c r="C308" t="s">
        <v>82</v>
      </c>
      <c r="D308">
        <v>1</v>
      </c>
      <c r="E308">
        <v>1</v>
      </c>
      <c r="F308">
        <f>SUMIF(Base_Itens!$E$5:$E$1504,A308,Base_Itens!$I$5:$I$1504)</f>
        <v>1</v>
      </c>
      <c r="G308">
        <f t="shared" si="16"/>
        <v>0</v>
      </c>
      <c r="H308">
        <f>COUNTIF(Base_Itens!$E$5:$E$1504,A308)</f>
        <v>1</v>
      </c>
      <c r="I308" t="str">
        <f t="shared" si="15"/>
        <v>OK</v>
      </c>
      <c r="J308" t="str">
        <f>Base_Itens!E285</f>
        <v>2014-Q2-1</v>
      </c>
      <c r="K308" t="str">
        <f>Base_Itens!G285</f>
        <v>08 — Curva de Phillips</v>
      </c>
      <c r="L308">
        <f>COUNTIFS(Base_Itens!$E$5:$E$1504,J308,Base_Itens!$G$5:$G$1504,K308)</f>
        <v>1</v>
      </c>
    </row>
    <row r="309" spans="1:12">
      <c r="A309" t="s">
        <v>2450</v>
      </c>
      <c r="B309">
        <v>2014</v>
      </c>
      <c r="C309" t="s">
        <v>82</v>
      </c>
      <c r="D309">
        <v>1</v>
      </c>
      <c r="E309">
        <v>1</v>
      </c>
      <c r="F309">
        <f>SUMIF(Base_Itens!$E$5:$E$1504,A309,Base_Itens!$I$5:$I$1504)</f>
        <v>1</v>
      </c>
      <c r="G309">
        <f t="shared" si="16"/>
        <v>0</v>
      </c>
      <c r="H309">
        <f>COUNTIF(Base_Itens!$E$5:$E$1504,A309)</f>
        <v>1</v>
      </c>
      <c r="I309" t="str">
        <f t="shared" si="15"/>
        <v>OK</v>
      </c>
      <c r="J309" t="str">
        <f>Base_Itens!E286</f>
        <v>2014-Q2-2</v>
      </c>
      <c r="K309" t="str">
        <f>Base_Itens!G286</f>
        <v>14 — Dívida Pública e Senhoriagem</v>
      </c>
      <c r="L309">
        <f>COUNTIFS(Base_Itens!$E$5:$E$1504,J309,Base_Itens!$G$5:$G$1504,K309)</f>
        <v>1</v>
      </c>
    </row>
    <row r="310" spans="1:12">
      <c r="A310" t="s">
        <v>2451</v>
      </c>
      <c r="B310">
        <v>2014</v>
      </c>
      <c r="C310" t="s">
        <v>82</v>
      </c>
      <c r="D310">
        <v>1</v>
      </c>
      <c r="E310">
        <v>1</v>
      </c>
      <c r="F310">
        <f>SUMIF(Base_Itens!$E$5:$E$1504,A310,Base_Itens!$I$5:$I$1504)</f>
        <v>1</v>
      </c>
      <c r="G310">
        <f t="shared" si="16"/>
        <v>0</v>
      </c>
      <c r="H310">
        <f>COUNTIF(Base_Itens!$E$5:$E$1504,A310)</f>
        <v>1</v>
      </c>
      <c r="I310" t="str">
        <f t="shared" si="15"/>
        <v>OK</v>
      </c>
      <c r="J310" t="str">
        <f>Base_Itens!E287</f>
        <v>2014-Q2-3</v>
      </c>
      <c r="K310" t="str">
        <f>Base_Itens!G287</f>
        <v>12 — Consumo</v>
      </c>
      <c r="L310">
        <f>COUNTIFS(Base_Itens!$E$5:$E$1504,J310,Base_Itens!$G$5:$G$1504,K310)</f>
        <v>1</v>
      </c>
    </row>
    <row r="311" spans="1:12">
      <c r="A311" t="s">
        <v>2452</v>
      </c>
      <c r="B311">
        <v>2014</v>
      </c>
      <c r="C311" t="s">
        <v>82</v>
      </c>
      <c r="D311">
        <v>1</v>
      </c>
      <c r="E311">
        <v>1</v>
      </c>
      <c r="F311">
        <f>SUMIF(Base_Itens!$E$5:$E$1504,A311,Base_Itens!$I$5:$I$1504)</f>
        <v>1</v>
      </c>
      <c r="G311">
        <f t="shared" si="16"/>
        <v>0</v>
      </c>
      <c r="H311">
        <f>COUNTIF(Base_Itens!$E$5:$E$1504,A311)</f>
        <v>1</v>
      </c>
      <c r="I311" t="str">
        <f t="shared" si="15"/>
        <v>OK</v>
      </c>
      <c r="J311" t="str">
        <f>Base_Itens!E288</f>
        <v>2014-Q2-4</v>
      </c>
      <c r="K311" t="str">
        <f>Base_Itens!G288</f>
        <v>12 — Consumo</v>
      </c>
      <c r="L311">
        <f>COUNTIFS(Base_Itens!$E$5:$E$1504,J311,Base_Itens!$G$5:$G$1504,K311)</f>
        <v>1</v>
      </c>
    </row>
    <row r="312" spans="1:12">
      <c r="A312" t="s">
        <v>2453</v>
      </c>
      <c r="B312">
        <v>2014</v>
      </c>
      <c r="C312" t="s">
        <v>82</v>
      </c>
      <c r="D312">
        <v>1</v>
      </c>
      <c r="E312">
        <v>1</v>
      </c>
      <c r="F312">
        <f>SUMIF(Base_Itens!$E$5:$E$1504,A312,Base_Itens!$I$5:$I$1504)</f>
        <v>1</v>
      </c>
      <c r="G312">
        <f t="shared" si="16"/>
        <v>0</v>
      </c>
      <c r="H312">
        <f>COUNTIF(Base_Itens!$E$5:$E$1504,A312)</f>
        <v>1</v>
      </c>
      <c r="I312" t="str">
        <f t="shared" si="15"/>
        <v>OK</v>
      </c>
      <c r="J312" t="str">
        <f>Base_Itens!E289</f>
        <v>2014-Q3-0</v>
      </c>
      <c r="K312" t="str">
        <f>Base_Itens!G289</f>
        <v>06 — IS-LM-BP</v>
      </c>
      <c r="L312">
        <f>COUNTIFS(Base_Itens!$E$5:$E$1504,J312,Base_Itens!$G$5:$G$1504,K312)</f>
        <v>1</v>
      </c>
    </row>
    <row r="313" spans="1:12">
      <c r="A313" t="s">
        <v>2454</v>
      </c>
      <c r="B313">
        <v>2014</v>
      </c>
      <c r="C313" t="s">
        <v>82</v>
      </c>
      <c r="D313">
        <v>1</v>
      </c>
      <c r="E313">
        <v>1</v>
      </c>
      <c r="F313">
        <f>SUMIF(Base_Itens!$E$5:$E$1504,A313,Base_Itens!$I$5:$I$1504)</f>
        <v>1</v>
      </c>
      <c r="G313">
        <f t="shared" si="16"/>
        <v>0</v>
      </c>
      <c r="H313">
        <f>COUNTIF(Base_Itens!$E$5:$E$1504,A313)</f>
        <v>1</v>
      </c>
      <c r="I313" t="str">
        <f t="shared" si="15"/>
        <v>OK</v>
      </c>
      <c r="J313" t="str">
        <f>Base_Itens!E290</f>
        <v>2014-Q3-1</v>
      </c>
      <c r="K313" t="str">
        <f>Base_Itens!G290</f>
        <v>06 — IS-LM-BP</v>
      </c>
      <c r="L313">
        <f>COUNTIFS(Base_Itens!$E$5:$E$1504,J313,Base_Itens!$G$5:$G$1504,K313)</f>
        <v>1</v>
      </c>
    </row>
    <row r="314" spans="1:12">
      <c r="A314" t="s">
        <v>2455</v>
      </c>
      <c r="B314">
        <v>2014</v>
      </c>
      <c r="C314" t="s">
        <v>82</v>
      </c>
      <c r="D314">
        <v>1</v>
      </c>
      <c r="E314">
        <v>1</v>
      </c>
      <c r="F314">
        <f>SUMIF(Base_Itens!$E$5:$E$1504,A314,Base_Itens!$I$5:$I$1504)</f>
        <v>1</v>
      </c>
      <c r="G314">
        <f t="shared" si="16"/>
        <v>0</v>
      </c>
      <c r="H314">
        <f>COUNTIF(Base_Itens!$E$5:$E$1504,A314)</f>
        <v>1</v>
      </c>
      <c r="I314" t="str">
        <f t="shared" si="15"/>
        <v>OK</v>
      </c>
      <c r="J314" t="str">
        <f>Base_Itens!E291</f>
        <v>2014-Q3-2</v>
      </c>
      <c r="K314" t="str">
        <f>Base_Itens!G291</f>
        <v>06 — IS-LM-BP</v>
      </c>
      <c r="L314">
        <f>COUNTIFS(Base_Itens!$E$5:$E$1504,J314,Base_Itens!$G$5:$G$1504,K314)</f>
        <v>1</v>
      </c>
    </row>
    <row r="315" spans="1:12">
      <c r="A315" t="s">
        <v>2456</v>
      </c>
      <c r="B315">
        <v>2014</v>
      </c>
      <c r="C315" t="s">
        <v>82</v>
      </c>
      <c r="D315">
        <v>1</v>
      </c>
      <c r="E315">
        <v>1</v>
      </c>
      <c r="F315">
        <f>SUMIF(Base_Itens!$E$5:$E$1504,A315,Base_Itens!$I$5:$I$1504)</f>
        <v>1</v>
      </c>
      <c r="G315">
        <f t="shared" si="16"/>
        <v>0</v>
      </c>
      <c r="H315">
        <f>COUNTIF(Base_Itens!$E$5:$E$1504,A315)</f>
        <v>1</v>
      </c>
      <c r="I315" t="str">
        <f t="shared" si="15"/>
        <v>OK</v>
      </c>
      <c r="J315" t="str">
        <f>Base_Itens!E292</f>
        <v>2014-Q3-3</v>
      </c>
      <c r="K315" t="str">
        <f>Base_Itens!G292</f>
        <v>06 — IS-LM-BP</v>
      </c>
      <c r="L315">
        <f>COUNTIFS(Base_Itens!$E$5:$E$1504,J315,Base_Itens!$G$5:$G$1504,K315)</f>
        <v>1</v>
      </c>
    </row>
    <row r="316" spans="1:12">
      <c r="A316" t="s">
        <v>2457</v>
      </c>
      <c r="B316">
        <v>2014</v>
      </c>
      <c r="C316" t="s">
        <v>82</v>
      </c>
      <c r="D316">
        <v>1</v>
      </c>
      <c r="E316">
        <v>1</v>
      </c>
      <c r="F316">
        <f>SUMIF(Base_Itens!$E$5:$E$1504,A316,Base_Itens!$I$5:$I$1504)</f>
        <v>1</v>
      </c>
      <c r="G316">
        <f t="shared" si="16"/>
        <v>0</v>
      </c>
      <c r="H316">
        <f>COUNTIF(Base_Itens!$E$5:$E$1504,A316)</f>
        <v>1</v>
      </c>
      <c r="I316" t="str">
        <f t="shared" si="15"/>
        <v>OK</v>
      </c>
      <c r="J316" t="str">
        <f>Base_Itens!E293</f>
        <v>2014-Q3-4</v>
      </c>
      <c r="K316" t="str">
        <f>Base_Itens!G293</f>
        <v>06 — IS-LM-BP</v>
      </c>
      <c r="L316">
        <f>COUNTIFS(Base_Itens!$E$5:$E$1504,J316,Base_Itens!$G$5:$G$1504,K316)</f>
        <v>1</v>
      </c>
    </row>
    <row r="317" spans="1:12">
      <c r="A317" t="s">
        <v>2458</v>
      </c>
      <c r="B317">
        <v>2014</v>
      </c>
      <c r="C317" t="s">
        <v>82</v>
      </c>
      <c r="D317">
        <v>1</v>
      </c>
      <c r="E317">
        <v>2</v>
      </c>
      <c r="F317">
        <f>SUMIF(Base_Itens!$E$5:$E$1504,A317,Base_Itens!$I$5:$I$1504)</f>
        <v>1</v>
      </c>
      <c r="G317">
        <f t="shared" si="16"/>
        <v>0</v>
      </c>
      <c r="H317">
        <f>COUNTIF(Base_Itens!$E$5:$E$1504,A317)</f>
        <v>2</v>
      </c>
      <c r="I317" t="str">
        <f t="shared" si="15"/>
        <v>OK</v>
      </c>
      <c r="J317" t="str">
        <f>Base_Itens!E294</f>
        <v>2014-Q4-0</v>
      </c>
      <c r="K317" t="str">
        <f>Base_Itens!G294</f>
        <v>03 — Sistema Monetário</v>
      </c>
      <c r="L317">
        <f>COUNTIFS(Base_Itens!$E$5:$E$1504,J317,Base_Itens!$G$5:$G$1504,K317)</f>
        <v>1</v>
      </c>
    </row>
    <row r="318" spans="1:12">
      <c r="A318" t="s">
        <v>2459</v>
      </c>
      <c r="B318">
        <v>2014</v>
      </c>
      <c r="C318" t="s">
        <v>82</v>
      </c>
      <c r="D318">
        <v>1</v>
      </c>
      <c r="E318">
        <v>1</v>
      </c>
      <c r="F318">
        <f>SUMIF(Base_Itens!$E$5:$E$1504,A318,Base_Itens!$I$5:$I$1504)</f>
        <v>1</v>
      </c>
      <c r="G318">
        <f t="shared" si="16"/>
        <v>0</v>
      </c>
      <c r="H318">
        <f>COUNTIF(Base_Itens!$E$5:$E$1504,A318)</f>
        <v>1</v>
      </c>
      <c r="I318" t="str">
        <f t="shared" si="15"/>
        <v>OK</v>
      </c>
      <c r="J318" t="str">
        <f>Base_Itens!E295</f>
        <v>2014-Q4-1</v>
      </c>
      <c r="K318" t="str">
        <f>Base_Itens!G295</f>
        <v>04 — Demanda por Moeda</v>
      </c>
      <c r="L318">
        <f>COUNTIFS(Base_Itens!$E$5:$E$1504,J318,Base_Itens!$G$5:$G$1504,K318)</f>
        <v>1</v>
      </c>
    </row>
    <row r="319" spans="1:12">
      <c r="A319" t="s">
        <v>2460</v>
      </c>
      <c r="B319">
        <v>2014</v>
      </c>
      <c r="C319" t="s">
        <v>82</v>
      </c>
      <c r="D319">
        <v>1</v>
      </c>
      <c r="E319">
        <v>1</v>
      </c>
      <c r="F319">
        <f>SUMIF(Base_Itens!$E$5:$E$1504,A319,Base_Itens!$I$5:$I$1504)</f>
        <v>1</v>
      </c>
      <c r="G319">
        <f t="shared" si="16"/>
        <v>0</v>
      </c>
      <c r="H319">
        <f>COUNTIF(Base_Itens!$E$5:$E$1504,A319)</f>
        <v>1</v>
      </c>
      <c r="I319" t="str">
        <f t="shared" si="15"/>
        <v>OK</v>
      </c>
      <c r="J319" t="str">
        <f>Base_Itens!E296</f>
        <v>2014-Q4-2</v>
      </c>
      <c r="K319" t="str">
        <f>Base_Itens!G296</f>
        <v>03 — Sistema Monetário</v>
      </c>
      <c r="L319">
        <f>COUNTIFS(Base_Itens!$E$5:$E$1504,J319,Base_Itens!$G$5:$G$1504,K319)</f>
        <v>1</v>
      </c>
    </row>
    <row r="320" spans="1:12">
      <c r="A320" t="s">
        <v>2461</v>
      </c>
      <c r="B320">
        <v>2014</v>
      </c>
      <c r="C320" t="s">
        <v>82</v>
      </c>
      <c r="D320">
        <v>1</v>
      </c>
      <c r="E320">
        <v>1</v>
      </c>
      <c r="F320">
        <f>SUMIF(Base_Itens!$E$5:$E$1504,A320,Base_Itens!$I$5:$I$1504)</f>
        <v>1</v>
      </c>
      <c r="G320">
        <f t="shared" si="16"/>
        <v>0</v>
      </c>
      <c r="H320">
        <f>COUNTIF(Base_Itens!$E$5:$E$1504,A320)</f>
        <v>1</v>
      </c>
      <c r="I320" t="str">
        <f t="shared" si="15"/>
        <v>OK</v>
      </c>
      <c r="J320" t="str">
        <f>Base_Itens!E297</f>
        <v>2014-Q4-3</v>
      </c>
      <c r="K320" t="str">
        <f>Base_Itens!G297</f>
        <v>03 — Sistema Monetário</v>
      </c>
      <c r="L320">
        <f>COUNTIFS(Base_Itens!$E$5:$E$1504,J320,Base_Itens!$G$5:$G$1504,K320)</f>
        <v>1</v>
      </c>
    </row>
    <row r="321" spans="1:12">
      <c r="A321" t="s">
        <v>2462</v>
      </c>
      <c r="B321">
        <v>2014</v>
      </c>
      <c r="C321" t="s">
        <v>82</v>
      </c>
      <c r="D321">
        <v>1</v>
      </c>
      <c r="E321">
        <v>1</v>
      </c>
      <c r="F321">
        <f>SUMIF(Base_Itens!$E$5:$E$1504,A321,Base_Itens!$I$5:$I$1504)</f>
        <v>1</v>
      </c>
      <c r="G321">
        <f t="shared" si="16"/>
        <v>0</v>
      </c>
      <c r="H321">
        <f>COUNTIF(Base_Itens!$E$5:$E$1504,A321)</f>
        <v>1</v>
      </c>
      <c r="I321" t="str">
        <f t="shared" si="15"/>
        <v>OK</v>
      </c>
      <c r="J321" t="str">
        <f>Base_Itens!E298</f>
        <v>2014-Q4-4</v>
      </c>
      <c r="K321" t="str">
        <f>Base_Itens!G298</f>
        <v>03 — Sistema Monetário</v>
      </c>
      <c r="L321">
        <f>COUNTIFS(Base_Itens!$E$5:$E$1504,J321,Base_Itens!$G$5:$G$1504,K321)</f>
        <v>1</v>
      </c>
    </row>
    <row r="322" spans="1:12">
      <c r="A322" t="s">
        <v>2463</v>
      </c>
      <c r="B322">
        <v>2014</v>
      </c>
      <c r="C322" t="s">
        <v>82</v>
      </c>
      <c r="D322">
        <v>1</v>
      </c>
      <c r="E322">
        <v>1</v>
      </c>
      <c r="F322">
        <f>SUMIF(Base_Itens!$E$5:$E$1504,A322,Base_Itens!$I$5:$I$1504)</f>
        <v>1</v>
      </c>
      <c r="G322">
        <f t="shared" si="16"/>
        <v>0</v>
      </c>
      <c r="H322">
        <f>COUNTIF(Base_Itens!$E$5:$E$1504,A322)</f>
        <v>1</v>
      </c>
      <c r="I322" t="str">
        <f t="shared" si="15"/>
        <v>OK</v>
      </c>
      <c r="J322" t="str">
        <f>Base_Itens!E299</f>
        <v>2014-Q5-0</v>
      </c>
      <c r="K322" t="str">
        <f>Base_Itens!G299</f>
        <v>09 — Expectativas, Novos Clássicos e Novos Keynesianos</v>
      </c>
      <c r="L322">
        <f>COUNTIFS(Base_Itens!$E$5:$E$1504,J322,Base_Itens!$G$5:$G$1504,K322)</f>
        <v>1</v>
      </c>
    </row>
    <row r="323" spans="1:12">
      <c r="A323" t="s">
        <v>2464</v>
      </c>
      <c r="B323">
        <v>2014</v>
      </c>
      <c r="C323" t="s">
        <v>82</v>
      </c>
      <c r="D323">
        <v>1</v>
      </c>
      <c r="E323">
        <v>1</v>
      </c>
      <c r="F323">
        <f>SUMIF(Base_Itens!$E$5:$E$1504,A323,Base_Itens!$I$5:$I$1504)</f>
        <v>1</v>
      </c>
      <c r="G323">
        <f t="shared" si="16"/>
        <v>0</v>
      </c>
      <c r="H323">
        <f>COUNTIF(Base_Itens!$E$5:$E$1504,A323)</f>
        <v>1</v>
      </c>
      <c r="I323" t="str">
        <f t="shared" si="15"/>
        <v>OK</v>
      </c>
      <c r="J323" t="str">
        <f>Base_Itens!E300</f>
        <v>2014-Q5-1</v>
      </c>
      <c r="K323" t="str">
        <f>Base_Itens!G300</f>
        <v>09 — Expectativas, Novos Clássicos e Novos Keynesianos</v>
      </c>
      <c r="L323">
        <f>COUNTIFS(Base_Itens!$E$5:$E$1504,J323,Base_Itens!$G$5:$G$1504,K323)</f>
        <v>1</v>
      </c>
    </row>
    <row r="324" spans="1:12">
      <c r="A324" t="s">
        <v>2465</v>
      </c>
      <c r="B324">
        <v>2014</v>
      </c>
      <c r="C324" t="s">
        <v>82</v>
      </c>
      <c r="D324">
        <v>1</v>
      </c>
      <c r="E324">
        <v>1</v>
      </c>
      <c r="F324">
        <f>SUMIF(Base_Itens!$E$5:$E$1504,A324,Base_Itens!$I$5:$I$1504)</f>
        <v>1</v>
      </c>
      <c r="G324">
        <f t="shared" si="16"/>
        <v>0</v>
      </c>
      <c r="H324">
        <f>COUNTIF(Base_Itens!$E$5:$E$1504,A324)</f>
        <v>1</v>
      </c>
      <c r="I324" t="str">
        <f t="shared" si="15"/>
        <v>OK</v>
      </c>
      <c r="J324" t="str">
        <f>Base_Itens!E301</f>
        <v>2014-Q5-2</v>
      </c>
      <c r="K324" t="str">
        <f>Base_Itens!G301</f>
        <v>09 — Expectativas, Novos Clássicos e Novos Keynesianos</v>
      </c>
      <c r="L324">
        <f>COUNTIFS(Base_Itens!$E$5:$E$1504,J324,Base_Itens!$G$5:$G$1504,K324)</f>
        <v>1</v>
      </c>
    </row>
    <row r="325" spans="1:12">
      <c r="A325" t="s">
        <v>2466</v>
      </c>
      <c r="B325">
        <v>2014</v>
      </c>
      <c r="C325" t="s">
        <v>82</v>
      </c>
      <c r="D325">
        <v>1</v>
      </c>
      <c r="E325">
        <v>1</v>
      </c>
      <c r="F325">
        <f>SUMIF(Base_Itens!$E$5:$E$1504,A325,Base_Itens!$I$5:$I$1504)</f>
        <v>1</v>
      </c>
      <c r="G325">
        <f t="shared" si="16"/>
        <v>0</v>
      </c>
      <c r="H325">
        <f>COUNTIF(Base_Itens!$E$5:$E$1504,A325)</f>
        <v>1</v>
      </c>
      <c r="I325" t="str">
        <f t="shared" si="15"/>
        <v>OK</v>
      </c>
      <c r="J325" t="str">
        <f>Base_Itens!E302</f>
        <v>2014-Q5-3</v>
      </c>
      <c r="K325" t="str">
        <f>Base_Itens!G302</f>
        <v>09 — Expectativas, Novos Clássicos e Novos Keynesianos</v>
      </c>
      <c r="L325">
        <f>COUNTIFS(Base_Itens!$E$5:$E$1504,J325,Base_Itens!$G$5:$G$1504,K325)</f>
        <v>1</v>
      </c>
    </row>
    <row r="326" spans="1:12">
      <c r="A326" t="s">
        <v>2467</v>
      </c>
      <c r="B326">
        <v>2014</v>
      </c>
      <c r="C326" t="s">
        <v>82</v>
      </c>
      <c r="D326">
        <v>1</v>
      </c>
      <c r="E326">
        <v>1</v>
      </c>
      <c r="F326">
        <f>SUMIF(Base_Itens!$E$5:$E$1504,A326,Base_Itens!$I$5:$I$1504)</f>
        <v>1</v>
      </c>
      <c r="G326">
        <f t="shared" si="16"/>
        <v>0</v>
      </c>
      <c r="H326">
        <f>COUNTIF(Base_Itens!$E$5:$E$1504,A326)</f>
        <v>1</v>
      </c>
      <c r="I326" t="str">
        <f t="shared" ref="I326:I389" si="17">IF(AND(G326=0,H326=E326),"OK","REVER")</f>
        <v>OK</v>
      </c>
      <c r="J326" t="str">
        <f>Base_Itens!E303</f>
        <v>2014-Q5-4</v>
      </c>
      <c r="K326" t="str">
        <f>Base_Itens!G303</f>
        <v>07b — OA-DA</v>
      </c>
      <c r="L326">
        <f>COUNTIFS(Base_Itens!$E$5:$E$1504,J326,Base_Itens!$G$5:$G$1504,K326)</f>
        <v>1</v>
      </c>
    </row>
    <row r="327" spans="1:12">
      <c r="A327" t="s">
        <v>2468</v>
      </c>
      <c r="B327">
        <v>2014</v>
      </c>
      <c r="C327" t="s">
        <v>82</v>
      </c>
      <c r="D327">
        <v>1</v>
      </c>
      <c r="E327">
        <v>1</v>
      </c>
      <c r="F327">
        <f>SUMIF(Base_Itens!$E$5:$E$1504,A327,Base_Itens!$I$5:$I$1504)</f>
        <v>1</v>
      </c>
      <c r="G327">
        <f t="shared" si="16"/>
        <v>0</v>
      </c>
      <c r="H327">
        <f>COUNTIF(Base_Itens!$E$5:$E$1504,A327)</f>
        <v>1</v>
      </c>
      <c r="I327" t="str">
        <f t="shared" si="17"/>
        <v>OK</v>
      </c>
      <c r="J327" t="str">
        <f>Base_Itens!E304</f>
        <v>2014-Q6-0</v>
      </c>
      <c r="K327" t="str">
        <f>Base_Itens!G304</f>
        <v>09 — Expectativas, Novos Clássicos e Novos Keynesianos</v>
      </c>
      <c r="L327">
        <f>COUNTIFS(Base_Itens!$E$5:$E$1504,J327,Base_Itens!$G$5:$G$1504,K327)</f>
        <v>1</v>
      </c>
    </row>
    <row r="328" spans="1:12">
      <c r="A328" t="s">
        <v>2469</v>
      </c>
      <c r="B328">
        <v>2014</v>
      </c>
      <c r="C328" t="s">
        <v>82</v>
      </c>
      <c r="D328">
        <v>1</v>
      </c>
      <c r="E328">
        <v>1</v>
      </c>
      <c r="F328">
        <f>SUMIF(Base_Itens!$E$5:$E$1504,A328,Base_Itens!$I$5:$I$1504)</f>
        <v>1</v>
      </c>
      <c r="G328">
        <f t="shared" si="16"/>
        <v>0</v>
      </c>
      <c r="H328">
        <f>COUNTIF(Base_Itens!$E$5:$E$1504,A328)</f>
        <v>1</v>
      </c>
      <c r="I328" t="str">
        <f t="shared" si="17"/>
        <v>OK</v>
      </c>
      <c r="J328" t="str">
        <f>Base_Itens!E305</f>
        <v>2014-Q6-0</v>
      </c>
      <c r="K328" t="str">
        <f>Base_Itens!G305</f>
        <v>10 — Ciclos Reais de Negócios (RBC)</v>
      </c>
      <c r="L328">
        <f>COUNTIFS(Base_Itens!$E$5:$E$1504,J328,Base_Itens!$G$5:$G$1504,K328)</f>
        <v>1</v>
      </c>
    </row>
    <row r="329" spans="1:12">
      <c r="A329" t="s">
        <v>2470</v>
      </c>
      <c r="B329">
        <v>2014</v>
      </c>
      <c r="C329" t="s">
        <v>82</v>
      </c>
      <c r="D329">
        <v>1</v>
      </c>
      <c r="E329">
        <v>1</v>
      </c>
      <c r="F329">
        <f>SUMIF(Base_Itens!$E$5:$E$1504,A329,Base_Itens!$I$5:$I$1504)</f>
        <v>1</v>
      </c>
      <c r="G329">
        <f t="shared" si="16"/>
        <v>0</v>
      </c>
      <c r="H329">
        <f>COUNTIF(Base_Itens!$E$5:$E$1504,A329)</f>
        <v>1</v>
      </c>
      <c r="I329" t="str">
        <f t="shared" si="17"/>
        <v>OK</v>
      </c>
      <c r="J329" t="str">
        <f>Base_Itens!E306</f>
        <v>2014-Q6-1</v>
      </c>
      <c r="K329" t="str">
        <f>Base_Itens!G306</f>
        <v>09 — Expectativas, Novos Clássicos e Novos Keynesianos</v>
      </c>
      <c r="L329">
        <f>COUNTIFS(Base_Itens!$E$5:$E$1504,J329,Base_Itens!$G$5:$G$1504,K329)</f>
        <v>1</v>
      </c>
    </row>
    <row r="330" spans="1:12">
      <c r="A330" t="s">
        <v>2471</v>
      </c>
      <c r="B330">
        <v>2014</v>
      </c>
      <c r="C330" t="s">
        <v>82</v>
      </c>
      <c r="D330">
        <v>1</v>
      </c>
      <c r="E330">
        <v>1</v>
      </c>
      <c r="F330">
        <f>SUMIF(Base_Itens!$E$5:$E$1504,A330,Base_Itens!$I$5:$I$1504)</f>
        <v>1</v>
      </c>
      <c r="G330">
        <f t="shared" si="16"/>
        <v>0</v>
      </c>
      <c r="H330">
        <f>COUNTIF(Base_Itens!$E$5:$E$1504,A330)</f>
        <v>1</v>
      </c>
      <c r="I330" t="str">
        <f t="shared" si="17"/>
        <v>OK</v>
      </c>
      <c r="J330" t="str">
        <f>Base_Itens!E307</f>
        <v>2014-Q6-2</v>
      </c>
      <c r="K330" t="str">
        <f>Base_Itens!G307</f>
        <v>09 — Expectativas, Novos Clássicos e Novos Keynesianos</v>
      </c>
      <c r="L330">
        <f>COUNTIFS(Base_Itens!$E$5:$E$1504,J330,Base_Itens!$G$5:$G$1504,K330)</f>
        <v>1</v>
      </c>
    </row>
    <row r="331" spans="1:12">
      <c r="A331" t="s">
        <v>2472</v>
      </c>
      <c r="B331">
        <v>2014</v>
      </c>
      <c r="C331" t="s">
        <v>82</v>
      </c>
      <c r="D331">
        <v>1</v>
      </c>
      <c r="E331">
        <v>1</v>
      </c>
      <c r="F331">
        <f>SUMIF(Base_Itens!$E$5:$E$1504,A331,Base_Itens!$I$5:$I$1504)</f>
        <v>1</v>
      </c>
      <c r="G331">
        <f t="shared" si="16"/>
        <v>0</v>
      </c>
      <c r="H331">
        <f>COUNTIF(Base_Itens!$E$5:$E$1504,A331)</f>
        <v>1</v>
      </c>
      <c r="I331" t="str">
        <f t="shared" si="17"/>
        <v>OK</v>
      </c>
      <c r="J331" t="str">
        <f>Base_Itens!E308</f>
        <v>2014-Q6-3</v>
      </c>
      <c r="K331" t="str">
        <f>Base_Itens!G308</f>
        <v>08 — Curva de Phillips</v>
      </c>
      <c r="L331">
        <f>COUNTIFS(Base_Itens!$E$5:$E$1504,J331,Base_Itens!$G$5:$G$1504,K331)</f>
        <v>1</v>
      </c>
    </row>
    <row r="332" spans="1:12">
      <c r="A332" t="s">
        <v>2473</v>
      </c>
      <c r="B332">
        <v>2014</v>
      </c>
      <c r="C332" t="s">
        <v>82</v>
      </c>
      <c r="D332">
        <v>1</v>
      </c>
      <c r="E332">
        <v>1</v>
      </c>
      <c r="F332">
        <f>SUMIF(Base_Itens!$E$5:$E$1504,A332,Base_Itens!$I$5:$I$1504)</f>
        <v>1</v>
      </c>
      <c r="G332">
        <f t="shared" si="16"/>
        <v>0</v>
      </c>
      <c r="H332">
        <f>COUNTIF(Base_Itens!$E$5:$E$1504,A332)</f>
        <v>1</v>
      </c>
      <c r="I332" t="str">
        <f t="shared" si="17"/>
        <v>OK</v>
      </c>
      <c r="J332" t="str">
        <f>Base_Itens!E309</f>
        <v>2014-Q6-4</v>
      </c>
      <c r="K332" t="str">
        <f>Base_Itens!G309</f>
        <v>04 — Demanda por Moeda</v>
      </c>
      <c r="L332">
        <f>COUNTIFS(Base_Itens!$E$5:$E$1504,J332,Base_Itens!$G$5:$G$1504,K332)</f>
        <v>1</v>
      </c>
    </row>
    <row r="333" spans="1:12">
      <c r="A333" t="s">
        <v>2474</v>
      </c>
      <c r="B333">
        <v>2014</v>
      </c>
      <c r="C333" t="s">
        <v>82</v>
      </c>
      <c r="D333">
        <v>1</v>
      </c>
      <c r="E333">
        <v>1</v>
      </c>
      <c r="F333">
        <f>SUMIF(Base_Itens!$E$5:$E$1504,A333,Base_Itens!$I$5:$I$1504)</f>
        <v>1</v>
      </c>
      <c r="G333">
        <f t="shared" si="16"/>
        <v>0</v>
      </c>
      <c r="H333">
        <f>COUNTIF(Base_Itens!$E$5:$E$1504,A333)</f>
        <v>1</v>
      </c>
      <c r="I333" t="str">
        <f t="shared" si="17"/>
        <v>OK</v>
      </c>
      <c r="J333" t="str">
        <f>Base_Itens!E310</f>
        <v>2014-Q7-0</v>
      </c>
      <c r="K333" t="str">
        <f>Base_Itens!G310</f>
        <v>11 — Crescimento Econômico</v>
      </c>
      <c r="L333">
        <f>COUNTIFS(Base_Itens!$E$5:$E$1504,J333,Base_Itens!$G$5:$G$1504,K333)</f>
        <v>1</v>
      </c>
    </row>
    <row r="334" spans="1:12">
      <c r="A334" t="s">
        <v>2475</v>
      </c>
      <c r="B334">
        <v>2014</v>
      </c>
      <c r="C334" t="s">
        <v>82</v>
      </c>
      <c r="D334">
        <v>1</v>
      </c>
      <c r="E334">
        <v>1</v>
      </c>
      <c r="F334">
        <f>SUMIF(Base_Itens!$E$5:$E$1504,A334,Base_Itens!$I$5:$I$1504)</f>
        <v>1</v>
      </c>
      <c r="G334">
        <f t="shared" si="16"/>
        <v>0</v>
      </c>
      <c r="H334">
        <f>COUNTIF(Base_Itens!$E$5:$E$1504,A334)</f>
        <v>1</v>
      </c>
      <c r="I334" t="str">
        <f t="shared" si="17"/>
        <v>OK</v>
      </c>
      <c r="J334" t="str">
        <f>Base_Itens!E311</f>
        <v>2014-Q7-1</v>
      </c>
      <c r="K334" t="str">
        <f>Base_Itens!G311</f>
        <v>11 — Crescimento Econômico</v>
      </c>
      <c r="L334">
        <f>COUNTIFS(Base_Itens!$E$5:$E$1504,J334,Base_Itens!$G$5:$G$1504,K334)</f>
        <v>1</v>
      </c>
    </row>
    <row r="335" spans="1:12">
      <c r="A335" t="s">
        <v>2476</v>
      </c>
      <c r="B335">
        <v>2014</v>
      </c>
      <c r="C335" t="s">
        <v>82</v>
      </c>
      <c r="D335">
        <v>1</v>
      </c>
      <c r="E335">
        <v>1</v>
      </c>
      <c r="F335">
        <f>SUMIF(Base_Itens!$E$5:$E$1504,A335,Base_Itens!$I$5:$I$1504)</f>
        <v>1</v>
      </c>
      <c r="G335">
        <f t="shared" si="16"/>
        <v>0</v>
      </c>
      <c r="H335">
        <f>COUNTIF(Base_Itens!$E$5:$E$1504,A335)</f>
        <v>1</v>
      </c>
      <c r="I335" t="str">
        <f t="shared" si="17"/>
        <v>OK</v>
      </c>
      <c r="J335" t="str">
        <f>Base_Itens!E312</f>
        <v>2014-Q7-2</v>
      </c>
      <c r="K335" t="str">
        <f>Base_Itens!G312</f>
        <v>11 — Crescimento Econômico</v>
      </c>
      <c r="L335">
        <f>COUNTIFS(Base_Itens!$E$5:$E$1504,J335,Base_Itens!$G$5:$G$1504,K335)</f>
        <v>1</v>
      </c>
    </row>
    <row r="336" spans="1:12">
      <c r="A336" t="s">
        <v>2477</v>
      </c>
      <c r="B336">
        <v>2014</v>
      </c>
      <c r="C336" t="s">
        <v>82</v>
      </c>
      <c r="D336">
        <v>1</v>
      </c>
      <c r="E336">
        <v>1</v>
      </c>
      <c r="F336">
        <f>SUMIF(Base_Itens!$E$5:$E$1504,A336,Base_Itens!$I$5:$I$1504)</f>
        <v>1</v>
      </c>
      <c r="G336">
        <f t="shared" si="16"/>
        <v>0</v>
      </c>
      <c r="H336">
        <f>COUNTIF(Base_Itens!$E$5:$E$1504,A336)</f>
        <v>1</v>
      </c>
      <c r="I336" t="str">
        <f t="shared" si="17"/>
        <v>OK</v>
      </c>
      <c r="J336" t="str">
        <f>Base_Itens!E313</f>
        <v>2014-Q7-3</v>
      </c>
      <c r="K336" t="str">
        <f>Base_Itens!G313</f>
        <v>11 — Crescimento Econômico</v>
      </c>
      <c r="L336">
        <f>COUNTIFS(Base_Itens!$E$5:$E$1504,J336,Base_Itens!$G$5:$G$1504,K336)</f>
        <v>1</v>
      </c>
    </row>
    <row r="337" spans="1:12">
      <c r="A337" t="s">
        <v>2478</v>
      </c>
      <c r="B337">
        <v>2014</v>
      </c>
      <c r="C337" t="s">
        <v>2153</v>
      </c>
      <c r="D337">
        <v>5</v>
      </c>
      <c r="E337">
        <v>1</v>
      </c>
      <c r="F337">
        <f>SUMIF(Base_Itens!$E$5:$E$1504,A337,Base_Itens!$I$5:$I$1504)</f>
        <v>5</v>
      </c>
      <c r="G337">
        <f t="shared" si="16"/>
        <v>0</v>
      </c>
      <c r="H337">
        <f>COUNTIF(Base_Itens!$E$5:$E$1504,A337)</f>
        <v>1</v>
      </c>
      <c r="I337" t="str">
        <f t="shared" si="17"/>
        <v>OK</v>
      </c>
      <c r="J337" t="str">
        <f>Base_Itens!E314</f>
        <v>2014-Q7-4</v>
      </c>
      <c r="K337" t="str">
        <f>Base_Itens!G314</f>
        <v>11 — Crescimento Econômico</v>
      </c>
      <c r="L337">
        <f>COUNTIFS(Base_Itens!$E$5:$E$1504,J337,Base_Itens!$G$5:$G$1504,K337)</f>
        <v>1</v>
      </c>
    </row>
    <row r="338" spans="1:12">
      <c r="A338" t="s">
        <v>2479</v>
      </c>
      <c r="B338">
        <v>2014</v>
      </c>
      <c r="C338" t="s">
        <v>2153</v>
      </c>
      <c r="D338">
        <v>5</v>
      </c>
      <c r="E338">
        <v>1</v>
      </c>
      <c r="F338">
        <f>SUMIF(Base_Itens!$E$5:$E$1504,A338,Base_Itens!$I$5:$I$1504)</f>
        <v>5</v>
      </c>
      <c r="G338">
        <f t="shared" si="16"/>
        <v>0</v>
      </c>
      <c r="H338">
        <f>COUNTIF(Base_Itens!$E$5:$E$1504,A338)</f>
        <v>1</v>
      </c>
      <c r="I338" t="str">
        <f t="shared" si="17"/>
        <v>OK</v>
      </c>
      <c r="J338" t="str">
        <f>Base_Itens!E315</f>
        <v>2014-Q8-0</v>
      </c>
      <c r="K338" t="str">
        <f>Base_Itens!G315</f>
        <v>05 — IS-LM</v>
      </c>
      <c r="L338">
        <f>COUNTIFS(Base_Itens!$E$5:$E$1504,J338,Base_Itens!$G$5:$G$1504,K338)</f>
        <v>1</v>
      </c>
    </row>
    <row r="339" spans="1:12">
      <c r="A339" t="s">
        <v>2480</v>
      </c>
      <c r="B339">
        <v>2014</v>
      </c>
      <c r="C339" t="s">
        <v>82</v>
      </c>
      <c r="D339">
        <v>1</v>
      </c>
      <c r="E339">
        <v>1</v>
      </c>
      <c r="F339">
        <f>SUMIF(Base_Itens!$E$5:$E$1504,A339,Base_Itens!$I$5:$I$1504)</f>
        <v>1</v>
      </c>
      <c r="G339">
        <f t="shared" si="16"/>
        <v>0</v>
      </c>
      <c r="H339">
        <f>COUNTIF(Base_Itens!$E$5:$E$1504,A339)</f>
        <v>1</v>
      </c>
      <c r="I339" t="str">
        <f t="shared" si="17"/>
        <v>OK</v>
      </c>
      <c r="J339" t="str">
        <f>Base_Itens!E316</f>
        <v>2014-Q8-1</v>
      </c>
      <c r="K339" t="str">
        <f>Base_Itens!G316</f>
        <v>05 — IS-LM</v>
      </c>
      <c r="L339">
        <f>COUNTIFS(Base_Itens!$E$5:$E$1504,J339,Base_Itens!$G$5:$G$1504,K339)</f>
        <v>1</v>
      </c>
    </row>
    <row r="340" spans="1:12">
      <c r="A340" t="s">
        <v>2481</v>
      </c>
      <c r="B340">
        <v>2014</v>
      </c>
      <c r="C340" t="s">
        <v>82</v>
      </c>
      <c r="D340">
        <v>1</v>
      </c>
      <c r="E340">
        <v>1</v>
      </c>
      <c r="F340">
        <f>SUMIF(Base_Itens!$E$5:$E$1504,A340,Base_Itens!$I$5:$I$1504)</f>
        <v>1</v>
      </c>
      <c r="G340">
        <f t="shared" si="16"/>
        <v>0</v>
      </c>
      <c r="H340">
        <f>COUNTIF(Base_Itens!$E$5:$E$1504,A340)</f>
        <v>1</v>
      </c>
      <c r="I340" t="str">
        <f t="shared" si="17"/>
        <v>OK</v>
      </c>
      <c r="J340" t="str">
        <f>Base_Itens!E317</f>
        <v>2014-Q8-2</v>
      </c>
      <c r="K340" t="str">
        <f>Base_Itens!G317</f>
        <v>06 — IS-LM-BP</v>
      </c>
      <c r="L340">
        <f>COUNTIFS(Base_Itens!$E$5:$E$1504,J340,Base_Itens!$G$5:$G$1504,K340)</f>
        <v>1</v>
      </c>
    </row>
    <row r="341" spans="1:12">
      <c r="A341" t="s">
        <v>2482</v>
      </c>
      <c r="B341">
        <v>2014</v>
      </c>
      <c r="C341" t="s">
        <v>82</v>
      </c>
      <c r="D341">
        <v>1</v>
      </c>
      <c r="E341">
        <v>1</v>
      </c>
      <c r="F341">
        <f>SUMIF(Base_Itens!$E$5:$E$1504,A341,Base_Itens!$I$5:$I$1504)</f>
        <v>1</v>
      </c>
      <c r="G341">
        <f t="shared" si="16"/>
        <v>0</v>
      </c>
      <c r="H341">
        <f>COUNTIF(Base_Itens!$E$5:$E$1504,A341)</f>
        <v>1</v>
      </c>
      <c r="I341" t="str">
        <f t="shared" si="17"/>
        <v>OK</v>
      </c>
      <c r="J341" t="str">
        <f>Base_Itens!E318</f>
        <v>2014-Q8-3</v>
      </c>
      <c r="K341" t="str">
        <f>Base_Itens!G318</f>
        <v>07a — Paridades</v>
      </c>
      <c r="L341">
        <f>COUNTIFS(Base_Itens!$E$5:$E$1504,J341,Base_Itens!$G$5:$G$1504,K341)</f>
        <v>1</v>
      </c>
    </row>
    <row r="342" spans="1:12">
      <c r="A342" t="s">
        <v>2483</v>
      </c>
      <c r="B342">
        <v>2014</v>
      </c>
      <c r="C342" t="s">
        <v>82</v>
      </c>
      <c r="D342">
        <v>1</v>
      </c>
      <c r="E342">
        <v>1</v>
      </c>
      <c r="F342">
        <f>SUMIF(Base_Itens!$E$5:$E$1504,A342,Base_Itens!$I$5:$I$1504)</f>
        <v>1</v>
      </c>
      <c r="G342">
        <f t="shared" si="16"/>
        <v>0</v>
      </c>
      <c r="H342">
        <f>COUNTIF(Base_Itens!$E$5:$E$1504,A342)</f>
        <v>1</v>
      </c>
      <c r="I342" t="str">
        <f t="shared" si="17"/>
        <v>OK</v>
      </c>
      <c r="J342" t="str">
        <f>Base_Itens!E319</f>
        <v>2014-Q8-4</v>
      </c>
      <c r="K342" t="str">
        <f>Base_Itens!G319</f>
        <v>07a — Paridades</v>
      </c>
      <c r="L342">
        <f>COUNTIFS(Base_Itens!$E$5:$E$1504,J342,Base_Itens!$G$5:$G$1504,K342)</f>
        <v>1</v>
      </c>
    </row>
    <row r="343" spans="1:12">
      <c r="A343" t="s">
        <v>2484</v>
      </c>
      <c r="B343">
        <v>2014</v>
      </c>
      <c r="C343" t="s">
        <v>82</v>
      </c>
      <c r="D343">
        <v>1</v>
      </c>
      <c r="E343">
        <v>1</v>
      </c>
      <c r="F343">
        <f>SUMIF(Base_Itens!$E$5:$E$1504,A343,Base_Itens!$I$5:$I$1504)</f>
        <v>1</v>
      </c>
      <c r="G343">
        <f t="shared" si="16"/>
        <v>0</v>
      </c>
      <c r="H343">
        <f>COUNTIF(Base_Itens!$E$5:$E$1504,A343)</f>
        <v>1</v>
      </c>
      <c r="I343" t="str">
        <f t="shared" si="17"/>
        <v>OK</v>
      </c>
      <c r="J343" t="str">
        <f>Base_Itens!E320</f>
        <v>2014-Q9-0</v>
      </c>
      <c r="K343" t="str">
        <f>Base_Itens!G320</f>
        <v>12 — Consumo</v>
      </c>
      <c r="L343">
        <f>COUNTIFS(Base_Itens!$E$5:$E$1504,J343,Base_Itens!$G$5:$G$1504,K343)</f>
        <v>1</v>
      </c>
    </row>
    <row r="344" spans="1:12">
      <c r="A344" t="s">
        <v>2485</v>
      </c>
      <c r="B344">
        <v>2014</v>
      </c>
      <c r="C344" t="s">
        <v>82</v>
      </c>
      <c r="D344">
        <v>1</v>
      </c>
      <c r="E344">
        <v>1</v>
      </c>
      <c r="F344">
        <f>SUMIF(Base_Itens!$E$5:$E$1504,A344,Base_Itens!$I$5:$I$1504)</f>
        <v>1</v>
      </c>
      <c r="G344">
        <f t="shared" si="16"/>
        <v>0</v>
      </c>
      <c r="H344">
        <f>COUNTIF(Base_Itens!$E$5:$E$1504,A344)</f>
        <v>1</v>
      </c>
      <c r="I344" t="str">
        <f t="shared" si="17"/>
        <v>OK</v>
      </c>
      <c r="J344" t="str">
        <f>Base_Itens!E321</f>
        <v>2014-Q9-1</v>
      </c>
      <c r="K344" t="str">
        <f>Base_Itens!G321</f>
        <v>12 — Consumo</v>
      </c>
      <c r="L344">
        <f>COUNTIFS(Base_Itens!$E$5:$E$1504,J344,Base_Itens!$G$5:$G$1504,K344)</f>
        <v>1</v>
      </c>
    </row>
    <row r="345" spans="1:12">
      <c r="A345" t="s">
        <v>2486</v>
      </c>
      <c r="B345">
        <v>2014</v>
      </c>
      <c r="C345" t="s">
        <v>82</v>
      </c>
      <c r="D345">
        <v>1</v>
      </c>
      <c r="E345">
        <v>1</v>
      </c>
      <c r="F345">
        <f>SUMIF(Base_Itens!$E$5:$E$1504,A345,Base_Itens!$I$5:$I$1504)</f>
        <v>1</v>
      </c>
      <c r="G345">
        <f t="shared" si="16"/>
        <v>0</v>
      </c>
      <c r="H345">
        <f>COUNTIF(Base_Itens!$E$5:$E$1504,A345)</f>
        <v>1</v>
      </c>
      <c r="I345" t="str">
        <f t="shared" si="17"/>
        <v>OK</v>
      </c>
      <c r="J345" t="str">
        <f>Base_Itens!E322</f>
        <v>2014-Q9-2</v>
      </c>
      <c r="K345" t="str">
        <f>Base_Itens!G322</f>
        <v>12 — Consumo</v>
      </c>
      <c r="L345">
        <f>COUNTIFS(Base_Itens!$E$5:$E$1504,J345,Base_Itens!$G$5:$G$1504,K345)</f>
        <v>1</v>
      </c>
    </row>
    <row r="346" spans="1:12">
      <c r="A346" t="s">
        <v>2487</v>
      </c>
      <c r="B346">
        <v>2014</v>
      </c>
      <c r="C346" t="s">
        <v>82</v>
      </c>
      <c r="D346">
        <v>1</v>
      </c>
      <c r="E346">
        <v>1</v>
      </c>
      <c r="F346">
        <f>SUMIF(Base_Itens!$E$5:$E$1504,A346,Base_Itens!$I$5:$I$1504)</f>
        <v>1</v>
      </c>
      <c r="G346">
        <f t="shared" si="16"/>
        <v>0</v>
      </c>
      <c r="H346">
        <f>COUNTIF(Base_Itens!$E$5:$E$1504,A346)</f>
        <v>1</v>
      </c>
      <c r="I346" t="str">
        <f t="shared" si="17"/>
        <v>OK</v>
      </c>
      <c r="J346" t="str">
        <f>Base_Itens!E323</f>
        <v>2014-Q9-3</v>
      </c>
      <c r="K346" t="str">
        <f>Base_Itens!G323</f>
        <v>13 — Investimento</v>
      </c>
      <c r="L346">
        <f>COUNTIFS(Base_Itens!$E$5:$E$1504,J346,Base_Itens!$G$5:$G$1504,K346)</f>
        <v>1</v>
      </c>
    </row>
    <row r="347" spans="1:12">
      <c r="A347" t="s">
        <v>2488</v>
      </c>
      <c r="B347">
        <v>2014</v>
      </c>
      <c r="C347" t="s">
        <v>82</v>
      </c>
      <c r="D347">
        <v>1</v>
      </c>
      <c r="E347">
        <v>1</v>
      </c>
      <c r="F347">
        <f>SUMIF(Base_Itens!$E$5:$E$1504,A347,Base_Itens!$I$5:$I$1504)</f>
        <v>1</v>
      </c>
      <c r="G347">
        <f t="shared" si="16"/>
        <v>0</v>
      </c>
      <c r="H347">
        <f>COUNTIF(Base_Itens!$E$5:$E$1504,A347)</f>
        <v>1</v>
      </c>
      <c r="I347" t="str">
        <f t="shared" si="17"/>
        <v>OK</v>
      </c>
      <c r="J347" t="str">
        <f>Base_Itens!E324</f>
        <v>2014-Q9-4</v>
      </c>
      <c r="K347" t="str">
        <f>Base_Itens!G324</f>
        <v>13 — Investimento</v>
      </c>
      <c r="L347">
        <f>COUNTIFS(Base_Itens!$E$5:$E$1504,J347,Base_Itens!$G$5:$G$1504,K347)</f>
        <v>1</v>
      </c>
    </row>
    <row r="348" spans="1:12">
      <c r="A348" t="s">
        <v>2489</v>
      </c>
      <c r="B348">
        <v>2014</v>
      </c>
      <c r="C348" t="s">
        <v>82</v>
      </c>
      <c r="D348">
        <v>1</v>
      </c>
      <c r="E348">
        <v>1</v>
      </c>
      <c r="F348">
        <f>SUMIF(Base_Itens!$E$5:$E$1504,A348,Base_Itens!$I$5:$I$1504)</f>
        <v>1</v>
      </c>
      <c r="G348">
        <f t="shared" ref="G348:G411" si="18">F348-D348</f>
        <v>0</v>
      </c>
      <c r="H348">
        <f>COUNTIF(Base_Itens!$E$5:$E$1504,A348)</f>
        <v>1</v>
      </c>
      <c r="I348" t="str">
        <f t="shared" si="17"/>
        <v>OK</v>
      </c>
      <c r="J348" t="str">
        <f>Base_Itens!E325</f>
        <v>2014-Q10-ABERTA</v>
      </c>
      <c r="K348" t="str">
        <f>Base_Itens!G325</f>
        <v>14 — Dívida Pública e Senhoriagem</v>
      </c>
      <c r="L348">
        <f>COUNTIFS(Base_Itens!$E$5:$E$1504,J348,Base_Itens!$G$5:$G$1504,K348)</f>
        <v>1</v>
      </c>
    </row>
    <row r="349" spans="1:12">
      <c r="A349" t="s">
        <v>2490</v>
      </c>
      <c r="B349">
        <v>2014</v>
      </c>
      <c r="C349" t="s">
        <v>82</v>
      </c>
      <c r="D349">
        <v>1</v>
      </c>
      <c r="E349">
        <v>1</v>
      </c>
      <c r="F349">
        <f>SUMIF(Base_Itens!$E$5:$E$1504,A349,Base_Itens!$I$5:$I$1504)</f>
        <v>1</v>
      </c>
      <c r="G349">
        <f t="shared" si="18"/>
        <v>0</v>
      </c>
      <c r="H349">
        <f>COUNTIF(Base_Itens!$E$5:$E$1504,A349)</f>
        <v>1</v>
      </c>
      <c r="I349" t="str">
        <f t="shared" si="17"/>
        <v>OK</v>
      </c>
      <c r="J349" t="str">
        <f>Base_Itens!E326</f>
        <v>2014-Q11-ABERTA</v>
      </c>
      <c r="K349" t="str">
        <f>Base_Itens!G326</f>
        <v>08 — Curva de Phillips</v>
      </c>
      <c r="L349">
        <f>COUNTIFS(Base_Itens!$E$5:$E$1504,J349,Base_Itens!$G$5:$G$1504,K349)</f>
        <v>1</v>
      </c>
    </row>
    <row r="350" spans="1:12">
      <c r="A350" t="s">
        <v>2491</v>
      </c>
      <c r="B350">
        <v>2014</v>
      </c>
      <c r="C350" t="s">
        <v>82</v>
      </c>
      <c r="D350">
        <v>1</v>
      </c>
      <c r="E350">
        <v>1</v>
      </c>
      <c r="F350">
        <f>SUMIF(Base_Itens!$E$5:$E$1504,A350,Base_Itens!$I$5:$I$1504)</f>
        <v>1</v>
      </c>
      <c r="G350">
        <f t="shared" si="18"/>
        <v>0</v>
      </c>
      <c r="H350">
        <f>COUNTIF(Base_Itens!$E$5:$E$1504,A350)</f>
        <v>1</v>
      </c>
      <c r="I350" t="str">
        <f t="shared" si="17"/>
        <v>OK</v>
      </c>
      <c r="J350" t="str">
        <f>Base_Itens!E327</f>
        <v>2014-Q12-0</v>
      </c>
      <c r="K350" t="str">
        <f>Base_Itens!G327</f>
        <v>09 — Expectativas, Novos Clássicos e Novos Keynesianos</v>
      </c>
      <c r="L350">
        <f>COUNTIFS(Base_Itens!$E$5:$E$1504,J350,Base_Itens!$G$5:$G$1504,K350)</f>
        <v>1</v>
      </c>
    </row>
    <row r="351" spans="1:12">
      <c r="A351" t="s">
        <v>2492</v>
      </c>
      <c r="B351">
        <v>2014</v>
      </c>
      <c r="C351" t="s">
        <v>82</v>
      </c>
      <c r="D351">
        <v>1</v>
      </c>
      <c r="E351">
        <v>1</v>
      </c>
      <c r="F351">
        <f>SUMIF(Base_Itens!$E$5:$E$1504,A351,Base_Itens!$I$5:$I$1504)</f>
        <v>1</v>
      </c>
      <c r="G351">
        <f t="shared" si="18"/>
        <v>0</v>
      </c>
      <c r="H351">
        <f>COUNTIF(Base_Itens!$E$5:$E$1504,A351)</f>
        <v>1</v>
      </c>
      <c r="I351" t="str">
        <f t="shared" si="17"/>
        <v>OK</v>
      </c>
      <c r="J351" t="str">
        <f>Base_Itens!E328</f>
        <v>2014-Q12-1</v>
      </c>
      <c r="K351" t="str">
        <f>Base_Itens!G328</f>
        <v>09 — Expectativas, Novos Clássicos e Novos Keynesianos</v>
      </c>
      <c r="L351">
        <f>COUNTIFS(Base_Itens!$E$5:$E$1504,J351,Base_Itens!$G$5:$G$1504,K351)</f>
        <v>1</v>
      </c>
    </row>
    <row r="352" spans="1:12">
      <c r="A352" t="s">
        <v>2493</v>
      </c>
      <c r="B352">
        <v>2014</v>
      </c>
      <c r="C352" t="s">
        <v>82</v>
      </c>
      <c r="D352">
        <v>1</v>
      </c>
      <c r="E352">
        <v>1</v>
      </c>
      <c r="F352">
        <f>SUMIF(Base_Itens!$E$5:$E$1504,A352,Base_Itens!$I$5:$I$1504)</f>
        <v>1</v>
      </c>
      <c r="G352">
        <f t="shared" si="18"/>
        <v>0</v>
      </c>
      <c r="H352">
        <f>COUNTIF(Base_Itens!$E$5:$E$1504,A352)</f>
        <v>1</v>
      </c>
      <c r="I352" t="str">
        <f t="shared" si="17"/>
        <v>OK</v>
      </c>
      <c r="J352" t="str">
        <f>Base_Itens!E329</f>
        <v>2014-Q12-2</v>
      </c>
      <c r="K352" t="str">
        <f>Base_Itens!G329</f>
        <v>09 — Expectativas, Novos Clássicos e Novos Keynesianos</v>
      </c>
      <c r="L352">
        <f>COUNTIFS(Base_Itens!$E$5:$E$1504,J352,Base_Itens!$G$5:$G$1504,K352)</f>
        <v>1</v>
      </c>
    </row>
    <row r="353" spans="1:12">
      <c r="A353" t="s">
        <v>2494</v>
      </c>
      <c r="B353">
        <v>2014</v>
      </c>
      <c r="C353" t="s">
        <v>82</v>
      </c>
      <c r="D353">
        <v>1</v>
      </c>
      <c r="E353">
        <v>1</v>
      </c>
      <c r="F353">
        <f>SUMIF(Base_Itens!$E$5:$E$1504,A353,Base_Itens!$I$5:$I$1504)</f>
        <v>1</v>
      </c>
      <c r="G353">
        <f t="shared" si="18"/>
        <v>0</v>
      </c>
      <c r="H353">
        <f>COUNTIF(Base_Itens!$E$5:$E$1504,A353)</f>
        <v>1</v>
      </c>
      <c r="I353" t="str">
        <f t="shared" si="17"/>
        <v>OK</v>
      </c>
      <c r="J353" t="str">
        <f>Base_Itens!E330</f>
        <v>2014-Q12-3</v>
      </c>
      <c r="K353" t="str">
        <f>Base_Itens!G330</f>
        <v>09 — Expectativas, Novos Clássicos e Novos Keynesianos</v>
      </c>
      <c r="L353">
        <f>COUNTIFS(Base_Itens!$E$5:$E$1504,J353,Base_Itens!$G$5:$G$1504,K353)</f>
        <v>1</v>
      </c>
    </row>
    <row r="354" spans="1:12">
      <c r="A354" t="s">
        <v>2495</v>
      </c>
      <c r="B354">
        <v>2014</v>
      </c>
      <c r="C354" t="s">
        <v>2153</v>
      </c>
      <c r="D354">
        <v>5</v>
      </c>
      <c r="E354">
        <v>1</v>
      </c>
      <c r="F354">
        <f>SUMIF(Base_Itens!$E$5:$E$1504,A354,Base_Itens!$I$5:$I$1504)</f>
        <v>5</v>
      </c>
      <c r="G354">
        <f t="shared" si="18"/>
        <v>0</v>
      </c>
      <c r="H354">
        <f>COUNTIF(Base_Itens!$E$5:$E$1504,A354)</f>
        <v>1</v>
      </c>
      <c r="I354" t="str">
        <f t="shared" si="17"/>
        <v>OK</v>
      </c>
      <c r="J354" t="str">
        <f>Base_Itens!E331</f>
        <v>2014-Q12-4</v>
      </c>
      <c r="K354" t="str">
        <f>Base_Itens!G331</f>
        <v>09 — Expectativas, Novos Clássicos e Novos Keynesianos</v>
      </c>
      <c r="L354">
        <f>COUNTIFS(Base_Itens!$E$5:$E$1504,J354,Base_Itens!$G$5:$G$1504,K354)</f>
        <v>1</v>
      </c>
    </row>
    <row r="355" spans="1:12">
      <c r="A355" t="s">
        <v>2496</v>
      </c>
      <c r="B355">
        <v>2015</v>
      </c>
      <c r="C355" t="s">
        <v>82</v>
      </c>
      <c r="D355">
        <v>1</v>
      </c>
      <c r="E355">
        <v>1</v>
      </c>
      <c r="F355">
        <f>SUMIF(Base_Itens!$E$5:$E$1504,A355,Base_Itens!$I$5:$I$1504)</f>
        <v>1</v>
      </c>
      <c r="G355">
        <f t="shared" si="18"/>
        <v>0</v>
      </c>
      <c r="H355">
        <f>COUNTIF(Base_Itens!$E$5:$E$1504,A355)</f>
        <v>1</v>
      </c>
      <c r="I355" t="str">
        <f t="shared" si="17"/>
        <v>OK</v>
      </c>
      <c r="J355" t="str">
        <f>Base_Itens!E332</f>
        <v>2014-Q13-0</v>
      </c>
      <c r="K355" t="str">
        <f>Base_Itens!G332</f>
        <v>07a — Paridades</v>
      </c>
      <c r="L355">
        <f>COUNTIFS(Base_Itens!$E$5:$E$1504,J355,Base_Itens!$G$5:$G$1504,K355)</f>
        <v>1</v>
      </c>
    </row>
    <row r="356" spans="1:12">
      <c r="A356" t="s">
        <v>2497</v>
      </c>
      <c r="B356">
        <v>2015</v>
      </c>
      <c r="C356" t="s">
        <v>82</v>
      </c>
      <c r="D356">
        <v>1</v>
      </c>
      <c r="E356">
        <v>1</v>
      </c>
      <c r="F356">
        <f>SUMIF(Base_Itens!$E$5:$E$1504,A356,Base_Itens!$I$5:$I$1504)</f>
        <v>1</v>
      </c>
      <c r="G356">
        <f t="shared" si="18"/>
        <v>0</v>
      </c>
      <c r="H356">
        <f>COUNTIF(Base_Itens!$E$5:$E$1504,A356)</f>
        <v>1</v>
      </c>
      <c r="I356" t="str">
        <f t="shared" si="17"/>
        <v>OK</v>
      </c>
      <c r="J356" t="str">
        <f>Base_Itens!E333</f>
        <v>2014-Q13-1</v>
      </c>
      <c r="K356" t="str">
        <f>Base_Itens!G333</f>
        <v>07a — Paridades</v>
      </c>
      <c r="L356">
        <f>COUNTIFS(Base_Itens!$E$5:$E$1504,J356,Base_Itens!$G$5:$G$1504,K356)</f>
        <v>1</v>
      </c>
    </row>
    <row r="357" spans="1:12">
      <c r="A357" t="s">
        <v>2498</v>
      </c>
      <c r="B357">
        <v>2015</v>
      </c>
      <c r="C357" t="s">
        <v>82</v>
      </c>
      <c r="D357">
        <v>1</v>
      </c>
      <c r="E357">
        <v>1</v>
      </c>
      <c r="F357">
        <f>SUMIF(Base_Itens!$E$5:$E$1504,A357,Base_Itens!$I$5:$I$1504)</f>
        <v>1</v>
      </c>
      <c r="G357">
        <f t="shared" si="18"/>
        <v>0</v>
      </c>
      <c r="H357">
        <f>COUNTIF(Base_Itens!$E$5:$E$1504,A357)</f>
        <v>1</v>
      </c>
      <c r="I357" t="str">
        <f t="shared" si="17"/>
        <v>OK</v>
      </c>
      <c r="J357" t="str">
        <f>Base_Itens!E334</f>
        <v>2014-Q13-2</v>
      </c>
      <c r="K357" t="str">
        <f>Base_Itens!G334</f>
        <v>07a — Paridades</v>
      </c>
      <c r="L357">
        <f>COUNTIFS(Base_Itens!$E$5:$E$1504,J357,Base_Itens!$G$5:$G$1504,K357)</f>
        <v>1</v>
      </c>
    </row>
    <row r="358" spans="1:12">
      <c r="A358" t="s">
        <v>2499</v>
      </c>
      <c r="B358">
        <v>2015</v>
      </c>
      <c r="C358" t="s">
        <v>82</v>
      </c>
      <c r="D358">
        <v>1</v>
      </c>
      <c r="E358">
        <v>1</v>
      </c>
      <c r="F358">
        <f>SUMIF(Base_Itens!$E$5:$E$1504,A358,Base_Itens!$I$5:$I$1504)</f>
        <v>1</v>
      </c>
      <c r="G358">
        <f t="shared" si="18"/>
        <v>0</v>
      </c>
      <c r="H358">
        <f>COUNTIF(Base_Itens!$E$5:$E$1504,A358)</f>
        <v>1</v>
      </c>
      <c r="I358" t="str">
        <f t="shared" si="17"/>
        <v>OK</v>
      </c>
      <c r="J358" t="str">
        <f>Base_Itens!E335</f>
        <v>2014-Q13-3</v>
      </c>
      <c r="K358" t="str">
        <f>Base_Itens!G335</f>
        <v>07a — Paridades</v>
      </c>
      <c r="L358">
        <f>COUNTIFS(Base_Itens!$E$5:$E$1504,J358,Base_Itens!$G$5:$G$1504,K358)</f>
        <v>1</v>
      </c>
    </row>
    <row r="359" spans="1:12">
      <c r="A359" t="s">
        <v>2500</v>
      </c>
      <c r="B359">
        <v>2015</v>
      </c>
      <c r="C359" t="s">
        <v>82</v>
      </c>
      <c r="D359">
        <v>1</v>
      </c>
      <c r="E359">
        <v>1</v>
      </c>
      <c r="F359">
        <f>SUMIF(Base_Itens!$E$5:$E$1504,A359,Base_Itens!$I$5:$I$1504)</f>
        <v>1</v>
      </c>
      <c r="G359">
        <f t="shared" si="18"/>
        <v>0</v>
      </c>
      <c r="H359">
        <f>COUNTIF(Base_Itens!$E$5:$E$1504,A359)</f>
        <v>1</v>
      </c>
      <c r="I359" t="str">
        <f t="shared" si="17"/>
        <v>OK</v>
      </c>
      <c r="J359" t="str">
        <f>Base_Itens!E336</f>
        <v>2014-Q13-4</v>
      </c>
      <c r="K359" t="str">
        <f>Base_Itens!G336</f>
        <v>07a — Paridades</v>
      </c>
      <c r="L359">
        <f>COUNTIFS(Base_Itens!$E$5:$E$1504,J359,Base_Itens!$G$5:$G$1504,K359)</f>
        <v>1</v>
      </c>
    </row>
    <row r="360" spans="1:12">
      <c r="A360" t="s">
        <v>2501</v>
      </c>
      <c r="B360">
        <v>2015</v>
      </c>
      <c r="C360" t="s">
        <v>82</v>
      </c>
      <c r="D360">
        <v>1</v>
      </c>
      <c r="E360">
        <v>1</v>
      </c>
      <c r="F360">
        <f>SUMIF(Base_Itens!$E$5:$E$1504,A360,Base_Itens!$I$5:$I$1504)</f>
        <v>1</v>
      </c>
      <c r="G360">
        <f t="shared" si="18"/>
        <v>0</v>
      </c>
      <c r="H360">
        <f>COUNTIF(Base_Itens!$E$5:$E$1504,A360)</f>
        <v>1</v>
      </c>
      <c r="I360" t="str">
        <f t="shared" si="17"/>
        <v>OK</v>
      </c>
      <c r="J360" t="str">
        <f>Base_Itens!E337</f>
        <v>2014-Q14-0</v>
      </c>
      <c r="K360" t="str">
        <f>Base_Itens!G337</f>
        <v>05 — IS-LM</v>
      </c>
      <c r="L360">
        <f>COUNTIFS(Base_Itens!$E$5:$E$1504,J360,Base_Itens!$G$5:$G$1504,K360)</f>
        <v>1</v>
      </c>
    </row>
    <row r="361" spans="1:12">
      <c r="A361" t="s">
        <v>2502</v>
      </c>
      <c r="B361">
        <v>2015</v>
      </c>
      <c r="C361" t="s">
        <v>82</v>
      </c>
      <c r="D361">
        <v>1</v>
      </c>
      <c r="E361">
        <v>1</v>
      </c>
      <c r="F361">
        <f>SUMIF(Base_Itens!$E$5:$E$1504,A361,Base_Itens!$I$5:$I$1504)</f>
        <v>1</v>
      </c>
      <c r="G361">
        <f t="shared" si="18"/>
        <v>0</v>
      </c>
      <c r="H361">
        <f>COUNTIF(Base_Itens!$E$5:$E$1504,A361)</f>
        <v>1</v>
      </c>
      <c r="I361" t="str">
        <f t="shared" si="17"/>
        <v>OK</v>
      </c>
      <c r="J361" t="str">
        <f>Base_Itens!E338</f>
        <v>2014-Q14-1</v>
      </c>
      <c r="K361" t="str">
        <f>Base_Itens!G338</f>
        <v>05 — IS-LM</v>
      </c>
      <c r="L361">
        <f>COUNTIFS(Base_Itens!$E$5:$E$1504,J361,Base_Itens!$G$5:$G$1504,K361)</f>
        <v>1</v>
      </c>
    </row>
    <row r="362" spans="1:12">
      <c r="A362" t="s">
        <v>2503</v>
      </c>
      <c r="B362">
        <v>2015</v>
      </c>
      <c r="C362" t="s">
        <v>82</v>
      </c>
      <c r="D362">
        <v>1</v>
      </c>
      <c r="E362">
        <v>1</v>
      </c>
      <c r="F362">
        <f>SUMIF(Base_Itens!$E$5:$E$1504,A362,Base_Itens!$I$5:$I$1504)</f>
        <v>1</v>
      </c>
      <c r="G362">
        <f t="shared" si="18"/>
        <v>0</v>
      </c>
      <c r="H362">
        <f>COUNTIF(Base_Itens!$E$5:$E$1504,A362)</f>
        <v>1</v>
      </c>
      <c r="I362" t="str">
        <f t="shared" si="17"/>
        <v>OK</v>
      </c>
      <c r="J362" t="str">
        <f>Base_Itens!E339</f>
        <v>2014-Q14-2</v>
      </c>
      <c r="K362" t="str">
        <f>Base_Itens!G339</f>
        <v>09 — Expectativas, Novos Clássicos e Novos Keynesianos</v>
      </c>
      <c r="L362">
        <f>COUNTIFS(Base_Itens!$E$5:$E$1504,J362,Base_Itens!$G$5:$G$1504,K362)</f>
        <v>1</v>
      </c>
    </row>
    <row r="363" spans="1:12">
      <c r="A363" t="s">
        <v>2504</v>
      </c>
      <c r="B363">
        <v>2015</v>
      </c>
      <c r="C363" t="s">
        <v>82</v>
      </c>
      <c r="D363">
        <v>1</v>
      </c>
      <c r="E363">
        <v>1</v>
      </c>
      <c r="F363">
        <f>SUMIF(Base_Itens!$E$5:$E$1504,A363,Base_Itens!$I$5:$I$1504)</f>
        <v>1</v>
      </c>
      <c r="G363">
        <f t="shared" si="18"/>
        <v>0</v>
      </c>
      <c r="H363">
        <f>COUNTIF(Base_Itens!$E$5:$E$1504,A363)</f>
        <v>1</v>
      </c>
      <c r="I363" t="str">
        <f t="shared" si="17"/>
        <v>OK</v>
      </c>
      <c r="J363" t="str">
        <f>Base_Itens!E340</f>
        <v>2014-Q14-3</v>
      </c>
      <c r="K363" t="str">
        <f>Base_Itens!G340</f>
        <v>09 — Expectativas, Novos Clássicos e Novos Keynesianos</v>
      </c>
      <c r="L363">
        <f>COUNTIFS(Base_Itens!$E$5:$E$1504,J363,Base_Itens!$G$5:$G$1504,K363)</f>
        <v>1</v>
      </c>
    </row>
    <row r="364" spans="1:12">
      <c r="A364" t="s">
        <v>2505</v>
      </c>
      <c r="B364">
        <v>2015</v>
      </c>
      <c r="C364" t="s">
        <v>82</v>
      </c>
      <c r="D364">
        <v>1</v>
      </c>
      <c r="E364">
        <v>1</v>
      </c>
      <c r="F364">
        <f>SUMIF(Base_Itens!$E$5:$E$1504,A364,Base_Itens!$I$5:$I$1504)</f>
        <v>1</v>
      </c>
      <c r="G364">
        <f t="shared" si="18"/>
        <v>0</v>
      </c>
      <c r="H364">
        <f>COUNTIF(Base_Itens!$E$5:$E$1504,A364)</f>
        <v>1</v>
      </c>
      <c r="I364" t="str">
        <f t="shared" si="17"/>
        <v>OK</v>
      </c>
      <c r="J364" t="str">
        <f>Base_Itens!E341</f>
        <v>2014-Q14-4</v>
      </c>
      <c r="K364" t="str">
        <f>Base_Itens!G341</f>
        <v>14 — Dívida Pública e Senhoriagem</v>
      </c>
      <c r="L364">
        <f>COUNTIFS(Base_Itens!$E$5:$E$1504,J364,Base_Itens!$G$5:$G$1504,K364)</f>
        <v>1</v>
      </c>
    </row>
    <row r="365" spans="1:12">
      <c r="A365" t="s">
        <v>2506</v>
      </c>
      <c r="B365">
        <v>2015</v>
      </c>
      <c r="C365" t="s">
        <v>82</v>
      </c>
      <c r="D365">
        <v>1</v>
      </c>
      <c r="E365">
        <v>1</v>
      </c>
      <c r="F365">
        <f>SUMIF(Base_Itens!$E$5:$E$1504,A365,Base_Itens!$I$5:$I$1504)</f>
        <v>1</v>
      </c>
      <c r="G365">
        <f t="shared" si="18"/>
        <v>0</v>
      </c>
      <c r="H365">
        <f>COUNTIF(Base_Itens!$E$5:$E$1504,A365)</f>
        <v>1</v>
      </c>
      <c r="I365" t="str">
        <f t="shared" si="17"/>
        <v>OK</v>
      </c>
      <c r="J365" t="str">
        <f>Base_Itens!E342</f>
        <v>2014-Q15-ABERTA</v>
      </c>
      <c r="K365" t="str">
        <f>Base_Itens!G342</f>
        <v>11 — Crescimento Econômico</v>
      </c>
      <c r="L365">
        <f>COUNTIFS(Base_Itens!$E$5:$E$1504,J365,Base_Itens!$G$5:$G$1504,K365)</f>
        <v>1</v>
      </c>
    </row>
    <row r="366" spans="1:12">
      <c r="A366" t="s">
        <v>2507</v>
      </c>
      <c r="B366">
        <v>2015</v>
      </c>
      <c r="C366" t="s">
        <v>82</v>
      </c>
      <c r="D366">
        <v>1</v>
      </c>
      <c r="E366">
        <v>2</v>
      </c>
      <c r="F366">
        <f>SUMIF(Base_Itens!$E$5:$E$1504,A366,Base_Itens!$I$5:$I$1504)</f>
        <v>1</v>
      </c>
      <c r="G366">
        <f t="shared" si="18"/>
        <v>0</v>
      </c>
      <c r="H366">
        <f>COUNTIF(Base_Itens!$E$5:$E$1504,A366)</f>
        <v>2</v>
      </c>
      <c r="I366" t="str">
        <f t="shared" si="17"/>
        <v>OK</v>
      </c>
      <c r="J366" t="str">
        <f>Base_Itens!E343</f>
        <v>2015-Q1-0</v>
      </c>
      <c r="K366" t="str">
        <f>Base_Itens!G343</f>
        <v>02 — Balanço de Pagamentos</v>
      </c>
      <c r="L366">
        <f>COUNTIFS(Base_Itens!$E$5:$E$1504,J366,Base_Itens!$G$5:$G$1504,K366)</f>
        <v>1</v>
      </c>
    </row>
    <row r="367" spans="1:12">
      <c r="A367" t="s">
        <v>2508</v>
      </c>
      <c r="B367">
        <v>2015</v>
      </c>
      <c r="C367" t="s">
        <v>82</v>
      </c>
      <c r="D367">
        <v>1</v>
      </c>
      <c r="E367">
        <v>2</v>
      </c>
      <c r="F367">
        <f>SUMIF(Base_Itens!$E$5:$E$1504,A367,Base_Itens!$I$5:$I$1504)</f>
        <v>1</v>
      </c>
      <c r="G367">
        <f t="shared" si="18"/>
        <v>0</v>
      </c>
      <c r="H367">
        <f>COUNTIF(Base_Itens!$E$5:$E$1504,A367)</f>
        <v>2</v>
      </c>
      <c r="I367" t="str">
        <f t="shared" si="17"/>
        <v>OK</v>
      </c>
      <c r="J367" t="str">
        <f>Base_Itens!E344</f>
        <v>2015-Q1-1</v>
      </c>
      <c r="K367" t="str">
        <f>Base_Itens!G344</f>
        <v>02 — Balanço de Pagamentos</v>
      </c>
      <c r="L367">
        <f>COUNTIFS(Base_Itens!$E$5:$E$1504,J367,Base_Itens!$G$5:$G$1504,K367)</f>
        <v>1</v>
      </c>
    </row>
    <row r="368" spans="1:12">
      <c r="A368" t="s">
        <v>2509</v>
      </c>
      <c r="B368">
        <v>2015</v>
      </c>
      <c r="C368" t="s">
        <v>82</v>
      </c>
      <c r="D368">
        <v>1</v>
      </c>
      <c r="E368">
        <v>2</v>
      </c>
      <c r="F368">
        <f>SUMIF(Base_Itens!$E$5:$E$1504,A368,Base_Itens!$I$5:$I$1504)</f>
        <v>1</v>
      </c>
      <c r="G368">
        <f t="shared" si="18"/>
        <v>0</v>
      </c>
      <c r="H368">
        <f>COUNTIF(Base_Itens!$E$5:$E$1504,A368)</f>
        <v>2</v>
      </c>
      <c r="I368" t="str">
        <f t="shared" si="17"/>
        <v>OK</v>
      </c>
      <c r="J368" t="str">
        <f>Base_Itens!E345</f>
        <v>2015-Q1-2</v>
      </c>
      <c r="K368" t="str">
        <f>Base_Itens!G345</f>
        <v>02 — Balanço de Pagamentos</v>
      </c>
      <c r="L368">
        <f>COUNTIFS(Base_Itens!$E$5:$E$1504,J368,Base_Itens!$G$5:$G$1504,K368)</f>
        <v>1</v>
      </c>
    </row>
    <row r="369" spans="1:12">
      <c r="A369" t="s">
        <v>2510</v>
      </c>
      <c r="B369">
        <v>2015</v>
      </c>
      <c r="C369" t="s">
        <v>82</v>
      </c>
      <c r="D369">
        <v>1</v>
      </c>
      <c r="E369">
        <v>1</v>
      </c>
      <c r="F369">
        <f>SUMIF(Base_Itens!$E$5:$E$1504,A369,Base_Itens!$I$5:$I$1504)</f>
        <v>1</v>
      </c>
      <c r="G369">
        <f t="shared" si="18"/>
        <v>0</v>
      </c>
      <c r="H369">
        <f>COUNTIF(Base_Itens!$E$5:$E$1504,A369)</f>
        <v>1</v>
      </c>
      <c r="I369" t="str">
        <f t="shared" si="17"/>
        <v>OK</v>
      </c>
      <c r="J369" t="str">
        <f>Base_Itens!E346</f>
        <v>2015-Q1-3</v>
      </c>
      <c r="K369" t="str">
        <f>Base_Itens!G346</f>
        <v>02 — Balanço de Pagamentos</v>
      </c>
      <c r="L369">
        <f>COUNTIFS(Base_Itens!$E$5:$E$1504,J369,Base_Itens!$G$5:$G$1504,K369)</f>
        <v>1</v>
      </c>
    </row>
    <row r="370" spans="1:12">
      <c r="A370" t="s">
        <v>2511</v>
      </c>
      <c r="B370">
        <v>2015</v>
      </c>
      <c r="C370" t="s">
        <v>82</v>
      </c>
      <c r="D370">
        <v>1</v>
      </c>
      <c r="E370">
        <v>1</v>
      </c>
      <c r="F370">
        <f>SUMIF(Base_Itens!$E$5:$E$1504,A370,Base_Itens!$I$5:$I$1504)</f>
        <v>1</v>
      </c>
      <c r="G370">
        <f t="shared" si="18"/>
        <v>0</v>
      </c>
      <c r="H370">
        <f>COUNTIF(Base_Itens!$E$5:$E$1504,A370)</f>
        <v>1</v>
      </c>
      <c r="I370" t="str">
        <f t="shared" si="17"/>
        <v>OK</v>
      </c>
      <c r="J370" t="str">
        <f>Base_Itens!E347</f>
        <v>2015-Q1-4</v>
      </c>
      <c r="K370" t="str">
        <f>Base_Itens!G347</f>
        <v>02 — Balanço de Pagamentos</v>
      </c>
      <c r="L370">
        <f>COUNTIFS(Base_Itens!$E$5:$E$1504,J370,Base_Itens!$G$5:$G$1504,K370)</f>
        <v>1</v>
      </c>
    </row>
    <row r="371" spans="1:12">
      <c r="A371" t="s">
        <v>2512</v>
      </c>
      <c r="B371">
        <v>2015</v>
      </c>
      <c r="C371" t="s">
        <v>82</v>
      </c>
      <c r="D371">
        <v>1</v>
      </c>
      <c r="E371">
        <v>1</v>
      </c>
      <c r="F371">
        <f>SUMIF(Base_Itens!$E$5:$E$1504,A371,Base_Itens!$I$5:$I$1504)</f>
        <v>1</v>
      </c>
      <c r="G371">
        <f t="shared" si="18"/>
        <v>0</v>
      </c>
      <c r="H371">
        <f>COUNTIF(Base_Itens!$E$5:$E$1504,A371)</f>
        <v>1</v>
      </c>
      <c r="I371" t="str">
        <f t="shared" si="17"/>
        <v>OK</v>
      </c>
      <c r="J371" t="str">
        <f>Base_Itens!E348</f>
        <v>2015-Q2-0</v>
      </c>
      <c r="K371" t="str">
        <f>Base_Itens!G348</f>
        <v>05 — IS-LM</v>
      </c>
      <c r="L371">
        <f>COUNTIFS(Base_Itens!$E$5:$E$1504,J371,Base_Itens!$G$5:$G$1504,K371)</f>
        <v>1</v>
      </c>
    </row>
    <row r="372" spans="1:12">
      <c r="A372" t="s">
        <v>2513</v>
      </c>
      <c r="B372">
        <v>2015</v>
      </c>
      <c r="C372" t="s">
        <v>82</v>
      </c>
      <c r="D372">
        <v>1</v>
      </c>
      <c r="E372">
        <v>1</v>
      </c>
      <c r="F372">
        <f>SUMIF(Base_Itens!$E$5:$E$1504,A372,Base_Itens!$I$5:$I$1504)</f>
        <v>1</v>
      </c>
      <c r="G372">
        <f t="shared" si="18"/>
        <v>0</v>
      </c>
      <c r="H372">
        <f>COUNTIF(Base_Itens!$E$5:$E$1504,A372)</f>
        <v>1</v>
      </c>
      <c r="I372" t="str">
        <f t="shared" si="17"/>
        <v>OK</v>
      </c>
      <c r="J372" t="str">
        <f>Base_Itens!E349</f>
        <v>2015-Q2-1</v>
      </c>
      <c r="K372" t="str">
        <f>Base_Itens!G349</f>
        <v>05 — IS-LM</v>
      </c>
      <c r="L372">
        <f>COUNTIFS(Base_Itens!$E$5:$E$1504,J372,Base_Itens!$G$5:$G$1504,K372)</f>
        <v>1</v>
      </c>
    </row>
    <row r="373" spans="1:12">
      <c r="A373" t="s">
        <v>2514</v>
      </c>
      <c r="B373">
        <v>2015</v>
      </c>
      <c r="C373" t="s">
        <v>82</v>
      </c>
      <c r="D373">
        <v>1</v>
      </c>
      <c r="E373">
        <v>1</v>
      </c>
      <c r="F373">
        <f>SUMIF(Base_Itens!$E$5:$E$1504,A373,Base_Itens!$I$5:$I$1504)</f>
        <v>1</v>
      </c>
      <c r="G373">
        <f t="shared" si="18"/>
        <v>0</v>
      </c>
      <c r="H373">
        <f>COUNTIF(Base_Itens!$E$5:$E$1504,A373)</f>
        <v>1</v>
      </c>
      <c r="I373" t="str">
        <f t="shared" si="17"/>
        <v>OK</v>
      </c>
      <c r="J373" t="str">
        <f>Base_Itens!E350</f>
        <v>2015-Q2-2</v>
      </c>
      <c r="K373" t="str">
        <f>Base_Itens!G350</f>
        <v>05 — IS-LM</v>
      </c>
      <c r="L373">
        <f>COUNTIFS(Base_Itens!$E$5:$E$1504,J373,Base_Itens!$G$5:$G$1504,K373)</f>
        <v>1</v>
      </c>
    </row>
    <row r="374" spans="1:12">
      <c r="A374" t="s">
        <v>2515</v>
      </c>
      <c r="B374">
        <v>2015</v>
      </c>
      <c r="C374" t="s">
        <v>82</v>
      </c>
      <c r="D374">
        <v>1</v>
      </c>
      <c r="E374">
        <v>1</v>
      </c>
      <c r="F374">
        <f>SUMIF(Base_Itens!$E$5:$E$1504,A374,Base_Itens!$I$5:$I$1504)</f>
        <v>1</v>
      </c>
      <c r="G374">
        <f t="shared" si="18"/>
        <v>0</v>
      </c>
      <c r="H374">
        <f>COUNTIF(Base_Itens!$E$5:$E$1504,A374)</f>
        <v>1</v>
      </c>
      <c r="I374" t="str">
        <f t="shared" si="17"/>
        <v>OK</v>
      </c>
      <c r="J374" t="str">
        <f>Base_Itens!E351</f>
        <v>2015-Q2-3</v>
      </c>
      <c r="K374" t="str">
        <f>Base_Itens!G351</f>
        <v>05 — IS-LM</v>
      </c>
      <c r="L374">
        <f>COUNTIFS(Base_Itens!$E$5:$E$1504,J374,Base_Itens!$G$5:$G$1504,K374)</f>
        <v>1</v>
      </c>
    </row>
    <row r="375" spans="1:12">
      <c r="A375" t="s">
        <v>2516</v>
      </c>
      <c r="B375">
        <v>2015</v>
      </c>
      <c r="C375" t="s">
        <v>82</v>
      </c>
      <c r="D375">
        <v>1</v>
      </c>
      <c r="E375">
        <v>1</v>
      </c>
      <c r="F375">
        <f>SUMIF(Base_Itens!$E$5:$E$1504,A375,Base_Itens!$I$5:$I$1504)</f>
        <v>1</v>
      </c>
      <c r="G375">
        <f t="shared" si="18"/>
        <v>0</v>
      </c>
      <c r="H375">
        <f>COUNTIF(Base_Itens!$E$5:$E$1504,A375)</f>
        <v>1</v>
      </c>
      <c r="I375" t="str">
        <f t="shared" si="17"/>
        <v>OK</v>
      </c>
      <c r="J375" t="str">
        <f>Base_Itens!E352</f>
        <v>2015-Q2-4</v>
      </c>
      <c r="K375" t="str">
        <f>Base_Itens!G352</f>
        <v>05 — IS-LM</v>
      </c>
      <c r="L375">
        <f>COUNTIFS(Base_Itens!$E$5:$E$1504,J375,Base_Itens!$G$5:$G$1504,K375)</f>
        <v>1</v>
      </c>
    </row>
    <row r="376" spans="1:12">
      <c r="A376" t="s">
        <v>2517</v>
      </c>
      <c r="B376">
        <v>2015</v>
      </c>
      <c r="C376" t="s">
        <v>82</v>
      </c>
      <c r="D376">
        <v>1</v>
      </c>
      <c r="E376">
        <v>1</v>
      </c>
      <c r="F376">
        <f>SUMIF(Base_Itens!$E$5:$E$1504,A376,Base_Itens!$I$5:$I$1504)</f>
        <v>1</v>
      </c>
      <c r="G376">
        <f t="shared" si="18"/>
        <v>0</v>
      </c>
      <c r="H376">
        <f>COUNTIF(Base_Itens!$E$5:$E$1504,A376)</f>
        <v>1</v>
      </c>
      <c r="I376" t="str">
        <f t="shared" si="17"/>
        <v>OK</v>
      </c>
      <c r="J376" t="str">
        <f>Base_Itens!E353</f>
        <v>2015-Q3-0</v>
      </c>
      <c r="K376" t="str">
        <f>Base_Itens!G353</f>
        <v>12 — Consumo</v>
      </c>
      <c r="L376">
        <f>COUNTIFS(Base_Itens!$E$5:$E$1504,J376,Base_Itens!$G$5:$G$1504,K376)</f>
        <v>1</v>
      </c>
    </row>
    <row r="377" spans="1:12">
      <c r="A377" t="s">
        <v>2518</v>
      </c>
      <c r="B377">
        <v>2015</v>
      </c>
      <c r="C377" t="s">
        <v>82</v>
      </c>
      <c r="D377">
        <v>1</v>
      </c>
      <c r="E377">
        <v>1</v>
      </c>
      <c r="F377">
        <f>SUMIF(Base_Itens!$E$5:$E$1504,A377,Base_Itens!$I$5:$I$1504)</f>
        <v>1</v>
      </c>
      <c r="G377">
        <f t="shared" si="18"/>
        <v>0</v>
      </c>
      <c r="H377">
        <f>COUNTIF(Base_Itens!$E$5:$E$1504,A377)</f>
        <v>1</v>
      </c>
      <c r="I377" t="str">
        <f t="shared" si="17"/>
        <v>OK</v>
      </c>
      <c r="J377" t="str">
        <f>Base_Itens!E354</f>
        <v>2015-Q3-1</v>
      </c>
      <c r="K377" t="str">
        <f>Base_Itens!G354</f>
        <v>05 — IS-LM</v>
      </c>
      <c r="L377">
        <f>COUNTIFS(Base_Itens!$E$5:$E$1504,J377,Base_Itens!$G$5:$G$1504,K377)</f>
        <v>1</v>
      </c>
    </row>
    <row r="378" spans="1:12">
      <c r="A378" t="s">
        <v>2519</v>
      </c>
      <c r="B378">
        <v>2015</v>
      </c>
      <c r="C378" t="s">
        <v>82</v>
      </c>
      <c r="D378">
        <v>1</v>
      </c>
      <c r="E378">
        <v>1</v>
      </c>
      <c r="F378">
        <f>SUMIF(Base_Itens!$E$5:$E$1504,A378,Base_Itens!$I$5:$I$1504)</f>
        <v>1</v>
      </c>
      <c r="G378">
        <f t="shared" si="18"/>
        <v>0</v>
      </c>
      <c r="H378">
        <f>COUNTIF(Base_Itens!$E$5:$E$1504,A378)</f>
        <v>1</v>
      </c>
      <c r="I378" t="str">
        <f t="shared" si="17"/>
        <v>OK</v>
      </c>
      <c r="J378" t="str">
        <f>Base_Itens!E355</f>
        <v>2015-Q3-1</v>
      </c>
      <c r="K378" t="str">
        <f>Base_Itens!G355</f>
        <v>09 — Expectativas, Novos Clássicos e Novos Keynesianos</v>
      </c>
      <c r="L378">
        <f>COUNTIFS(Base_Itens!$E$5:$E$1504,J378,Base_Itens!$G$5:$G$1504,K378)</f>
        <v>1</v>
      </c>
    </row>
    <row r="379" spans="1:12">
      <c r="A379" t="s">
        <v>2520</v>
      </c>
      <c r="B379">
        <v>2015</v>
      </c>
      <c r="C379" t="s">
        <v>82</v>
      </c>
      <c r="D379">
        <v>1</v>
      </c>
      <c r="E379">
        <v>1</v>
      </c>
      <c r="F379">
        <f>SUMIF(Base_Itens!$E$5:$E$1504,A379,Base_Itens!$I$5:$I$1504)</f>
        <v>1</v>
      </c>
      <c r="G379">
        <f t="shared" si="18"/>
        <v>0</v>
      </c>
      <c r="H379">
        <f>COUNTIF(Base_Itens!$E$5:$E$1504,A379)</f>
        <v>1</v>
      </c>
      <c r="I379" t="str">
        <f t="shared" si="17"/>
        <v>OK</v>
      </c>
      <c r="J379" t="str">
        <f>Base_Itens!E356</f>
        <v>2015-Q3-2</v>
      </c>
      <c r="K379" t="str">
        <f>Base_Itens!G356</f>
        <v>05 — IS-LM</v>
      </c>
      <c r="L379">
        <f>COUNTIFS(Base_Itens!$E$5:$E$1504,J379,Base_Itens!$G$5:$G$1504,K379)</f>
        <v>1</v>
      </c>
    </row>
    <row r="380" spans="1:12">
      <c r="A380" t="s">
        <v>2521</v>
      </c>
      <c r="B380">
        <v>2015</v>
      </c>
      <c r="C380" t="s">
        <v>82</v>
      </c>
      <c r="D380">
        <v>1</v>
      </c>
      <c r="E380">
        <v>1</v>
      </c>
      <c r="F380">
        <f>SUMIF(Base_Itens!$E$5:$E$1504,A380,Base_Itens!$I$5:$I$1504)</f>
        <v>1</v>
      </c>
      <c r="G380">
        <f t="shared" si="18"/>
        <v>0</v>
      </c>
      <c r="H380">
        <f>COUNTIF(Base_Itens!$E$5:$E$1504,A380)</f>
        <v>1</v>
      </c>
      <c r="I380" t="str">
        <f t="shared" si="17"/>
        <v>OK</v>
      </c>
      <c r="J380" t="str">
        <f>Base_Itens!E357</f>
        <v>2015-Q3-2</v>
      </c>
      <c r="K380" t="str">
        <f>Base_Itens!G357</f>
        <v>09 — Expectativas, Novos Clássicos e Novos Keynesianos</v>
      </c>
      <c r="L380">
        <f>COUNTIFS(Base_Itens!$E$5:$E$1504,J380,Base_Itens!$G$5:$G$1504,K380)</f>
        <v>1</v>
      </c>
    </row>
    <row r="381" spans="1:12">
      <c r="A381" t="s">
        <v>2522</v>
      </c>
      <c r="B381">
        <v>2015</v>
      </c>
      <c r="C381" t="s">
        <v>82</v>
      </c>
      <c r="D381">
        <v>1</v>
      </c>
      <c r="E381">
        <v>1</v>
      </c>
      <c r="F381">
        <f>SUMIF(Base_Itens!$E$5:$E$1504,A381,Base_Itens!$I$5:$I$1504)</f>
        <v>1</v>
      </c>
      <c r="G381">
        <f t="shared" si="18"/>
        <v>0</v>
      </c>
      <c r="H381">
        <f>COUNTIF(Base_Itens!$E$5:$E$1504,A381)</f>
        <v>1</v>
      </c>
      <c r="I381" t="str">
        <f t="shared" si="17"/>
        <v>OK</v>
      </c>
      <c r="J381" t="str">
        <f>Base_Itens!E358</f>
        <v>2015-Q3-3</v>
      </c>
      <c r="K381" t="str">
        <f>Base_Itens!G358</f>
        <v>05 — IS-LM</v>
      </c>
      <c r="L381">
        <f>COUNTIFS(Base_Itens!$E$5:$E$1504,J381,Base_Itens!$G$5:$G$1504,K381)</f>
        <v>1</v>
      </c>
    </row>
    <row r="382" spans="1:12">
      <c r="A382" t="s">
        <v>2523</v>
      </c>
      <c r="B382">
        <v>2015</v>
      </c>
      <c r="C382" t="s">
        <v>82</v>
      </c>
      <c r="D382">
        <v>1</v>
      </c>
      <c r="E382">
        <v>1</v>
      </c>
      <c r="F382">
        <f>SUMIF(Base_Itens!$E$5:$E$1504,A382,Base_Itens!$I$5:$I$1504)</f>
        <v>1</v>
      </c>
      <c r="G382">
        <f t="shared" si="18"/>
        <v>0</v>
      </c>
      <c r="H382">
        <f>COUNTIF(Base_Itens!$E$5:$E$1504,A382)</f>
        <v>1</v>
      </c>
      <c r="I382" t="str">
        <f t="shared" si="17"/>
        <v>OK</v>
      </c>
      <c r="J382" t="str">
        <f>Base_Itens!E359</f>
        <v>2015-Q3-3</v>
      </c>
      <c r="K382" t="str">
        <f>Base_Itens!G359</f>
        <v>09 — Expectativas, Novos Clássicos e Novos Keynesianos</v>
      </c>
      <c r="L382">
        <f>COUNTIFS(Base_Itens!$E$5:$E$1504,J382,Base_Itens!$G$5:$G$1504,K382)</f>
        <v>1</v>
      </c>
    </row>
    <row r="383" spans="1:12">
      <c r="A383" t="s">
        <v>2524</v>
      </c>
      <c r="B383">
        <v>2015</v>
      </c>
      <c r="C383" t="s">
        <v>82</v>
      </c>
      <c r="D383">
        <v>1</v>
      </c>
      <c r="E383">
        <v>1</v>
      </c>
      <c r="F383">
        <f>SUMIF(Base_Itens!$E$5:$E$1504,A383,Base_Itens!$I$5:$I$1504)</f>
        <v>1</v>
      </c>
      <c r="G383">
        <f t="shared" si="18"/>
        <v>0</v>
      </c>
      <c r="H383">
        <f>COUNTIF(Base_Itens!$E$5:$E$1504,A383)</f>
        <v>1</v>
      </c>
      <c r="I383" t="str">
        <f t="shared" si="17"/>
        <v>OK</v>
      </c>
      <c r="J383" t="str">
        <f>Base_Itens!E360</f>
        <v>2015-Q3-4</v>
      </c>
      <c r="K383" t="str">
        <f>Base_Itens!G360</f>
        <v>13 — Investimento</v>
      </c>
      <c r="L383">
        <f>COUNTIFS(Base_Itens!$E$5:$E$1504,J383,Base_Itens!$G$5:$G$1504,K383)</f>
        <v>1</v>
      </c>
    </row>
    <row r="384" spans="1:12">
      <c r="A384" t="s">
        <v>2525</v>
      </c>
      <c r="B384">
        <v>2015</v>
      </c>
      <c r="C384" t="s">
        <v>82</v>
      </c>
      <c r="D384">
        <v>1</v>
      </c>
      <c r="E384">
        <v>1</v>
      </c>
      <c r="F384">
        <f>SUMIF(Base_Itens!$E$5:$E$1504,A384,Base_Itens!$I$5:$I$1504)</f>
        <v>1</v>
      </c>
      <c r="G384">
        <f t="shared" si="18"/>
        <v>0</v>
      </c>
      <c r="H384">
        <f>COUNTIF(Base_Itens!$E$5:$E$1504,A384)</f>
        <v>1</v>
      </c>
      <c r="I384" t="str">
        <f t="shared" si="17"/>
        <v>OK</v>
      </c>
      <c r="J384" t="str">
        <f>Base_Itens!E361</f>
        <v>2015-Q4-0</v>
      </c>
      <c r="K384" t="str">
        <f>Base_Itens!G361</f>
        <v>03 — Sistema Monetário</v>
      </c>
      <c r="L384">
        <f>COUNTIFS(Base_Itens!$E$5:$E$1504,J384,Base_Itens!$G$5:$G$1504,K384)</f>
        <v>1</v>
      </c>
    </row>
    <row r="385" spans="1:12">
      <c r="A385" t="s">
        <v>2526</v>
      </c>
      <c r="B385">
        <v>2015</v>
      </c>
      <c r="C385" t="s">
        <v>82</v>
      </c>
      <c r="D385">
        <v>1</v>
      </c>
      <c r="E385">
        <v>1</v>
      </c>
      <c r="F385">
        <f>SUMIF(Base_Itens!$E$5:$E$1504,A385,Base_Itens!$I$5:$I$1504)</f>
        <v>1</v>
      </c>
      <c r="G385">
        <f t="shared" si="18"/>
        <v>0</v>
      </c>
      <c r="H385">
        <f>COUNTIF(Base_Itens!$E$5:$E$1504,A385)</f>
        <v>1</v>
      </c>
      <c r="I385" t="str">
        <f t="shared" si="17"/>
        <v>OK</v>
      </c>
      <c r="J385" t="str">
        <f>Base_Itens!E362</f>
        <v>2015-Q4-1</v>
      </c>
      <c r="K385" t="str">
        <f>Base_Itens!G362</f>
        <v>12 — Consumo</v>
      </c>
      <c r="L385">
        <f>COUNTIFS(Base_Itens!$E$5:$E$1504,J385,Base_Itens!$G$5:$G$1504,K385)</f>
        <v>1</v>
      </c>
    </row>
    <row r="386" spans="1:12">
      <c r="A386" t="s">
        <v>2527</v>
      </c>
      <c r="B386">
        <v>2015</v>
      </c>
      <c r="C386" t="s">
        <v>82</v>
      </c>
      <c r="D386">
        <v>1</v>
      </c>
      <c r="E386">
        <v>1</v>
      </c>
      <c r="F386">
        <f>SUMIF(Base_Itens!$E$5:$E$1504,A386,Base_Itens!$I$5:$I$1504)</f>
        <v>1</v>
      </c>
      <c r="G386">
        <f t="shared" si="18"/>
        <v>0</v>
      </c>
      <c r="H386">
        <f>COUNTIF(Base_Itens!$E$5:$E$1504,A386)</f>
        <v>1</v>
      </c>
      <c r="I386" t="str">
        <f t="shared" si="17"/>
        <v>OK</v>
      </c>
      <c r="J386" t="str">
        <f>Base_Itens!E363</f>
        <v>2015-Q4-2</v>
      </c>
      <c r="K386" t="str">
        <f>Base_Itens!G363</f>
        <v>12 — Consumo</v>
      </c>
      <c r="L386">
        <f>COUNTIFS(Base_Itens!$E$5:$E$1504,J386,Base_Itens!$G$5:$G$1504,K386)</f>
        <v>1</v>
      </c>
    </row>
    <row r="387" spans="1:12">
      <c r="A387" t="s">
        <v>2528</v>
      </c>
      <c r="B387">
        <v>2015</v>
      </c>
      <c r="C387" t="s">
        <v>82</v>
      </c>
      <c r="D387">
        <v>1</v>
      </c>
      <c r="E387">
        <v>1</v>
      </c>
      <c r="F387">
        <f>SUMIF(Base_Itens!$E$5:$E$1504,A387,Base_Itens!$I$5:$I$1504)</f>
        <v>1</v>
      </c>
      <c r="G387">
        <f t="shared" si="18"/>
        <v>0</v>
      </c>
      <c r="H387">
        <f>COUNTIF(Base_Itens!$E$5:$E$1504,A387)</f>
        <v>1</v>
      </c>
      <c r="I387" t="str">
        <f t="shared" si="17"/>
        <v>OK</v>
      </c>
      <c r="J387" t="str">
        <f>Base_Itens!E364</f>
        <v>2015-Q4-3</v>
      </c>
      <c r="K387" t="str">
        <f>Base_Itens!G364</f>
        <v>12 — Consumo</v>
      </c>
      <c r="L387">
        <f>COUNTIFS(Base_Itens!$E$5:$E$1504,J387,Base_Itens!$G$5:$G$1504,K387)</f>
        <v>1</v>
      </c>
    </row>
    <row r="388" spans="1:12">
      <c r="A388" t="s">
        <v>2529</v>
      </c>
      <c r="B388">
        <v>2015</v>
      </c>
      <c r="C388" t="s">
        <v>82</v>
      </c>
      <c r="D388">
        <v>1</v>
      </c>
      <c r="E388">
        <v>1</v>
      </c>
      <c r="F388">
        <f>SUMIF(Base_Itens!$E$5:$E$1504,A388,Base_Itens!$I$5:$I$1504)</f>
        <v>1</v>
      </c>
      <c r="G388">
        <f t="shared" si="18"/>
        <v>0</v>
      </c>
      <c r="H388">
        <f>COUNTIF(Base_Itens!$E$5:$E$1504,A388)</f>
        <v>1</v>
      </c>
      <c r="I388" t="str">
        <f t="shared" si="17"/>
        <v>OK</v>
      </c>
      <c r="J388" t="str">
        <f>Base_Itens!E365</f>
        <v>2015-Q4-4</v>
      </c>
      <c r="K388" t="str">
        <f>Base_Itens!G365</f>
        <v>12 — Consumo</v>
      </c>
      <c r="L388">
        <f>COUNTIFS(Base_Itens!$E$5:$E$1504,J388,Base_Itens!$G$5:$G$1504,K388)</f>
        <v>1</v>
      </c>
    </row>
    <row r="389" spans="1:12">
      <c r="A389" t="s">
        <v>2530</v>
      </c>
      <c r="B389">
        <v>2015</v>
      </c>
      <c r="C389" t="s">
        <v>82</v>
      </c>
      <c r="D389">
        <v>1</v>
      </c>
      <c r="E389">
        <v>1</v>
      </c>
      <c r="F389">
        <f>SUMIF(Base_Itens!$E$5:$E$1504,A389,Base_Itens!$I$5:$I$1504)</f>
        <v>1</v>
      </c>
      <c r="G389">
        <f t="shared" si="18"/>
        <v>0</v>
      </c>
      <c r="H389">
        <f>COUNTIF(Base_Itens!$E$5:$E$1504,A389)</f>
        <v>1</v>
      </c>
      <c r="I389" t="str">
        <f t="shared" si="17"/>
        <v>OK</v>
      </c>
      <c r="J389" t="str">
        <f>Base_Itens!E366</f>
        <v>2015-Q5-0</v>
      </c>
      <c r="K389" t="str">
        <f>Base_Itens!G366</f>
        <v>09 — Expectativas, Novos Clássicos e Novos Keynesianos</v>
      </c>
      <c r="L389">
        <f>COUNTIFS(Base_Itens!$E$5:$E$1504,J389,Base_Itens!$G$5:$G$1504,K389)</f>
        <v>1</v>
      </c>
    </row>
    <row r="390" spans="1:12">
      <c r="A390" t="s">
        <v>2531</v>
      </c>
      <c r="B390">
        <v>2015</v>
      </c>
      <c r="C390" t="s">
        <v>82</v>
      </c>
      <c r="D390">
        <v>1</v>
      </c>
      <c r="E390">
        <v>1</v>
      </c>
      <c r="F390">
        <f>SUMIF(Base_Itens!$E$5:$E$1504,A390,Base_Itens!$I$5:$I$1504)</f>
        <v>1</v>
      </c>
      <c r="G390">
        <f t="shared" si="18"/>
        <v>0</v>
      </c>
      <c r="H390">
        <f>COUNTIF(Base_Itens!$E$5:$E$1504,A390)</f>
        <v>1</v>
      </c>
      <c r="I390" t="str">
        <f t="shared" ref="I390:I399" si="19">IF(AND(G390=0,H390=E390),"OK","REVER")</f>
        <v>OK</v>
      </c>
      <c r="J390" t="str">
        <f>Base_Itens!E367</f>
        <v>2015-Q5-1</v>
      </c>
      <c r="K390" t="str">
        <f>Base_Itens!G367</f>
        <v>04 — Demanda por Moeda</v>
      </c>
      <c r="L390">
        <f>COUNTIFS(Base_Itens!$E$5:$E$1504,J390,Base_Itens!$G$5:$G$1504,K390)</f>
        <v>1</v>
      </c>
    </row>
    <row r="391" spans="1:12">
      <c r="A391" t="s">
        <v>2532</v>
      </c>
      <c r="B391">
        <v>2015</v>
      </c>
      <c r="C391" t="s">
        <v>82</v>
      </c>
      <c r="D391">
        <v>1</v>
      </c>
      <c r="E391">
        <v>1</v>
      </c>
      <c r="F391">
        <f>SUMIF(Base_Itens!$E$5:$E$1504,A391,Base_Itens!$I$5:$I$1504)</f>
        <v>1</v>
      </c>
      <c r="G391">
        <f t="shared" si="18"/>
        <v>0</v>
      </c>
      <c r="H391">
        <f>COUNTIF(Base_Itens!$E$5:$E$1504,A391)</f>
        <v>1</v>
      </c>
      <c r="I391" t="str">
        <f t="shared" si="19"/>
        <v>OK</v>
      </c>
      <c r="J391" t="str">
        <f>Base_Itens!E368</f>
        <v>2015-Q5-2</v>
      </c>
      <c r="K391" t="str">
        <f>Base_Itens!G368</f>
        <v>10 — Ciclos Reais de Negócios (RBC)</v>
      </c>
      <c r="L391">
        <f>COUNTIFS(Base_Itens!$E$5:$E$1504,J391,Base_Itens!$G$5:$G$1504,K391)</f>
        <v>1</v>
      </c>
    </row>
    <row r="392" spans="1:12">
      <c r="A392" t="s">
        <v>2533</v>
      </c>
      <c r="B392">
        <v>2015</v>
      </c>
      <c r="C392" t="s">
        <v>82</v>
      </c>
      <c r="D392">
        <v>1</v>
      </c>
      <c r="E392">
        <v>1</v>
      </c>
      <c r="F392">
        <f>SUMIF(Base_Itens!$E$5:$E$1504,A392,Base_Itens!$I$5:$I$1504)</f>
        <v>1</v>
      </c>
      <c r="G392">
        <f t="shared" si="18"/>
        <v>0</v>
      </c>
      <c r="H392">
        <f>COUNTIF(Base_Itens!$E$5:$E$1504,A392)</f>
        <v>1</v>
      </c>
      <c r="I392" t="str">
        <f t="shared" si="19"/>
        <v>OK</v>
      </c>
      <c r="J392" t="str">
        <f>Base_Itens!E369</f>
        <v>2015-Q5-3</v>
      </c>
      <c r="K392" t="str">
        <f>Base_Itens!G369</f>
        <v>09 — Expectativas, Novos Clássicos e Novos Keynesianos</v>
      </c>
      <c r="L392">
        <f>COUNTIFS(Base_Itens!$E$5:$E$1504,J392,Base_Itens!$G$5:$G$1504,K392)</f>
        <v>1</v>
      </c>
    </row>
    <row r="393" spans="1:12">
      <c r="A393" t="s">
        <v>2534</v>
      </c>
      <c r="B393">
        <v>2015</v>
      </c>
      <c r="C393" t="s">
        <v>82</v>
      </c>
      <c r="D393">
        <v>1</v>
      </c>
      <c r="E393">
        <v>1</v>
      </c>
      <c r="F393">
        <f>SUMIF(Base_Itens!$E$5:$E$1504,A393,Base_Itens!$I$5:$I$1504)</f>
        <v>1</v>
      </c>
      <c r="G393">
        <f t="shared" si="18"/>
        <v>0</v>
      </c>
      <c r="H393">
        <f>COUNTIF(Base_Itens!$E$5:$E$1504,A393)</f>
        <v>1</v>
      </c>
      <c r="I393" t="str">
        <f t="shared" si="19"/>
        <v>OK</v>
      </c>
      <c r="J393" t="str">
        <f>Base_Itens!E370</f>
        <v>2015-Q5-4</v>
      </c>
      <c r="K393" t="str">
        <f>Base_Itens!G370</f>
        <v>10 — Ciclos Reais de Negócios (RBC)</v>
      </c>
      <c r="L393">
        <f>COUNTIFS(Base_Itens!$E$5:$E$1504,J393,Base_Itens!$G$5:$G$1504,K393)</f>
        <v>1</v>
      </c>
    </row>
    <row r="394" spans="1:12">
      <c r="A394" t="s">
        <v>2535</v>
      </c>
      <c r="B394">
        <v>2015</v>
      </c>
      <c r="C394" t="s">
        <v>82</v>
      </c>
      <c r="D394">
        <v>1</v>
      </c>
      <c r="E394">
        <v>1</v>
      </c>
      <c r="F394">
        <f>SUMIF(Base_Itens!$E$5:$E$1504,A394,Base_Itens!$I$5:$I$1504)</f>
        <v>1</v>
      </c>
      <c r="G394">
        <f t="shared" si="18"/>
        <v>0</v>
      </c>
      <c r="H394">
        <f>COUNTIF(Base_Itens!$E$5:$E$1504,A394)</f>
        <v>1</v>
      </c>
      <c r="I394" t="str">
        <f t="shared" si="19"/>
        <v>OK</v>
      </c>
      <c r="J394" t="str">
        <f>Base_Itens!E371</f>
        <v>2015-Q6-0</v>
      </c>
      <c r="K394" t="str">
        <f>Base_Itens!G371</f>
        <v>11 — Crescimento Econômico</v>
      </c>
      <c r="L394">
        <f>COUNTIFS(Base_Itens!$E$5:$E$1504,J394,Base_Itens!$G$5:$G$1504,K394)</f>
        <v>1</v>
      </c>
    </row>
    <row r="395" spans="1:12">
      <c r="A395" t="s">
        <v>2536</v>
      </c>
      <c r="B395">
        <v>2015</v>
      </c>
      <c r="C395" t="s">
        <v>82</v>
      </c>
      <c r="D395">
        <v>1</v>
      </c>
      <c r="E395">
        <v>1</v>
      </c>
      <c r="F395">
        <f>SUMIF(Base_Itens!$E$5:$E$1504,A395,Base_Itens!$I$5:$I$1504)</f>
        <v>1</v>
      </c>
      <c r="G395">
        <f t="shared" si="18"/>
        <v>0</v>
      </c>
      <c r="H395">
        <f>COUNTIF(Base_Itens!$E$5:$E$1504,A395)</f>
        <v>1</v>
      </c>
      <c r="I395" t="str">
        <f t="shared" si="19"/>
        <v>OK</v>
      </c>
      <c r="J395" t="str">
        <f>Base_Itens!E372</f>
        <v>2015-Q6-1</v>
      </c>
      <c r="K395" t="str">
        <f>Base_Itens!G372</f>
        <v>11 — Crescimento Econômico</v>
      </c>
      <c r="L395">
        <f>COUNTIFS(Base_Itens!$E$5:$E$1504,J395,Base_Itens!$G$5:$G$1504,K395)</f>
        <v>1</v>
      </c>
    </row>
    <row r="396" spans="1:12">
      <c r="A396" t="s">
        <v>2537</v>
      </c>
      <c r="B396">
        <v>2015</v>
      </c>
      <c r="C396" t="s">
        <v>82</v>
      </c>
      <c r="D396">
        <v>1</v>
      </c>
      <c r="E396">
        <v>1</v>
      </c>
      <c r="F396">
        <f>SUMIF(Base_Itens!$E$5:$E$1504,A396,Base_Itens!$I$5:$I$1504)</f>
        <v>1</v>
      </c>
      <c r="G396">
        <f t="shared" si="18"/>
        <v>0</v>
      </c>
      <c r="H396">
        <f>COUNTIF(Base_Itens!$E$5:$E$1504,A396)</f>
        <v>1</v>
      </c>
      <c r="I396" t="str">
        <f t="shared" si="19"/>
        <v>OK</v>
      </c>
      <c r="J396" t="str">
        <f>Base_Itens!E373</f>
        <v>2015-Q6-2</v>
      </c>
      <c r="K396" t="str">
        <f>Base_Itens!G373</f>
        <v>11 — Crescimento Econômico</v>
      </c>
      <c r="L396">
        <f>COUNTIFS(Base_Itens!$E$5:$E$1504,J396,Base_Itens!$G$5:$G$1504,K396)</f>
        <v>1</v>
      </c>
    </row>
    <row r="397" spans="1:12">
      <c r="A397" t="s">
        <v>2538</v>
      </c>
      <c r="B397">
        <v>2015</v>
      </c>
      <c r="C397" t="s">
        <v>82</v>
      </c>
      <c r="D397">
        <v>1</v>
      </c>
      <c r="E397">
        <v>1</v>
      </c>
      <c r="F397">
        <f>SUMIF(Base_Itens!$E$5:$E$1504,A397,Base_Itens!$I$5:$I$1504)</f>
        <v>1</v>
      </c>
      <c r="G397">
        <f t="shared" si="18"/>
        <v>0</v>
      </c>
      <c r="H397">
        <f>COUNTIF(Base_Itens!$E$5:$E$1504,A397)</f>
        <v>1</v>
      </c>
      <c r="I397" t="str">
        <f t="shared" si="19"/>
        <v>OK</v>
      </c>
      <c r="J397" t="str">
        <f>Base_Itens!E374</f>
        <v>2015-Q6-3</v>
      </c>
      <c r="K397" t="str">
        <f>Base_Itens!G374</f>
        <v>11 — Crescimento Econômico</v>
      </c>
      <c r="L397">
        <f>COUNTIFS(Base_Itens!$E$5:$E$1504,J397,Base_Itens!$G$5:$G$1504,K397)</f>
        <v>1</v>
      </c>
    </row>
    <row r="398" spans="1:12">
      <c r="A398" t="s">
        <v>2539</v>
      </c>
      <c r="B398">
        <v>2015</v>
      </c>
      <c r="C398" t="s">
        <v>82</v>
      </c>
      <c r="D398">
        <v>1</v>
      </c>
      <c r="E398">
        <v>1</v>
      </c>
      <c r="F398">
        <f>SUMIF(Base_Itens!$E$5:$E$1504,A398,Base_Itens!$I$5:$I$1504)</f>
        <v>1</v>
      </c>
      <c r="G398">
        <f t="shared" si="18"/>
        <v>0</v>
      </c>
      <c r="H398">
        <f>COUNTIF(Base_Itens!$E$5:$E$1504,A398)</f>
        <v>1</v>
      </c>
      <c r="I398" t="str">
        <f t="shared" si="19"/>
        <v>OK</v>
      </c>
      <c r="J398" t="str">
        <f>Base_Itens!E375</f>
        <v>2015-Q6-4</v>
      </c>
      <c r="K398" t="str">
        <f>Base_Itens!G375</f>
        <v>11 — Crescimento Econômico</v>
      </c>
      <c r="L398">
        <f>COUNTIFS(Base_Itens!$E$5:$E$1504,J398,Base_Itens!$G$5:$G$1504,K398)</f>
        <v>1</v>
      </c>
    </row>
    <row r="399" spans="1:12">
      <c r="A399" t="s">
        <v>2540</v>
      </c>
      <c r="B399">
        <v>2015</v>
      </c>
      <c r="C399" t="s">
        <v>82</v>
      </c>
      <c r="D399">
        <v>1</v>
      </c>
      <c r="E399">
        <v>1</v>
      </c>
      <c r="F399">
        <f>SUMIF(Base_Itens!$E$5:$E$1504,A399,Base_Itens!$I$5:$I$1504)</f>
        <v>1</v>
      </c>
      <c r="G399">
        <f t="shared" si="18"/>
        <v>0</v>
      </c>
      <c r="H399">
        <f>COUNTIF(Base_Itens!$E$5:$E$1504,A399)</f>
        <v>1</v>
      </c>
      <c r="I399" t="str">
        <f t="shared" si="19"/>
        <v>OK</v>
      </c>
      <c r="J399" t="str">
        <f>Base_Itens!E376</f>
        <v>2015-Q7-0</v>
      </c>
      <c r="K399" t="str">
        <f>Base_Itens!G376</f>
        <v>09 — Expectativas, Novos Clássicos e Novos Keynesianos</v>
      </c>
      <c r="L399">
        <f>COUNTIFS(Base_Itens!$E$5:$E$1504,J399,Base_Itens!$G$5:$G$1504,K399)</f>
        <v>1</v>
      </c>
    </row>
    <row r="400" spans="1:12">
      <c r="A400" t="s">
        <v>2541</v>
      </c>
      <c r="B400">
        <v>2015</v>
      </c>
      <c r="C400" t="s">
        <v>82</v>
      </c>
      <c r="D400">
        <v>1</v>
      </c>
      <c r="E400">
        <v>1</v>
      </c>
      <c r="F400">
        <f>SUMIF(Base_Itens!$E$5:$E$1504,A400,Base_Itens!$I$5:$I$1504)</f>
        <v>1</v>
      </c>
      <c r="G400">
        <f t="shared" si="18"/>
        <v>0</v>
      </c>
      <c r="H400">
        <f>COUNTIF(Base_Itens!$E$5:$E$1504,A400)</f>
        <v>1</v>
      </c>
      <c r="I400" t="str">
        <f t="shared" ref="I400:I431" si="20">IF(AND(G400=0,H400=E100),"OK","REVER")</f>
        <v>OK</v>
      </c>
      <c r="J400" t="str">
        <f>Base_Itens!E377</f>
        <v>2015-Q7-1</v>
      </c>
      <c r="K400" t="str">
        <f>Base_Itens!G377</f>
        <v>09 — Expectativas, Novos Clássicos e Novos Keynesianos</v>
      </c>
      <c r="L400">
        <f>COUNTIFS(Base_Itens!$E$5:$E$1504,J400,Base_Itens!$G$5:$G$1504,K400)</f>
        <v>1</v>
      </c>
    </row>
    <row r="401" spans="1:12">
      <c r="A401" t="s">
        <v>2542</v>
      </c>
      <c r="B401">
        <v>2015</v>
      </c>
      <c r="C401" t="s">
        <v>82</v>
      </c>
      <c r="D401">
        <v>1</v>
      </c>
      <c r="E401">
        <v>1</v>
      </c>
      <c r="F401">
        <f>SUMIF(Base_Itens!$E$5:$E$1504,A401,Base_Itens!$I$5:$I$1504)</f>
        <v>1</v>
      </c>
      <c r="G401">
        <f t="shared" si="18"/>
        <v>0</v>
      </c>
      <c r="H401">
        <f>COUNTIF(Base_Itens!$E$5:$E$1504,A401)</f>
        <v>1</v>
      </c>
      <c r="I401" t="str">
        <f t="shared" si="20"/>
        <v>OK</v>
      </c>
      <c r="J401" t="str">
        <f>Base_Itens!E378</f>
        <v>2015-Q7-2</v>
      </c>
      <c r="K401" t="str">
        <f>Base_Itens!G378</f>
        <v>09 — Expectativas, Novos Clássicos e Novos Keynesianos</v>
      </c>
      <c r="L401">
        <f>COUNTIFS(Base_Itens!$E$5:$E$1504,J401,Base_Itens!$G$5:$G$1504,K401)</f>
        <v>1</v>
      </c>
    </row>
    <row r="402" spans="1:12">
      <c r="A402" t="s">
        <v>2543</v>
      </c>
      <c r="B402">
        <v>2015</v>
      </c>
      <c r="C402" t="s">
        <v>82</v>
      </c>
      <c r="D402">
        <v>1</v>
      </c>
      <c r="E402">
        <v>1</v>
      </c>
      <c r="F402">
        <f>SUMIF(Base_Itens!$E$5:$E$1504,A402,Base_Itens!$I$5:$I$1504)</f>
        <v>1</v>
      </c>
      <c r="G402">
        <f t="shared" si="18"/>
        <v>0</v>
      </c>
      <c r="H402">
        <f>COUNTIF(Base_Itens!$E$5:$E$1504,A402)</f>
        <v>1</v>
      </c>
      <c r="I402" t="str">
        <f t="shared" si="20"/>
        <v>OK</v>
      </c>
      <c r="J402" t="str">
        <f>Base_Itens!E379</f>
        <v>2015-Q7-3</v>
      </c>
      <c r="K402" t="str">
        <f>Base_Itens!G379</f>
        <v>09 — Expectativas, Novos Clássicos e Novos Keynesianos</v>
      </c>
      <c r="L402">
        <f>COUNTIFS(Base_Itens!$E$5:$E$1504,J402,Base_Itens!$G$5:$G$1504,K402)</f>
        <v>1</v>
      </c>
    </row>
    <row r="403" spans="1:12">
      <c r="A403" t="s">
        <v>2544</v>
      </c>
      <c r="B403">
        <v>2015</v>
      </c>
      <c r="C403" t="s">
        <v>82</v>
      </c>
      <c r="D403">
        <v>1</v>
      </c>
      <c r="E403">
        <v>1</v>
      </c>
      <c r="F403">
        <f>SUMIF(Base_Itens!$E$5:$E$1504,A403,Base_Itens!$I$5:$I$1504)</f>
        <v>1</v>
      </c>
      <c r="G403">
        <f t="shared" si="18"/>
        <v>0</v>
      </c>
      <c r="H403">
        <f>COUNTIF(Base_Itens!$E$5:$E$1504,A403)</f>
        <v>1</v>
      </c>
      <c r="I403" t="str">
        <f t="shared" si="20"/>
        <v>OK</v>
      </c>
      <c r="J403" t="str">
        <f>Base_Itens!E380</f>
        <v>2015-Q7-4</v>
      </c>
      <c r="K403" t="str">
        <f>Base_Itens!G380</f>
        <v>09 — Expectativas, Novos Clássicos e Novos Keynesianos</v>
      </c>
      <c r="L403">
        <f>COUNTIFS(Base_Itens!$E$5:$E$1504,J403,Base_Itens!$G$5:$G$1504,K403)</f>
        <v>1</v>
      </c>
    </row>
    <row r="404" spans="1:12">
      <c r="A404" t="s">
        <v>2545</v>
      </c>
      <c r="B404">
        <v>2015</v>
      </c>
      <c r="C404" t="s">
        <v>82</v>
      </c>
      <c r="D404">
        <v>1</v>
      </c>
      <c r="E404">
        <v>1</v>
      </c>
      <c r="F404">
        <f>SUMIF(Base_Itens!$E$5:$E$1504,A404,Base_Itens!$I$5:$I$1504)</f>
        <v>1</v>
      </c>
      <c r="G404">
        <f t="shared" si="18"/>
        <v>0</v>
      </c>
      <c r="H404">
        <f>COUNTIF(Base_Itens!$E$5:$E$1504,A404)</f>
        <v>1</v>
      </c>
      <c r="I404" t="str">
        <f t="shared" si="20"/>
        <v>OK</v>
      </c>
      <c r="J404" t="str">
        <f>Base_Itens!E381</f>
        <v>2015-Q8-0</v>
      </c>
      <c r="K404" t="str">
        <f>Base_Itens!G381</f>
        <v>06 — IS-LM-BP</v>
      </c>
      <c r="L404">
        <f>COUNTIFS(Base_Itens!$E$5:$E$1504,J404,Base_Itens!$G$5:$G$1504,K404)</f>
        <v>1</v>
      </c>
    </row>
    <row r="405" spans="1:12">
      <c r="A405" t="s">
        <v>2546</v>
      </c>
      <c r="B405">
        <v>2015</v>
      </c>
      <c r="C405" t="s">
        <v>2153</v>
      </c>
      <c r="D405">
        <v>5</v>
      </c>
      <c r="E405">
        <v>1</v>
      </c>
      <c r="F405">
        <f>SUMIF(Base_Itens!$E$5:$E$1504,A405,Base_Itens!$I$5:$I$1504)</f>
        <v>5</v>
      </c>
      <c r="G405">
        <f t="shared" si="18"/>
        <v>0</v>
      </c>
      <c r="H405">
        <f>COUNTIF(Base_Itens!$E$5:$E$1504,A405)</f>
        <v>1</v>
      </c>
      <c r="I405" t="str">
        <f t="shared" si="20"/>
        <v>OK</v>
      </c>
      <c r="J405" t="str">
        <f>Base_Itens!E382</f>
        <v>2015-Q8-1</v>
      </c>
      <c r="K405" t="str">
        <f>Base_Itens!G382</f>
        <v>06 — IS-LM-BP</v>
      </c>
      <c r="L405">
        <f>COUNTIFS(Base_Itens!$E$5:$E$1504,J405,Base_Itens!$G$5:$G$1504,K405)</f>
        <v>1</v>
      </c>
    </row>
    <row r="406" spans="1:12">
      <c r="A406" t="s">
        <v>2547</v>
      </c>
      <c r="B406">
        <v>2015</v>
      </c>
      <c r="C406" t="s">
        <v>2153</v>
      </c>
      <c r="D406">
        <v>5</v>
      </c>
      <c r="E406">
        <v>1</v>
      </c>
      <c r="F406">
        <f>SUMIF(Base_Itens!$E$5:$E$1504,A406,Base_Itens!$I$5:$I$1504)</f>
        <v>5</v>
      </c>
      <c r="G406">
        <f t="shared" si="18"/>
        <v>0</v>
      </c>
      <c r="H406">
        <f>COUNTIF(Base_Itens!$E$5:$E$1504,A406)</f>
        <v>1</v>
      </c>
      <c r="I406" t="str">
        <f t="shared" si="20"/>
        <v>OK</v>
      </c>
      <c r="J406" t="str">
        <f>Base_Itens!E383</f>
        <v>2015-Q8-2</v>
      </c>
      <c r="K406" t="str">
        <f>Base_Itens!G383</f>
        <v>06 — IS-LM-BP</v>
      </c>
      <c r="L406">
        <f>COUNTIFS(Base_Itens!$E$5:$E$1504,J406,Base_Itens!$G$5:$G$1504,K406)</f>
        <v>1</v>
      </c>
    </row>
    <row r="407" spans="1:12">
      <c r="A407" t="s">
        <v>2548</v>
      </c>
      <c r="B407">
        <v>2015</v>
      </c>
      <c r="C407" t="s">
        <v>2153</v>
      </c>
      <c r="D407">
        <v>5</v>
      </c>
      <c r="E407">
        <v>1</v>
      </c>
      <c r="F407">
        <f>SUMIF(Base_Itens!$E$5:$E$1504,A407,Base_Itens!$I$5:$I$1504)</f>
        <v>5</v>
      </c>
      <c r="G407">
        <f t="shared" si="18"/>
        <v>0</v>
      </c>
      <c r="H407">
        <f>COUNTIF(Base_Itens!$E$5:$E$1504,A407)</f>
        <v>1</v>
      </c>
      <c r="I407" t="str">
        <f t="shared" si="20"/>
        <v>OK</v>
      </c>
      <c r="J407" t="str">
        <f>Base_Itens!E384</f>
        <v>2015-Q8-3</v>
      </c>
      <c r="K407" t="str">
        <f>Base_Itens!G384</f>
        <v>06 — IS-LM-BP</v>
      </c>
      <c r="L407">
        <f>COUNTIFS(Base_Itens!$E$5:$E$1504,J407,Base_Itens!$G$5:$G$1504,K407)</f>
        <v>1</v>
      </c>
    </row>
    <row r="408" spans="1:12">
      <c r="A408" t="s">
        <v>2549</v>
      </c>
      <c r="B408">
        <v>2015</v>
      </c>
      <c r="C408" t="s">
        <v>2153</v>
      </c>
      <c r="D408">
        <v>5</v>
      </c>
      <c r="E408">
        <v>1</v>
      </c>
      <c r="F408">
        <f>SUMIF(Base_Itens!$E$5:$E$1504,A408,Base_Itens!$I$5:$I$1504)</f>
        <v>5</v>
      </c>
      <c r="G408">
        <f t="shared" si="18"/>
        <v>0</v>
      </c>
      <c r="H408">
        <f>COUNTIF(Base_Itens!$E$5:$E$1504,A408)</f>
        <v>1</v>
      </c>
      <c r="I408" t="str">
        <f t="shared" si="20"/>
        <v>OK</v>
      </c>
      <c r="J408" t="str">
        <f>Base_Itens!E385</f>
        <v>2015-Q8-4</v>
      </c>
      <c r="K408" t="str">
        <f>Base_Itens!G385</f>
        <v>06 — IS-LM-BP</v>
      </c>
      <c r="L408">
        <f>COUNTIFS(Base_Itens!$E$5:$E$1504,J408,Base_Itens!$G$5:$G$1504,K408)</f>
        <v>1</v>
      </c>
    </row>
    <row r="409" spans="1:12">
      <c r="A409" t="s">
        <v>2550</v>
      </c>
      <c r="B409">
        <v>2015</v>
      </c>
      <c r="C409" t="s">
        <v>2153</v>
      </c>
      <c r="D409">
        <v>5</v>
      </c>
      <c r="E409">
        <v>1</v>
      </c>
      <c r="F409">
        <f>SUMIF(Base_Itens!$E$5:$E$1504,A409,Base_Itens!$I$5:$I$1504)</f>
        <v>5</v>
      </c>
      <c r="G409">
        <f t="shared" si="18"/>
        <v>0</v>
      </c>
      <c r="H409">
        <f>COUNTIF(Base_Itens!$E$5:$E$1504,A409)</f>
        <v>1</v>
      </c>
      <c r="I409" t="str">
        <f t="shared" si="20"/>
        <v>OK</v>
      </c>
      <c r="J409" t="str">
        <f>Base_Itens!E386</f>
        <v>2015-Q9-0</v>
      </c>
      <c r="K409" t="str">
        <f>Base_Itens!G386</f>
        <v>01 — Contas Nacionais</v>
      </c>
      <c r="L409">
        <f>COUNTIFS(Base_Itens!$E$5:$E$1504,J409,Base_Itens!$G$5:$G$1504,K409)</f>
        <v>1</v>
      </c>
    </row>
    <row r="410" spans="1:12">
      <c r="A410" t="s">
        <v>2551</v>
      </c>
      <c r="B410">
        <v>2016</v>
      </c>
      <c r="C410" t="s">
        <v>82</v>
      </c>
      <c r="D410">
        <v>1</v>
      </c>
      <c r="E410">
        <v>1</v>
      </c>
      <c r="F410">
        <f>SUMIF(Base_Itens!$E$5:$E$1504,A410,Base_Itens!$I$5:$I$1504)</f>
        <v>1</v>
      </c>
      <c r="G410">
        <f t="shared" si="18"/>
        <v>0</v>
      </c>
      <c r="H410">
        <f>COUNTIF(Base_Itens!$E$5:$E$1504,A410)</f>
        <v>1</v>
      </c>
      <c r="I410" t="str">
        <f t="shared" si="20"/>
        <v>OK</v>
      </c>
      <c r="J410" t="str">
        <f>Base_Itens!E387</f>
        <v>2015-Q9-1</v>
      </c>
      <c r="K410" t="str">
        <f>Base_Itens!G387</f>
        <v>01 — Contas Nacionais</v>
      </c>
      <c r="L410">
        <f>COUNTIFS(Base_Itens!$E$5:$E$1504,J410,Base_Itens!$G$5:$G$1504,K410)</f>
        <v>1</v>
      </c>
    </row>
    <row r="411" spans="1:12">
      <c r="A411" t="s">
        <v>2552</v>
      </c>
      <c r="B411">
        <v>2016</v>
      </c>
      <c r="C411" t="s">
        <v>82</v>
      </c>
      <c r="D411">
        <v>1</v>
      </c>
      <c r="E411">
        <v>1</v>
      </c>
      <c r="F411">
        <f>SUMIF(Base_Itens!$E$5:$E$1504,A411,Base_Itens!$I$5:$I$1504)</f>
        <v>1</v>
      </c>
      <c r="G411">
        <f t="shared" si="18"/>
        <v>0</v>
      </c>
      <c r="H411">
        <f>COUNTIF(Base_Itens!$E$5:$E$1504,A411)</f>
        <v>1</v>
      </c>
      <c r="I411" t="str">
        <f t="shared" si="20"/>
        <v>OK</v>
      </c>
      <c r="J411" t="str">
        <f>Base_Itens!E388</f>
        <v>2015-Q9-2</v>
      </c>
      <c r="K411" t="str">
        <f>Base_Itens!G388</f>
        <v>07a — Paridades</v>
      </c>
      <c r="L411">
        <f>COUNTIFS(Base_Itens!$E$5:$E$1504,J411,Base_Itens!$G$5:$G$1504,K411)</f>
        <v>1</v>
      </c>
    </row>
    <row r="412" spans="1:12">
      <c r="A412" t="s">
        <v>2553</v>
      </c>
      <c r="B412">
        <v>2016</v>
      </c>
      <c r="C412" t="s">
        <v>82</v>
      </c>
      <c r="D412">
        <v>1</v>
      </c>
      <c r="E412">
        <v>1</v>
      </c>
      <c r="F412">
        <f>SUMIF(Base_Itens!$E$5:$E$1504,A412,Base_Itens!$I$5:$I$1504)</f>
        <v>1</v>
      </c>
      <c r="G412">
        <f t="shared" ref="G412:G475" si="21">F412-D412</f>
        <v>0</v>
      </c>
      <c r="H412">
        <f>COUNTIF(Base_Itens!$E$5:$E$1504,A412)</f>
        <v>1</v>
      </c>
      <c r="I412" t="str">
        <f t="shared" si="20"/>
        <v>OK</v>
      </c>
      <c r="J412" t="str">
        <f>Base_Itens!E389</f>
        <v>2015-Q9-3</v>
      </c>
      <c r="K412" t="str">
        <f>Base_Itens!G389</f>
        <v>01 — Contas Nacionais</v>
      </c>
      <c r="L412">
        <f>COUNTIFS(Base_Itens!$E$5:$E$1504,J412,Base_Itens!$G$5:$G$1504,K412)</f>
        <v>1</v>
      </c>
    </row>
    <row r="413" spans="1:12">
      <c r="A413" t="s">
        <v>2554</v>
      </c>
      <c r="B413">
        <v>2016</v>
      </c>
      <c r="C413" t="s">
        <v>82</v>
      </c>
      <c r="D413">
        <v>1</v>
      </c>
      <c r="E413">
        <v>1</v>
      </c>
      <c r="F413">
        <f>SUMIF(Base_Itens!$E$5:$E$1504,A413,Base_Itens!$I$5:$I$1504)</f>
        <v>1</v>
      </c>
      <c r="G413">
        <f t="shared" si="21"/>
        <v>0</v>
      </c>
      <c r="H413">
        <f>COUNTIF(Base_Itens!$E$5:$E$1504,A413)</f>
        <v>1</v>
      </c>
      <c r="I413" t="str">
        <f t="shared" si="20"/>
        <v>OK</v>
      </c>
      <c r="J413" t="str">
        <f>Base_Itens!E390</f>
        <v>2015-Q9-4</v>
      </c>
      <c r="K413" t="str">
        <f>Base_Itens!G390</f>
        <v>01 — Contas Nacionais</v>
      </c>
      <c r="L413">
        <f>COUNTIFS(Base_Itens!$E$5:$E$1504,J413,Base_Itens!$G$5:$G$1504,K413)</f>
        <v>1</v>
      </c>
    </row>
    <row r="414" spans="1:12">
      <c r="A414" t="s">
        <v>2555</v>
      </c>
      <c r="B414">
        <v>2016</v>
      </c>
      <c r="C414" t="s">
        <v>82</v>
      </c>
      <c r="D414">
        <v>1</v>
      </c>
      <c r="E414">
        <v>1</v>
      </c>
      <c r="F414">
        <f>SUMIF(Base_Itens!$E$5:$E$1504,A414,Base_Itens!$I$5:$I$1504)</f>
        <v>1</v>
      </c>
      <c r="G414">
        <f t="shared" si="21"/>
        <v>0</v>
      </c>
      <c r="H414">
        <f>COUNTIF(Base_Itens!$E$5:$E$1504,A414)</f>
        <v>1</v>
      </c>
      <c r="I414" t="str">
        <f t="shared" si="20"/>
        <v>OK</v>
      </c>
      <c r="J414" t="str">
        <f>Base_Itens!E391</f>
        <v>2015-Q10-0</v>
      </c>
      <c r="K414" t="str">
        <f>Base_Itens!G391</f>
        <v>04 — Demanda por Moeda</v>
      </c>
      <c r="L414">
        <f>COUNTIFS(Base_Itens!$E$5:$E$1504,J414,Base_Itens!$G$5:$G$1504,K414)</f>
        <v>1</v>
      </c>
    </row>
    <row r="415" spans="1:12">
      <c r="A415" t="s">
        <v>2556</v>
      </c>
      <c r="B415">
        <v>2016</v>
      </c>
      <c r="C415" t="s">
        <v>82</v>
      </c>
      <c r="D415">
        <v>1</v>
      </c>
      <c r="E415">
        <v>1</v>
      </c>
      <c r="F415">
        <f>SUMIF(Base_Itens!$E$5:$E$1504,A415,Base_Itens!$I$5:$I$1504)</f>
        <v>1</v>
      </c>
      <c r="G415">
        <f t="shared" si="21"/>
        <v>0</v>
      </c>
      <c r="H415">
        <f>COUNTIF(Base_Itens!$E$5:$E$1504,A415)</f>
        <v>1</v>
      </c>
      <c r="I415" t="str">
        <f t="shared" si="20"/>
        <v>OK</v>
      </c>
      <c r="J415" t="str">
        <f>Base_Itens!E392</f>
        <v>2015-Q10-1</v>
      </c>
      <c r="K415" t="str">
        <f>Base_Itens!G392</f>
        <v>03 — Sistema Monetário</v>
      </c>
      <c r="L415">
        <f>COUNTIFS(Base_Itens!$E$5:$E$1504,J415,Base_Itens!$G$5:$G$1504,K415)</f>
        <v>1</v>
      </c>
    </row>
    <row r="416" spans="1:12">
      <c r="A416" t="s">
        <v>2557</v>
      </c>
      <c r="B416">
        <v>2016</v>
      </c>
      <c r="C416" t="s">
        <v>82</v>
      </c>
      <c r="D416">
        <v>1</v>
      </c>
      <c r="E416">
        <v>1</v>
      </c>
      <c r="F416">
        <f>SUMIF(Base_Itens!$E$5:$E$1504,A416,Base_Itens!$I$5:$I$1504)</f>
        <v>1</v>
      </c>
      <c r="G416">
        <f t="shared" si="21"/>
        <v>0</v>
      </c>
      <c r="H416">
        <f>COUNTIF(Base_Itens!$E$5:$E$1504,A416)</f>
        <v>1</v>
      </c>
      <c r="I416" t="str">
        <f t="shared" si="20"/>
        <v>OK</v>
      </c>
      <c r="J416" t="str">
        <f>Base_Itens!E393</f>
        <v>2015-Q10-2</v>
      </c>
      <c r="K416" t="str">
        <f>Base_Itens!G393</f>
        <v>04 — Demanda por Moeda</v>
      </c>
      <c r="L416">
        <f>COUNTIFS(Base_Itens!$E$5:$E$1504,J416,Base_Itens!$G$5:$G$1504,K416)</f>
        <v>1</v>
      </c>
    </row>
    <row r="417" spans="1:12">
      <c r="A417" t="s">
        <v>2558</v>
      </c>
      <c r="B417">
        <v>2016</v>
      </c>
      <c r="C417" t="s">
        <v>82</v>
      </c>
      <c r="D417">
        <v>1</v>
      </c>
      <c r="E417">
        <v>1</v>
      </c>
      <c r="F417">
        <f>SUMIF(Base_Itens!$E$5:$E$1504,A417,Base_Itens!$I$5:$I$1504)</f>
        <v>1</v>
      </c>
      <c r="G417">
        <f t="shared" si="21"/>
        <v>0</v>
      </c>
      <c r="H417">
        <f>COUNTIF(Base_Itens!$E$5:$E$1504,A417)</f>
        <v>1</v>
      </c>
      <c r="I417" t="str">
        <f t="shared" si="20"/>
        <v>OK</v>
      </c>
      <c r="J417" t="str">
        <f>Base_Itens!E394</f>
        <v>2015-Q10-3</v>
      </c>
      <c r="K417" t="str">
        <f>Base_Itens!G394</f>
        <v>02 — Balanço de Pagamentos</v>
      </c>
      <c r="L417">
        <f>COUNTIFS(Base_Itens!$E$5:$E$1504,J417,Base_Itens!$G$5:$G$1504,K417)</f>
        <v>1</v>
      </c>
    </row>
    <row r="418" spans="1:12">
      <c r="A418" t="s">
        <v>2559</v>
      </c>
      <c r="B418">
        <v>2016</v>
      </c>
      <c r="C418" t="s">
        <v>82</v>
      </c>
      <c r="D418">
        <v>1</v>
      </c>
      <c r="E418">
        <v>1</v>
      </c>
      <c r="F418">
        <f>SUMIF(Base_Itens!$E$5:$E$1504,A418,Base_Itens!$I$5:$I$1504)</f>
        <v>1</v>
      </c>
      <c r="G418">
        <f t="shared" si="21"/>
        <v>0</v>
      </c>
      <c r="H418">
        <f>COUNTIF(Base_Itens!$E$5:$E$1504,A418)</f>
        <v>1</v>
      </c>
      <c r="I418" t="str">
        <f t="shared" si="20"/>
        <v>OK</v>
      </c>
      <c r="J418" t="str">
        <f>Base_Itens!E395</f>
        <v>2015-Q10-4</v>
      </c>
      <c r="K418" t="str">
        <f>Base_Itens!G395</f>
        <v>01 — Contas Nacionais</v>
      </c>
      <c r="L418">
        <f>COUNTIFS(Base_Itens!$E$5:$E$1504,J418,Base_Itens!$G$5:$G$1504,K418)</f>
        <v>1</v>
      </c>
    </row>
    <row r="419" spans="1:12">
      <c r="A419" t="s">
        <v>2560</v>
      </c>
      <c r="B419">
        <v>2016</v>
      </c>
      <c r="C419" t="s">
        <v>82</v>
      </c>
      <c r="D419">
        <v>1</v>
      </c>
      <c r="E419">
        <v>1</v>
      </c>
      <c r="F419">
        <f>SUMIF(Base_Itens!$E$5:$E$1504,A419,Base_Itens!$I$5:$I$1504)</f>
        <v>1</v>
      </c>
      <c r="G419">
        <f t="shared" si="21"/>
        <v>0</v>
      </c>
      <c r="H419">
        <f>COUNTIF(Base_Itens!$E$5:$E$1504,A419)</f>
        <v>1</v>
      </c>
      <c r="I419" t="str">
        <f t="shared" si="20"/>
        <v>OK</v>
      </c>
      <c r="J419" t="str">
        <f>Base_Itens!E396</f>
        <v>2015-Q11-ABERTA</v>
      </c>
      <c r="K419" t="str">
        <f>Base_Itens!G396</f>
        <v>14 — Dívida Pública e Senhoriagem</v>
      </c>
      <c r="L419">
        <f>COUNTIFS(Base_Itens!$E$5:$E$1504,J419,Base_Itens!$G$5:$G$1504,K419)</f>
        <v>1</v>
      </c>
    </row>
    <row r="420" spans="1:12">
      <c r="A420" t="s">
        <v>2561</v>
      </c>
      <c r="B420">
        <v>2016</v>
      </c>
      <c r="C420" t="s">
        <v>82</v>
      </c>
      <c r="D420">
        <v>1</v>
      </c>
      <c r="E420">
        <v>1</v>
      </c>
      <c r="F420">
        <f>SUMIF(Base_Itens!$E$5:$E$1504,A420,Base_Itens!$I$5:$I$1504)</f>
        <v>1</v>
      </c>
      <c r="G420">
        <f t="shared" si="21"/>
        <v>0</v>
      </c>
      <c r="H420">
        <f>COUNTIF(Base_Itens!$E$5:$E$1504,A420)</f>
        <v>1</v>
      </c>
      <c r="I420" t="str">
        <f t="shared" si="20"/>
        <v>OK</v>
      </c>
      <c r="J420" t="str">
        <f>Base_Itens!E397</f>
        <v>2015-Q12-ABERTA</v>
      </c>
      <c r="K420" t="str">
        <f>Base_Itens!G397</f>
        <v>09 — Expectativas, Novos Clássicos e Novos Keynesianos</v>
      </c>
      <c r="L420">
        <f>COUNTIFS(Base_Itens!$E$5:$E$1504,J420,Base_Itens!$G$5:$G$1504,K420)</f>
        <v>1</v>
      </c>
    </row>
    <row r="421" spans="1:12">
      <c r="A421" t="s">
        <v>2562</v>
      </c>
      <c r="B421">
        <v>2016</v>
      </c>
      <c r="C421" t="s">
        <v>82</v>
      </c>
      <c r="D421">
        <v>1</v>
      </c>
      <c r="E421">
        <v>1</v>
      </c>
      <c r="F421">
        <f>SUMIF(Base_Itens!$E$5:$E$1504,A421,Base_Itens!$I$5:$I$1504)</f>
        <v>1</v>
      </c>
      <c r="G421">
        <f t="shared" si="21"/>
        <v>0</v>
      </c>
      <c r="H421">
        <f>COUNTIF(Base_Itens!$E$5:$E$1504,A421)</f>
        <v>1</v>
      </c>
      <c r="I421" t="str">
        <f t="shared" si="20"/>
        <v>OK</v>
      </c>
      <c r="J421" t="str">
        <f>Base_Itens!E398</f>
        <v>2015-Q13-ABERTA</v>
      </c>
      <c r="K421" t="str">
        <f>Base_Itens!G398</f>
        <v>08 — Curva de Phillips</v>
      </c>
      <c r="L421">
        <f>COUNTIFS(Base_Itens!$E$5:$E$1504,J421,Base_Itens!$G$5:$G$1504,K421)</f>
        <v>1</v>
      </c>
    </row>
    <row r="422" spans="1:12">
      <c r="A422" t="s">
        <v>2563</v>
      </c>
      <c r="B422">
        <v>2016</v>
      </c>
      <c r="C422" t="s">
        <v>82</v>
      </c>
      <c r="D422">
        <v>1</v>
      </c>
      <c r="E422">
        <v>1</v>
      </c>
      <c r="F422">
        <f>SUMIF(Base_Itens!$E$5:$E$1504,A422,Base_Itens!$I$5:$I$1504)</f>
        <v>1</v>
      </c>
      <c r="G422">
        <f t="shared" si="21"/>
        <v>0</v>
      </c>
      <c r="H422">
        <f>COUNTIF(Base_Itens!$E$5:$E$1504,A422)</f>
        <v>1</v>
      </c>
      <c r="I422" t="str">
        <f t="shared" si="20"/>
        <v>OK</v>
      </c>
      <c r="J422" t="str">
        <f>Base_Itens!E399</f>
        <v>2015-Q14-ABERTA</v>
      </c>
      <c r="K422" t="str">
        <f>Base_Itens!G399</f>
        <v>07a — Paridades</v>
      </c>
      <c r="L422">
        <f>COUNTIFS(Base_Itens!$E$5:$E$1504,J422,Base_Itens!$G$5:$G$1504,K422)</f>
        <v>1</v>
      </c>
    </row>
    <row r="423" spans="1:12">
      <c r="A423" t="s">
        <v>2564</v>
      </c>
      <c r="B423">
        <v>2016</v>
      </c>
      <c r="C423" t="s">
        <v>82</v>
      </c>
      <c r="D423">
        <v>1</v>
      </c>
      <c r="E423">
        <v>1</v>
      </c>
      <c r="F423">
        <f>SUMIF(Base_Itens!$E$5:$E$1504,A423,Base_Itens!$I$5:$I$1504)</f>
        <v>1</v>
      </c>
      <c r="G423">
        <f t="shared" si="21"/>
        <v>0</v>
      </c>
      <c r="H423">
        <f>COUNTIF(Base_Itens!$E$5:$E$1504,A423)</f>
        <v>1</v>
      </c>
      <c r="I423" t="str">
        <f t="shared" si="20"/>
        <v>OK</v>
      </c>
      <c r="J423" t="str">
        <f>Base_Itens!E100</f>
        <v>2011-Q7-2</v>
      </c>
      <c r="K423" t="str">
        <f>Base_Itens!G400</f>
        <v>11 — Crescimento Econômico</v>
      </c>
      <c r="L423">
        <f>COUNTIFS(Base_Itens!$E$5:$E$1504,J423,Base_Itens!$G$5:$G$1504,K423)</f>
        <v>0</v>
      </c>
    </row>
    <row r="424" spans="1:12">
      <c r="A424" t="s">
        <v>2565</v>
      </c>
      <c r="B424">
        <v>2016</v>
      </c>
      <c r="C424" t="s">
        <v>82</v>
      </c>
      <c r="D424">
        <v>1</v>
      </c>
      <c r="E424">
        <v>1</v>
      </c>
      <c r="F424">
        <f>SUMIF(Base_Itens!$E$5:$E$1504,A424,Base_Itens!$I$5:$I$1504)</f>
        <v>1</v>
      </c>
      <c r="G424">
        <f t="shared" si="21"/>
        <v>0</v>
      </c>
      <c r="H424">
        <f>COUNTIF(Base_Itens!$E$5:$E$1504,A424)</f>
        <v>1</v>
      </c>
      <c r="I424" t="str">
        <f t="shared" si="20"/>
        <v>OK</v>
      </c>
      <c r="J424" t="str">
        <f>Base_Itens!E101</f>
        <v>2011-Q7-3</v>
      </c>
      <c r="K424" t="str">
        <f>Base_Itens!G401</f>
        <v>02 — Balanço de Pagamentos</v>
      </c>
      <c r="L424">
        <f>COUNTIFS(Base_Itens!$E$5:$E$1504,J424,Base_Itens!$G$5:$G$1504,K424)</f>
        <v>0</v>
      </c>
    </row>
    <row r="425" spans="1:12">
      <c r="A425" t="s">
        <v>2566</v>
      </c>
      <c r="B425">
        <v>2016</v>
      </c>
      <c r="C425" t="s">
        <v>82</v>
      </c>
      <c r="D425">
        <v>1</v>
      </c>
      <c r="E425">
        <v>1</v>
      </c>
      <c r="F425">
        <f>SUMIF(Base_Itens!$E$5:$E$1504,A425,Base_Itens!$I$5:$I$1504)</f>
        <v>1</v>
      </c>
      <c r="G425">
        <f t="shared" si="21"/>
        <v>0</v>
      </c>
      <c r="H425">
        <f>COUNTIF(Base_Itens!$E$5:$E$1504,A425)</f>
        <v>1</v>
      </c>
      <c r="I425" t="str">
        <f t="shared" si="20"/>
        <v>OK</v>
      </c>
      <c r="J425" t="str">
        <f>Base_Itens!E102</f>
        <v>2011-Q7-4</v>
      </c>
      <c r="K425" t="str">
        <f>Base_Itens!G402</f>
        <v>02 — Balanço de Pagamentos</v>
      </c>
      <c r="L425">
        <f>COUNTIFS(Base_Itens!$E$5:$E$1504,J425,Base_Itens!$G$5:$G$1504,K425)</f>
        <v>0</v>
      </c>
    </row>
    <row r="426" spans="1:12">
      <c r="A426" t="s">
        <v>2567</v>
      </c>
      <c r="B426">
        <v>2016</v>
      </c>
      <c r="C426" t="s">
        <v>82</v>
      </c>
      <c r="D426">
        <v>1</v>
      </c>
      <c r="E426">
        <v>1</v>
      </c>
      <c r="F426">
        <f>SUMIF(Base_Itens!$E$5:$E$1504,A426,Base_Itens!$I$5:$I$1504)</f>
        <v>1</v>
      </c>
      <c r="G426">
        <f t="shared" si="21"/>
        <v>0</v>
      </c>
      <c r="H426">
        <f>COUNTIF(Base_Itens!$E$5:$E$1504,A426)</f>
        <v>1</v>
      </c>
      <c r="I426" t="str">
        <f t="shared" si="20"/>
        <v>OK</v>
      </c>
      <c r="J426" t="str">
        <f>Base_Itens!E103</f>
        <v>2011-Q8-0</v>
      </c>
      <c r="K426" t="str">
        <f>Base_Itens!G403</f>
        <v>02 — Balanço de Pagamentos</v>
      </c>
      <c r="L426">
        <f>COUNTIFS(Base_Itens!$E$5:$E$1504,J426,Base_Itens!$G$5:$G$1504,K426)</f>
        <v>0</v>
      </c>
    </row>
    <row r="427" spans="1:12">
      <c r="A427" t="s">
        <v>2568</v>
      </c>
      <c r="B427">
        <v>2016</v>
      </c>
      <c r="C427" t="s">
        <v>82</v>
      </c>
      <c r="D427">
        <v>1</v>
      </c>
      <c r="E427">
        <v>1</v>
      </c>
      <c r="F427">
        <f>SUMIF(Base_Itens!$E$5:$E$1504,A427,Base_Itens!$I$5:$I$1504)</f>
        <v>1</v>
      </c>
      <c r="G427">
        <f t="shared" si="21"/>
        <v>0</v>
      </c>
      <c r="H427">
        <f>COUNTIF(Base_Itens!$E$5:$E$1504,A427)</f>
        <v>1</v>
      </c>
      <c r="I427" t="str">
        <f t="shared" si="20"/>
        <v>OK</v>
      </c>
      <c r="J427" t="str">
        <f>Base_Itens!E104</f>
        <v>2011-Q8-1</v>
      </c>
      <c r="K427" t="str">
        <f>Base_Itens!G404</f>
        <v>02 — Balanço de Pagamentos</v>
      </c>
      <c r="L427">
        <f>COUNTIFS(Base_Itens!$E$5:$E$1504,J427,Base_Itens!$G$5:$G$1504,K427)</f>
        <v>0</v>
      </c>
    </row>
    <row r="428" spans="1:12">
      <c r="A428" t="s">
        <v>2569</v>
      </c>
      <c r="B428">
        <v>2016</v>
      </c>
      <c r="C428" t="s">
        <v>82</v>
      </c>
      <c r="D428">
        <v>1</v>
      </c>
      <c r="E428">
        <v>1</v>
      </c>
      <c r="F428">
        <f>SUMIF(Base_Itens!$E$5:$E$1504,A428,Base_Itens!$I$5:$I$1504)</f>
        <v>1</v>
      </c>
      <c r="G428">
        <f t="shared" si="21"/>
        <v>0</v>
      </c>
      <c r="H428">
        <f>COUNTIF(Base_Itens!$E$5:$E$1504,A428)</f>
        <v>1</v>
      </c>
      <c r="I428" t="str">
        <f t="shared" si="20"/>
        <v>OK</v>
      </c>
      <c r="J428" t="str">
        <f>Base_Itens!E105</f>
        <v>2011-Q8-2</v>
      </c>
      <c r="K428" t="str">
        <f>Base_Itens!G405</f>
        <v>02 — Balanço de Pagamentos</v>
      </c>
      <c r="L428">
        <f>COUNTIFS(Base_Itens!$E$5:$E$1504,J428,Base_Itens!$G$5:$G$1504,K428)</f>
        <v>0</v>
      </c>
    </row>
    <row r="429" spans="1:12">
      <c r="A429" t="s">
        <v>2570</v>
      </c>
      <c r="B429">
        <v>2016</v>
      </c>
      <c r="C429" t="s">
        <v>82</v>
      </c>
      <c r="D429">
        <v>1</v>
      </c>
      <c r="E429">
        <v>1</v>
      </c>
      <c r="F429">
        <f>SUMIF(Base_Itens!$E$5:$E$1504,A429,Base_Itens!$I$5:$I$1504)</f>
        <v>1</v>
      </c>
      <c r="G429">
        <f t="shared" si="21"/>
        <v>0</v>
      </c>
      <c r="H429">
        <f>COUNTIF(Base_Itens!$E$5:$E$1504,A429)</f>
        <v>1</v>
      </c>
      <c r="I429" t="str">
        <f t="shared" si="20"/>
        <v>OK</v>
      </c>
      <c r="J429" t="str">
        <f>Base_Itens!E106</f>
        <v>2011-Q8-3</v>
      </c>
      <c r="K429" t="str">
        <f>Base_Itens!G406</f>
        <v>03 — Sistema Monetário</v>
      </c>
      <c r="L429">
        <f>COUNTIFS(Base_Itens!$E$5:$E$1504,J429,Base_Itens!$G$5:$G$1504,K429)</f>
        <v>0</v>
      </c>
    </row>
    <row r="430" spans="1:12">
      <c r="A430" t="s">
        <v>2571</v>
      </c>
      <c r="B430">
        <v>2016</v>
      </c>
      <c r="C430" t="s">
        <v>82</v>
      </c>
      <c r="D430">
        <v>1</v>
      </c>
      <c r="E430">
        <v>1</v>
      </c>
      <c r="F430">
        <f>SUMIF(Base_Itens!$E$5:$E$1504,A430,Base_Itens!$I$5:$I$1504)</f>
        <v>1</v>
      </c>
      <c r="G430">
        <f t="shared" si="21"/>
        <v>0</v>
      </c>
      <c r="H430">
        <f>COUNTIF(Base_Itens!$E$5:$E$1504,A430)</f>
        <v>1</v>
      </c>
      <c r="I430" t="str">
        <f t="shared" si="20"/>
        <v>OK</v>
      </c>
      <c r="J430" t="str">
        <f>Base_Itens!E107</f>
        <v>2011-Q8-4</v>
      </c>
      <c r="K430" t="str">
        <f>Base_Itens!G407</f>
        <v>03 — Sistema Monetário</v>
      </c>
      <c r="L430">
        <f>COUNTIFS(Base_Itens!$E$5:$E$1504,J430,Base_Itens!$G$5:$G$1504,K430)</f>
        <v>0</v>
      </c>
    </row>
    <row r="431" spans="1:12">
      <c r="A431" t="s">
        <v>2572</v>
      </c>
      <c r="B431">
        <v>2016</v>
      </c>
      <c r="C431" t="s">
        <v>82</v>
      </c>
      <c r="D431">
        <v>1</v>
      </c>
      <c r="E431">
        <v>1</v>
      </c>
      <c r="F431">
        <f>SUMIF(Base_Itens!$E$5:$E$1504,A431,Base_Itens!$I$5:$I$1504)</f>
        <v>1</v>
      </c>
      <c r="G431">
        <f t="shared" si="21"/>
        <v>0</v>
      </c>
      <c r="H431">
        <f>COUNTIF(Base_Itens!$E$5:$E$1504,A431)</f>
        <v>1</v>
      </c>
      <c r="I431" t="str">
        <f t="shared" si="20"/>
        <v>OK</v>
      </c>
      <c r="J431" t="str">
        <f>Base_Itens!E108</f>
        <v>2011-Q9-0</v>
      </c>
      <c r="K431" t="str">
        <f>Base_Itens!G408</f>
        <v>03 — Sistema Monetário</v>
      </c>
      <c r="L431">
        <f>COUNTIFS(Base_Itens!$E$5:$E$1504,J431,Base_Itens!$G$5:$G$1504,K431)</f>
        <v>0</v>
      </c>
    </row>
    <row r="432" spans="1:12">
      <c r="A432" t="s">
        <v>2573</v>
      </c>
      <c r="B432">
        <v>2016</v>
      </c>
      <c r="C432" t="s">
        <v>82</v>
      </c>
      <c r="D432">
        <v>1</v>
      </c>
      <c r="E432">
        <v>1</v>
      </c>
      <c r="F432">
        <f>SUMIF(Base_Itens!$E$5:$E$1504,A432,Base_Itens!$I$5:$I$1504)</f>
        <v>1</v>
      </c>
      <c r="G432">
        <f t="shared" si="21"/>
        <v>0</v>
      </c>
      <c r="H432">
        <f>COUNTIF(Base_Itens!$E$5:$E$1504,A432)</f>
        <v>1</v>
      </c>
      <c r="I432" t="str">
        <f t="shared" ref="I432:I463" si="22">IF(AND(G432=0,H432=E132),"OK","REVER")</f>
        <v>OK</v>
      </c>
      <c r="J432" t="str">
        <f>Base_Itens!E109</f>
        <v>2011-Q9-1</v>
      </c>
      <c r="K432" t="str">
        <f>Base_Itens!G409</f>
        <v>03 — Sistema Monetário</v>
      </c>
      <c r="L432">
        <f>COUNTIFS(Base_Itens!$E$5:$E$1504,J432,Base_Itens!$G$5:$G$1504,K432)</f>
        <v>0</v>
      </c>
    </row>
    <row r="433" spans="1:12">
      <c r="A433" t="s">
        <v>2574</v>
      </c>
      <c r="B433">
        <v>2016</v>
      </c>
      <c r="C433" t="s">
        <v>82</v>
      </c>
      <c r="D433">
        <v>1</v>
      </c>
      <c r="E433">
        <v>1</v>
      </c>
      <c r="F433">
        <f>SUMIF(Base_Itens!$E$5:$E$1504,A433,Base_Itens!$I$5:$I$1504)</f>
        <v>1</v>
      </c>
      <c r="G433">
        <f t="shared" si="21"/>
        <v>0</v>
      </c>
      <c r="H433">
        <f>COUNTIF(Base_Itens!$E$5:$E$1504,A433)</f>
        <v>1</v>
      </c>
      <c r="I433" t="str">
        <f t="shared" si="22"/>
        <v>OK</v>
      </c>
      <c r="J433" t="str">
        <f>Base_Itens!E110</f>
        <v>2011-Q9-2</v>
      </c>
      <c r="K433" t="str">
        <f>Base_Itens!G410</f>
        <v>03 — Sistema Monetário</v>
      </c>
      <c r="L433">
        <f>COUNTIFS(Base_Itens!$E$5:$E$1504,J433,Base_Itens!$G$5:$G$1504,K433)</f>
        <v>0</v>
      </c>
    </row>
    <row r="434" spans="1:12">
      <c r="A434" t="s">
        <v>2575</v>
      </c>
      <c r="B434">
        <v>2016</v>
      </c>
      <c r="C434" t="s">
        <v>82</v>
      </c>
      <c r="D434">
        <v>1</v>
      </c>
      <c r="E434">
        <v>1</v>
      </c>
      <c r="F434">
        <f>SUMIF(Base_Itens!$E$5:$E$1504,A434,Base_Itens!$I$5:$I$1504)</f>
        <v>1</v>
      </c>
      <c r="G434">
        <f t="shared" si="21"/>
        <v>0</v>
      </c>
      <c r="H434">
        <f>COUNTIF(Base_Itens!$E$5:$E$1504,A434)</f>
        <v>1</v>
      </c>
      <c r="I434" t="str">
        <f t="shared" si="22"/>
        <v>OK</v>
      </c>
      <c r="J434" t="str">
        <f>Base_Itens!E111</f>
        <v>2011-Q9-3</v>
      </c>
      <c r="K434" t="str">
        <f>Base_Itens!G411</f>
        <v>07a — Paridades</v>
      </c>
      <c r="L434">
        <f>COUNTIFS(Base_Itens!$E$5:$E$1504,J434,Base_Itens!$G$5:$G$1504,K434)</f>
        <v>0</v>
      </c>
    </row>
    <row r="435" spans="1:12">
      <c r="A435" t="s">
        <v>2576</v>
      </c>
      <c r="B435">
        <v>2016</v>
      </c>
      <c r="C435" t="s">
        <v>82</v>
      </c>
      <c r="D435">
        <v>1</v>
      </c>
      <c r="E435">
        <v>1</v>
      </c>
      <c r="F435">
        <f>SUMIF(Base_Itens!$E$5:$E$1504,A435,Base_Itens!$I$5:$I$1504)</f>
        <v>1</v>
      </c>
      <c r="G435">
        <f t="shared" si="21"/>
        <v>0</v>
      </c>
      <c r="H435">
        <f>COUNTIF(Base_Itens!$E$5:$E$1504,A435)</f>
        <v>1</v>
      </c>
      <c r="I435" t="str">
        <f t="shared" si="22"/>
        <v>OK</v>
      </c>
      <c r="J435" t="str">
        <f>Base_Itens!E112</f>
        <v>2011-Q9-4</v>
      </c>
      <c r="K435" t="str">
        <f>Base_Itens!G412</f>
        <v>01 — Contas Nacionais</v>
      </c>
      <c r="L435">
        <f>COUNTIFS(Base_Itens!$E$5:$E$1504,J435,Base_Itens!$G$5:$G$1504,K435)</f>
        <v>0</v>
      </c>
    </row>
    <row r="436" spans="1:12">
      <c r="A436" t="s">
        <v>2577</v>
      </c>
      <c r="B436">
        <v>2016</v>
      </c>
      <c r="C436" t="s">
        <v>82</v>
      </c>
      <c r="D436">
        <v>1</v>
      </c>
      <c r="E436">
        <v>1</v>
      </c>
      <c r="F436">
        <f>SUMIF(Base_Itens!$E$5:$E$1504,A436,Base_Itens!$I$5:$I$1504)</f>
        <v>1</v>
      </c>
      <c r="G436">
        <f t="shared" si="21"/>
        <v>0</v>
      </c>
      <c r="H436">
        <f>COUNTIF(Base_Itens!$E$5:$E$1504,A436)</f>
        <v>1</v>
      </c>
      <c r="I436" t="str">
        <f t="shared" si="22"/>
        <v>OK</v>
      </c>
      <c r="J436" t="str">
        <f>Base_Itens!E113</f>
        <v>2011-Q10-0</v>
      </c>
      <c r="K436" t="str">
        <f>Base_Itens!G413</f>
        <v>06 — IS-LM-BP</v>
      </c>
      <c r="L436">
        <f>COUNTIFS(Base_Itens!$E$5:$E$1504,J436,Base_Itens!$G$5:$G$1504,K436)</f>
        <v>0</v>
      </c>
    </row>
    <row r="437" spans="1:12">
      <c r="A437" t="s">
        <v>2578</v>
      </c>
      <c r="B437">
        <v>2016</v>
      </c>
      <c r="C437" t="s">
        <v>82</v>
      </c>
      <c r="D437">
        <v>1</v>
      </c>
      <c r="E437">
        <v>1</v>
      </c>
      <c r="F437">
        <f>SUMIF(Base_Itens!$E$5:$E$1504,A437,Base_Itens!$I$5:$I$1504)</f>
        <v>1</v>
      </c>
      <c r="G437">
        <f t="shared" si="21"/>
        <v>0</v>
      </c>
      <c r="H437">
        <f>COUNTIF(Base_Itens!$E$5:$E$1504,A437)</f>
        <v>1</v>
      </c>
      <c r="I437" t="str">
        <f t="shared" si="22"/>
        <v>OK</v>
      </c>
      <c r="J437" t="str">
        <f>Base_Itens!E114</f>
        <v>2011-Q10-1</v>
      </c>
      <c r="K437" t="str">
        <f>Base_Itens!G414</f>
        <v>01 — Contas Nacionais</v>
      </c>
      <c r="L437">
        <f>COUNTIFS(Base_Itens!$E$5:$E$1504,J437,Base_Itens!$G$5:$G$1504,K437)</f>
        <v>0</v>
      </c>
    </row>
    <row r="438" spans="1:12">
      <c r="A438" t="s">
        <v>2579</v>
      </c>
      <c r="B438">
        <v>2016</v>
      </c>
      <c r="C438" t="s">
        <v>82</v>
      </c>
      <c r="D438">
        <v>1</v>
      </c>
      <c r="E438">
        <v>1</v>
      </c>
      <c r="F438">
        <f>SUMIF(Base_Itens!$E$5:$E$1504,A438,Base_Itens!$I$5:$I$1504)</f>
        <v>1</v>
      </c>
      <c r="G438">
        <f t="shared" si="21"/>
        <v>0</v>
      </c>
      <c r="H438">
        <f>COUNTIF(Base_Itens!$E$5:$E$1504,A438)</f>
        <v>1</v>
      </c>
      <c r="I438" t="str">
        <f t="shared" si="22"/>
        <v>OK</v>
      </c>
      <c r="J438" t="str">
        <f>Base_Itens!E115</f>
        <v>2011-Q10-2</v>
      </c>
      <c r="K438" t="str">
        <f>Base_Itens!G415</f>
        <v>05 — IS-LM</v>
      </c>
      <c r="L438">
        <f>COUNTIFS(Base_Itens!$E$5:$E$1504,J438,Base_Itens!$G$5:$G$1504,K438)</f>
        <v>0</v>
      </c>
    </row>
    <row r="439" spans="1:12">
      <c r="A439" t="s">
        <v>2580</v>
      </c>
      <c r="B439">
        <v>2016</v>
      </c>
      <c r="C439" t="s">
        <v>82</v>
      </c>
      <c r="D439">
        <v>1</v>
      </c>
      <c r="E439">
        <v>1</v>
      </c>
      <c r="F439">
        <f>SUMIF(Base_Itens!$E$5:$E$1504,A439,Base_Itens!$I$5:$I$1504)</f>
        <v>1</v>
      </c>
      <c r="G439">
        <f t="shared" si="21"/>
        <v>0</v>
      </c>
      <c r="H439">
        <f>COUNTIF(Base_Itens!$E$5:$E$1504,A439)</f>
        <v>1</v>
      </c>
      <c r="I439" t="str">
        <f t="shared" si="22"/>
        <v>OK</v>
      </c>
      <c r="J439" t="str">
        <f>Base_Itens!E116</f>
        <v>2011-Q10-3</v>
      </c>
      <c r="K439" t="str">
        <f>Base_Itens!G416</f>
        <v>09 — Expectativas, Novos Clássicos e Novos Keynesianos</v>
      </c>
      <c r="L439">
        <f>COUNTIFS(Base_Itens!$E$5:$E$1504,J439,Base_Itens!$G$5:$G$1504,K439)</f>
        <v>1</v>
      </c>
    </row>
    <row r="440" spans="1:12">
      <c r="A440" t="s">
        <v>2581</v>
      </c>
      <c r="B440">
        <v>2016</v>
      </c>
      <c r="C440" t="s">
        <v>82</v>
      </c>
      <c r="D440">
        <v>1</v>
      </c>
      <c r="E440">
        <v>1</v>
      </c>
      <c r="F440">
        <f>SUMIF(Base_Itens!$E$5:$E$1504,A440,Base_Itens!$I$5:$I$1504)</f>
        <v>1</v>
      </c>
      <c r="G440">
        <f t="shared" si="21"/>
        <v>0</v>
      </c>
      <c r="H440">
        <f>COUNTIF(Base_Itens!$E$5:$E$1504,A440)</f>
        <v>1</v>
      </c>
      <c r="I440" t="str">
        <f t="shared" si="22"/>
        <v>OK</v>
      </c>
      <c r="J440" t="str">
        <f>Base_Itens!E117</f>
        <v>2011-Q10-4</v>
      </c>
      <c r="K440" t="str">
        <f>Base_Itens!G417</f>
        <v>09 — Expectativas, Novos Clássicos e Novos Keynesianos</v>
      </c>
      <c r="L440">
        <f>COUNTIFS(Base_Itens!$E$5:$E$1504,J440,Base_Itens!$G$5:$G$1504,K440)</f>
        <v>0</v>
      </c>
    </row>
    <row r="441" spans="1:12">
      <c r="A441" t="s">
        <v>2582</v>
      </c>
      <c r="B441">
        <v>2016</v>
      </c>
      <c r="C441" t="s">
        <v>82</v>
      </c>
      <c r="D441">
        <v>1</v>
      </c>
      <c r="E441">
        <v>1</v>
      </c>
      <c r="F441">
        <f>SUMIF(Base_Itens!$E$5:$E$1504,A441,Base_Itens!$I$5:$I$1504)</f>
        <v>1</v>
      </c>
      <c r="G441">
        <f t="shared" si="21"/>
        <v>0</v>
      </c>
      <c r="H441">
        <f>COUNTIF(Base_Itens!$E$5:$E$1504,A441)</f>
        <v>1</v>
      </c>
      <c r="I441" t="str">
        <f t="shared" si="22"/>
        <v>OK</v>
      </c>
      <c r="J441" t="str">
        <f>Base_Itens!E118</f>
        <v>2011-Q11-0</v>
      </c>
      <c r="K441" t="str">
        <f>Base_Itens!G418</f>
        <v>08 — Curva de Phillips</v>
      </c>
      <c r="L441">
        <f>COUNTIFS(Base_Itens!$E$5:$E$1504,J441,Base_Itens!$G$5:$G$1504,K441)</f>
        <v>1</v>
      </c>
    </row>
    <row r="442" spans="1:12">
      <c r="A442" t="s">
        <v>2583</v>
      </c>
      <c r="B442">
        <v>2016</v>
      </c>
      <c r="C442" t="s">
        <v>82</v>
      </c>
      <c r="D442">
        <v>1</v>
      </c>
      <c r="E442">
        <v>1</v>
      </c>
      <c r="F442">
        <f>SUMIF(Base_Itens!$E$5:$E$1504,A442,Base_Itens!$I$5:$I$1504)</f>
        <v>1</v>
      </c>
      <c r="G442">
        <f t="shared" si="21"/>
        <v>0</v>
      </c>
      <c r="H442">
        <f>COUNTIF(Base_Itens!$E$5:$E$1504,A442)</f>
        <v>1</v>
      </c>
      <c r="I442" t="str">
        <f t="shared" si="22"/>
        <v>OK</v>
      </c>
      <c r="J442" t="str">
        <f>Base_Itens!E119</f>
        <v>2011-Q11-1</v>
      </c>
      <c r="K442" t="str">
        <f>Base_Itens!G419</f>
        <v>09 — Expectativas, Novos Clássicos e Novos Keynesianos</v>
      </c>
      <c r="L442">
        <f>COUNTIFS(Base_Itens!$E$5:$E$1504,J442,Base_Itens!$G$5:$G$1504,K442)</f>
        <v>0</v>
      </c>
    </row>
    <row r="443" spans="1:12">
      <c r="A443" t="s">
        <v>2584</v>
      </c>
      <c r="B443">
        <v>2016</v>
      </c>
      <c r="C443" t="s">
        <v>82</v>
      </c>
      <c r="D443">
        <v>1</v>
      </c>
      <c r="E443">
        <v>1</v>
      </c>
      <c r="F443">
        <f>SUMIF(Base_Itens!$E$5:$E$1504,A443,Base_Itens!$I$5:$I$1504)</f>
        <v>1</v>
      </c>
      <c r="G443">
        <f t="shared" si="21"/>
        <v>0</v>
      </c>
      <c r="H443">
        <f>COUNTIF(Base_Itens!$E$5:$E$1504,A443)</f>
        <v>1</v>
      </c>
      <c r="I443" t="str">
        <f t="shared" si="22"/>
        <v>OK</v>
      </c>
      <c r="J443" t="str">
        <f>Base_Itens!E120</f>
        <v>2011-Q11-2</v>
      </c>
      <c r="K443" t="str">
        <f>Base_Itens!G420</f>
        <v>10 — Ciclos Reais de Negócios (RBC)</v>
      </c>
      <c r="L443">
        <f>COUNTIFS(Base_Itens!$E$5:$E$1504,J443,Base_Itens!$G$5:$G$1504,K443)</f>
        <v>0</v>
      </c>
    </row>
    <row r="444" spans="1:12">
      <c r="A444" t="s">
        <v>2585</v>
      </c>
      <c r="B444">
        <v>2016</v>
      </c>
      <c r="C444" t="s">
        <v>82</v>
      </c>
      <c r="D444">
        <v>1</v>
      </c>
      <c r="E444">
        <v>1</v>
      </c>
      <c r="F444">
        <f>SUMIF(Base_Itens!$E$5:$E$1504,A444,Base_Itens!$I$5:$I$1504)</f>
        <v>1</v>
      </c>
      <c r="G444">
        <f t="shared" si="21"/>
        <v>0</v>
      </c>
      <c r="H444">
        <f>COUNTIF(Base_Itens!$E$5:$E$1504,A444)</f>
        <v>1</v>
      </c>
      <c r="I444" t="str">
        <f t="shared" si="22"/>
        <v>OK</v>
      </c>
      <c r="J444" t="str">
        <f>Base_Itens!E121</f>
        <v>2011-Q11-3</v>
      </c>
      <c r="K444" t="str">
        <f>Base_Itens!G421</f>
        <v>11 — Crescimento Econômico</v>
      </c>
      <c r="L444">
        <f>COUNTIFS(Base_Itens!$E$5:$E$1504,J444,Base_Itens!$G$5:$G$1504,K444)</f>
        <v>0</v>
      </c>
    </row>
    <row r="445" spans="1:12">
      <c r="A445" t="s">
        <v>2586</v>
      </c>
      <c r="B445">
        <v>2016</v>
      </c>
      <c r="C445" t="s">
        <v>82</v>
      </c>
      <c r="D445">
        <v>1</v>
      </c>
      <c r="E445">
        <v>1</v>
      </c>
      <c r="F445">
        <f>SUMIF(Base_Itens!$E$5:$E$1504,A445,Base_Itens!$I$5:$I$1504)</f>
        <v>1</v>
      </c>
      <c r="G445">
        <f t="shared" si="21"/>
        <v>0</v>
      </c>
      <c r="H445">
        <f>COUNTIF(Base_Itens!$E$5:$E$1504,A445)</f>
        <v>1</v>
      </c>
      <c r="I445" t="str">
        <f t="shared" si="22"/>
        <v>OK</v>
      </c>
      <c r="J445" t="str">
        <f>Base_Itens!E122</f>
        <v>2011-Q11-4</v>
      </c>
      <c r="K445" t="str">
        <f>Base_Itens!G422</f>
        <v>11 — Crescimento Econômico</v>
      </c>
      <c r="L445">
        <f>COUNTIFS(Base_Itens!$E$5:$E$1504,J445,Base_Itens!$G$5:$G$1504,K445)</f>
        <v>0</v>
      </c>
    </row>
    <row r="446" spans="1:12">
      <c r="A446" t="s">
        <v>2587</v>
      </c>
      <c r="B446">
        <v>2016</v>
      </c>
      <c r="C446" t="s">
        <v>82</v>
      </c>
      <c r="D446">
        <v>1</v>
      </c>
      <c r="E446">
        <v>1</v>
      </c>
      <c r="F446">
        <f>SUMIF(Base_Itens!$E$5:$E$1504,A446,Base_Itens!$I$5:$I$1504)</f>
        <v>1</v>
      </c>
      <c r="G446">
        <f t="shared" si="21"/>
        <v>0</v>
      </c>
      <c r="H446">
        <f>COUNTIF(Base_Itens!$E$5:$E$1504,A446)</f>
        <v>1</v>
      </c>
      <c r="I446" t="str">
        <f t="shared" si="22"/>
        <v>OK</v>
      </c>
      <c r="J446" t="str">
        <f>Base_Itens!E123</f>
        <v>2011-Q12-0</v>
      </c>
      <c r="K446" t="str">
        <f>Base_Itens!G423</f>
        <v>11 — Crescimento Econômico</v>
      </c>
      <c r="L446">
        <f>COUNTIFS(Base_Itens!$E$5:$E$1504,J446,Base_Itens!$G$5:$G$1504,K446)</f>
        <v>1</v>
      </c>
    </row>
    <row r="447" spans="1:12">
      <c r="A447" t="s">
        <v>2588</v>
      </c>
      <c r="B447">
        <v>2016</v>
      </c>
      <c r="C447" t="s">
        <v>82</v>
      </c>
      <c r="D447">
        <v>1</v>
      </c>
      <c r="E447">
        <v>1</v>
      </c>
      <c r="F447">
        <f>SUMIF(Base_Itens!$E$5:$E$1504,A447,Base_Itens!$I$5:$I$1504)</f>
        <v>1</v>
      </c>
      <c r="G447">
        <f t="shared" si="21"/>
        <v>0</v>
      </c>
      <c r="H447">
        <f>COUNTIF(Base_Itens!$E$5:$E$1504,A447)</f>
        <v>1</v>
      </c>
      <c r="I447" t="str">
        <f t="shared" si="22"/>
        <v>OK</v>
      </c>
      <c r="J447" t="str">
        <f>Base_Itens!E124</f>
        <v>2011-Q12-1</v>
      </c>
      <c r="K447" t="str">
        <f>Base_Itens!G424</f>
        <v>11 — Crescimento Econômico</v>
      </c>
      <c r="L447">
        <f>COUNTIFS(Base_Itens!$E$5:$E$1504,J447,Base_Itens!$G$5:$G$1504,K447)</f>
        <v>1</v>
      </c>
    </row>
    <row r="448" spans="1:12">
      <c r="A448" t="s">
        <v>2589</v>
      </c>
      <c r="B448">
        <v>2016</v>
      </c>
      <c r="C448" t="s">
        <v>82</v>
      </c>
      <c r="D448">
        <v>1</v>
      </c>
      <c r="E448">
        <v>1</v>
      </c>
      <c r="F448">
        <f>SUMIF(Base_Itens!$E$5:$E$1504,A448,Base_Itens!$I$5:$I$1504)</f>
        <v>1</v>
      </c>
      <c r="G448">
        <f t="shared" si="21"/>
        <v>0</v>
      </c>
      <c r="H448">
        <f>COUNTIF(Base_Itens!$E$5:$E$1504,A448)</f>
        <v>1</v>
      </c>
      <c r="I448" t="str">
        <f t="shared" si="22"/>
        <v>OK</v>
      </c>
      <c r="J448" t="str">
        <f>Base_Itens!E125</f>
        <v>2011-Q12-2</v>
      </c>
      <c r="K448" t="str">
        <f>Base_Itens!G425</f>
        <v>11 — Crescimento Econômico</v>
      </c>
      <c r="L448">
        <f>COUNTIFS(Base_Itens!$E$5:$E$1504,J448,Base_Itens!$G$5:$G$1504,K448)</f>
        <v>1</v>
      </c>
    </row>
    <row r="449" spans="1:12">
      <c r="A449" t="s">
        <v>2590</v>
      </c>
      <c r="B449">
        <v>2016</v>
      </c>
      <c r="C449" t="s">
        <v>82</v>
      </c>
      <c r="D449">
        <v>1</v>
      </c>
      <c r="E449">
        <v>1</v>
      </c>
      <c r="F449">
        <f>SUMIF(Base_Itens!$E$5:$E$1504,A449,Base_Itens!$I$5:$I$1504)</f>
        <v>1</v>
      </c>
      <c r="G449">
        <f t="shared" si="21"/>
        <v>0</v>
      </c>
      <c r="H449">
        <f>COUNTIF(Base_Itens!$E$5:$E$1504,A449)</f>
        <v>1</v>
      </c>
      <c r="I449" t="str">
        <f t="shared" si="22"/>
        <v>OK</v>
      </c>
      <c r="J449" t="str">
        <f>Base_Itens!E126</f>
        <v>2011-Q12-3</v>
      </c>
      <c r="K449" t="str">
        <f>Base_Itens!G426</f>
        <v>12 — Consumo</v>
      </c>
      <c r="L449">
        <f>COUNTIFS(Base_Itens!$E$5:$E$1504,J449,Base_Itens!$G$5:$G$1504,K449)</f>
        <v>0</v>
      </c>
    </row>
    <row r="450" spans="1:12">
      <c r="A450" t="s">
        <v>2591</v>
      </c>
      <c r="B450">
        <v>2016</v>
      </c>
      <c r="C450" t="s">
        <v>82</v>
      </c>
      <c r="D450">
        <v>1</v>
      </c>
      <c r="E450">
        <v>1</v>
      </c>
      <c r="F450">
        <f>SUMIF(Base_Itens!$E$5:$E$1504,A450,Base_Itens!$I$5:$I$1504)</f>
        <v>1</v>
      </c>
      <c r="G450">
        <f t="shared" si="21"/>
        <v>0</v>
      </c>
      <c r="H450">
        <f>COUNTIF(Base_Itens!$E$5:$E$1504,A450)</f>
        <v>1</v>
      </c>
      <c r="I450" t="str">
        <f t="shared" si="22"/>
        <v>OK</v>
      </c>
      <c r="J450" t="str">
        <f>Base_Itens!E127</f>
        <v>2011-Q12-4</v>
      </c>
      <c r="K450" t="str">
        <f>Base_Itens!G427</f>
        <v>12 — Consumo</v>
      </c>
      <c r="L450">
        <f>COUNTIFS(Base_Itens!$E$5:$E$1504,J450,Base_Itens!$G$5:$G$1504,K450)</f>
        <v>0</v>
      </c>
    </row>
    <row r="451" spans="1:12">
      <c r="A451" t="s">
        <v>2592</v>
      </c>
      <c r="B451">
        <v>2016</v>
      </c>
      <c r="C451" t="s">
        <v>82</v>
      </c>
      <c r="D451">
        <v>1</v>
      </c>
      <c r="E451">
        <v>1</v>
      </c>
      <c r="F451">
        <f>SUMIF(Base_Itens!$E$5:$E$1504,A451,Base_Itens!$I$5:$I$1504)</f>
        <v>1</v>
      </c>
      <c r="G451">
        <f t="shared" si="21"/>
        <v>0</v>
      </c>
      <c r="H451">
        <f>COUNTIF(Base_Itens!$E$5:$E$1504,A451)</f>
        <v>1</v>
      </c>
      <c r="I451" t="str">
        <f t="shared" si="22"/>
        <v>OK</v>
      </c>
      <c r="J451" t="str">
        <f>Base_Itens!E128</f>
        <v>2011-Q13-0</v>
      </c>
      <c r="K451" t="str">
        <f>Base_Itens!G428</f>
        <v>12 — Consumo</v>
      </c>
      <c r="L451">
        <f>COUNTIFS(Base_Itens!$E$5:$E$1504,J451,Base_Itens!$G$5:$G$1504,K451)</f>
        <v>0</v>
      </c>
    </row>
    <row r="452" spans="1:12">
      <c r="A452" t="s">
        <v>2593</v>
      </c>
      <c r="B452">
        <v>2016</v>
      </c>
      <c r="C452" t="s">
        <v>82</v>
      </c>
      <c r="D452">
        <v>1</v>
      </c>
      <c r="E452">
        <v>1</v>
      </c>
      <c r="F452">
        <f>SUMIF(Base_Itens!$E$5:$E$1504,A452,Base_Itens!$I$5:$I$1504)</f>
        <v>1</v>
      </c>
      <c r="G452">
        <f t="shared" si="21"/>
        <v>0</v>
      </c>
      <c r="H452">
        <f>COUNTIF(Base_Itens!$E$5:$E$1504,A452)</f>
        <v>1</v>
      </c>
      <c r="I452" t="str">
        <f t="shared" si="22"/>
        <v>OK</v>
      </c>
      <c r="J452" t="str">
        <f>Base_Itens!E129</f>
        <v>2011-Q13-1</v>
      </c>
      <c r="K452" t="str">
        <f>Base_Itens!G429</f>
        <v>05 — IS-LM</v>
      </c>
      <c r="L452">
        <f>COUNTIFS(Base_Itens!$E$5:$E$1504,J452,Base_Itens!$G$5:$G$1504,K452)</f>
        <v>0</v>
      </c>
    </row>
    <row r="453" spans="1:12">
      <c r="A453" t="s">
        <v>2594</v>
      </c>
      <c r="B453">
        <v>2016</v>
      </c>
      <c r="C453" t="s">
        <v>82</v>
      </c>
      <c r="D453">
        <v>1</v>
      </c>
      <c r="E453">
        <v>1</v>
      </c>
      <c r="F453">
        <f>SUMIF(Base_Itens!$E$5:$E$1504,A453,Base_Itens!$I$5:$I$1504)</f>
        <v>1</v>
      </c>
      <c r="G453">
        <f t="shared" si="21"/>
        <v>0</v>
      </c>
      <c r="H453">
        <f>COUNTIF(Base_Itens!$E$5:$E$1504,A453)</f>
        <v>1</v>
      </c>
      <c r="I453" t="str">
        <f t="shared" si="22"/>
        <v>OK</v>
      </c>
      <c r="J453" t="str">
        <f>Base_Itens!E130</f>
        <v>2011-Q13-2</v>
      </c>
      <c r="K453" t="str">
        <f>Base_Itens!G430</f>
        <v>12 — Consumo</v>
      </c>
      <c r="L453">
        <f>COUNTIFS(Base_Itens!$E$5:$E$1504,J453,Base_Itens!$G$5:$G$1504,K453)</f>
        <v>0</v>
      </c>
    </row>
    <row r="454" spans="1:12">
      <c r="A454" t="s">
        <v>2595</v>
      </c>
      <c r="B454">
        <v>2016</v>
      </c>
      <c r="C454" t="s">
        <v>82</v>
      </c>
      <c r="D454">
        <v>1</v>
      </c>
      <c r="E454">
        <v>1</v>
      </c>
      <c r="F454">
        <f>SUMIF(Base_Itens!$E$5:$E$1504,A454,Base_Itens!$I$5:$I$1504)</f>
        <v>1</v>
      </c>
      <c r="G454">
        <f t="shared" si="21"/>
        <v>0</v>
      </c>
      <c r="H454">
        <f>COUNTIF(Base_Itens!$E$5:$E$1504,A454)</f>
        <v>1</v>
      </c>
      <c r="I454" t="str">
        <f t="shared" si="22"/>
        <v>OK</v>
      </c>
      <c r="J454" t="str">
        <f>Base_Itens!E131</f>
        <v>2011-Q13-3</v>
      </c>
      <c r="K454" t="str">
        <f>Base_Itens!G431</f>
        <v>06 — IS-LM-BP</v>
      </c>
      <c r="L454">
        <f>COUNTIFS(Base_Itens!$E$5:$E$1504,J454,Base_Itens!$G$5:$G$1504,K454)</f>
        <v>0</v>
      </c>
    </row>
    <row r="455" spans="1:12">
      <c r="A455" t="s">
        <v>2596</v>
      </c>
      <c r="B455">
        <v>2016</v>
      </c>
      <c r="C455" t="s">
        <v>82</v>
      </c>
      <c r="D455">
        <v>1</v>
      </c>
      <c r="E455">
        <v>1</v>
      </c>
      <c r="F455">
        <f>SUMIF(Base_Itens!$E$5:$E$1504,A455,Base_Itens!$I$5:$I$1504)</f>
        <v>1</v>
      </c>
      <c r="G455">
        <f t="shared" si="21"/>
        <v>0</v>
      </c>
      <c r="H455">
        <f>COUNTIF(Base_Itens!$E$5:$E$1504,A455)</f>
        <v>1</v>
      </c>
      <c r="I455" t="str">
        <f t="shared" si="22"/>
        <v>OK</v>
      </c>
      <c r="J455" t="str">
        <f>Base_Itens!E132</f>
        <v>2011-Q13-4</v>
      </c>
      <c r="K455" t="str">
        <f>Base_Itens!G432</f>
        <v>07a — Paridades</v>
      </c>
      <c r="L455">
        <f>COUNTIFS(Base_Itens!$E$5:$E$1504,J455,Base_Itens!$G$5:$G$1504,K455)</f>
        <v>0</v>
      </c>
    </row>
    <row r="456" spans="1:12">
      <c r="A456" t="s">
        <v>2597</v>
      </c>
      <c r="B456">
        <v>2016</v>
      </c>
      <c r="C456" t="s">
        <v>82</v>
      </c>
      <c r="D456">
        <v>1</v>
      </c>
      <c r="E456">
        <v>1</v>
      </c>
      <c r="F456">
        <f>SUMIF(Base_Itens!$E$5:$E$1504,A456,Base_Itens!$I$5:$I$1504)</f>
        <v>1</v>
      </c>
      <c r="G456">
        <f t="shared" si="21"/>
        <v>0</v>
      </c>
      <c r="H456">
        <f>COUNTIF(Base_Itens!$E$5:$E$1504,A456)</f>
        <v>1</v>
      </c>
      <c r="I456" t="str">
        <f t="shared" si="22"/>
        <v>OK</v>
      </c>
      <c r="J456" t="str">
        <f>Base_Itens!E133</f>
        <v>2011-Q14-ABERTA</v>
      </c>
      <c r="K456" t="str">
        <f>Base_Itens!G433</f>
        <v>07a — Paridades</v>
      </c>
      <c r="L456">
        <f>COUNTIFS(Base_Itens!$E$5:$E$1504,J456,Base_Itens!$G$5:$G$1504,K456)</f>
        <v>0</v>
      </c>
    </row>
    <row r="457" spans="1:12">
      <c r="A457" t="s">
        <v>2598</v>
      </c>
      <c r="B457">
        <v>2016</v>
      </c>
      <c r="C457" t="s">
        <v>82</v>
      </c>
      <c r="D457">
        <v>1</v>
      </c>
      <c r="E457">
        <v>1</v>
      </c>
      <c r="F457">
        <f>SUMIF(Base_Itens!$E$5:$E$1504,A457,Base_Itens!$I$5:$I$1504)</f>
        <v>1</v>
      </c>
      <c r="G457">
        <f t="shared" si="21"/>
        <v>0</v>
      </c>
      <c r="H457">
        <f>COUNTIF(Base_Itens!$E$5:$E$1504,A457)</f>
        <v>1</v>
      </c>
      <c r="I457" t="str">
        <f t="shared" si="22"/>
        <v>OK</v>
      </c>
      <c r="J457" t="str">
        <f>Base_Itens!E134</f>
        <v>2011-Q15-ABERTA</v>
      </c>
      <c r="K457" t="str">
        <f>Base_Itens!G434</f>
        <v>07a — Paridades</v>
      </c>
      <c r="L457">
        <f>COUNTIFS(Base_Itens!$E$5:$E$1504,J457,Base_Itens!$G$5:$G$1504,K457)</f>
        <v>0</v>
      </c>
    </row>
    <row r="458" spans="1:12">
      <c r="A458" t="s">
        <v>2599</v>
      </c>
      <c r="B458">
        <v>2016</v>
      </c>
      <c r="C458" t="s">
        <v>82</v>
      </c>
      <c r="D458">
        <v>1</v>
      </c>
      <c r="E458">
        <v>1</v>
      </c>
      <c r="F458">
        <f>SUMIF(Base_Itens!$E$5:$E$1504,A458,Base_Itens!$I$5:$I$1504)</f>
        <v>1</v>
      </c>
      <c r="G458">
        <f t="shared" si="21"/>
        <v>0</v>
      </c>
      <c r="H458">
        <f>COUNTIF(Base_Itens!$E$5:$E$1504,A458)</f>
        <v>1</v>
      </c>
      <c r="I458" t="str">
        <f t="shared" si="22"/>
        <v>OK</v>
      </c>
      <c r="J458" t="str">
        <f>Base_Itens!E135</f>
        <v>2012-Q1-0</v>
      </c>
      <c r="K458" t="str">
        <f>Base_Itens!G435</f>
        <v>07a — Paridades</v>
      </c>
      <c r="L458">
        <f>COUNTIFS(Base_Itens!$E$5:$E$1504,J458,Base_Itens!$G$5:$G$1504,K458)</f>
        <v>0</v>
      </c>
    </row>
    <row r="459" spans="1:12">
      <c r="A459" t="s">
        <v>2600</v>
      </c>
      <c r="B459">
        <v>2016</v>
      </c>
      <c r="C459" t="s">
        <v>82</v>
      </c>
      <c r="D459">
        <v>1</v>
      </c>
      <c r="E459">
        <v>1</v>
      </c>
      <c r="F459">
        <f>SUMIF(Base_Itens!$E$5:$E$1504,A459,Base_Itens!$I$5:$I$1504)</f>
        <v>1</v>
      </c>
      <c r="G459">
        <f t="shared" si="21"/>
        <v>0</v>
      </c>
      <c r="H459">
        <f>COUNTIF(Base_Itens!$E$5:$E$1504,A459)</f>
        <v>1</v>
      </c>
      <c r="I459" t="str">
        <f t="shared" si="22"/>
        <v>OK</v>
      </c>
      <c r="J459" t="str">
        <f>Base_Itens!E136</f>
        <v>2012-Q1-1</v>
      </c>
      <c r="K459" t="str">
        <f>Base_Itens!G436</f>
        <v>13 — Investimento</v>
      </c>
      <c r="L459">
        <f>COUNTIFS(Base_Itens!$E$5:$E$1504,J459,Base_Itens!$G$5:$G$1504,K459)</f>
        <v>0</v>
      </c>
    </row>
    <row r="460" spans="1:12">
      <c r="A460" t="s">
        <v>2601</v>
      </c>
      <c r="B460">
        <v>2016</v>
      </c>
      <c r="C460" t="s">
        <v>82</v>
      </c>
      <c r="D460">
        <v>1</v>
      </c>
      <c r="E460">
        <v>1</v>
      </c>
      <c r="F460">
        <f>SUMIF(Base_Itens!$E$5:$E$1504,A460,Base_Itens!$I$5:$I$1504)</f>
        <v>1</v>
      </c>
      <c r="G460">
        <f t="shared" si="21"/>
        <v>0</v>
      </c>
      <c r="H460">
        <f>COUNTIF(Base_Itens!$E$5:$E$1504,A460)</f>
        <v>1</v>
      </c>
      <c r="I460" t="str">
        <f t="shared" si="22"/>
        <v>OK</v>
      </c>
      <c r="J460" t="str">
        <f>Base_Itens!E137</f>
        <v>2012-Q1-2</v>
      </c>
      <c r="K460" t="str">
        <f>Base_Itens!G437</f>
        <v>13 — Investimento</v>
      </c>
      <c r="L460">
        <f>COUNTIFS(Base_Itens!$E$5:$E$1504,J460,Base_Itens!$G$5:$G$1504,K460)</f>
        <v>1</v>
      </c>
    </row>
    <row r="461" spans="1:12">
      <c r="A461" t="s">
        <v>2602</v>
      </c>
      <c r="B461">
        <v>2016</v>
      </c>
      <c r="C461" t="s">
        <v>82</v>
      </c>
      <c r="D461">
        <v>1</v>
      </c>
      <c r="E461">
        <v>1</v>
      </c>
      <c r="F461">
        <f>SUMIF(Base_Itens!$E$5:$E$1504,A461,Base_Itens!$I$5:$I$1504)</f>
        <v>1</v>
      </c>
      <c r="G461">
        <f t="shared" si="21"/>
        <v>0</v>
      </c>
      <c r="H461">
        <f>COUNTIF(Base_Itens!$E$5:$E$1504,A461)</f>
        <v>1</v>
      </c>
      <c r="I461" t="str">
        <f t="shared" si="22"/>
        <v>OK</v>
      </c>
      <c r="J461" t="str">
        <f>Base_Itens!E138</f>
        <v>2012-Q1-3</v>
      </c>
      <c r="K461" t="str">
        <f>Base_Itens!G438</f>
        <v>13 — Investimento</v>
      </c>
      <c r="L461">
        <f>COUNTIFS(Base_Itens!$E$5:$E$1504,J461,Base_Itens!$G$5:$G$1504,K461)</f>
        <v>1</v>
      </c>
    </row>
    <row r="462" spans="1:12">
      <c r="A462" t="s">
        <v>2603</v>
      </c>
      <c r="B462">
        <v>2016</v>
      </c>
      <c r="C462" t="s">
        <v>82</v>
      </c>
      <c r="D462">
        <v>1</v>
      </c>
      <c r="E462">
        <v>1</v>
      </c>
      <c r="F462">
        <f>SUMIF(Base_Itens!$E$5:$E$1504,A462,Base_Itens!$I$5:$I$1504)</f>
        <v>1</v>
      </c>
      <c r="G462">
        <f t="shared" si="21"/>
        <v>0</v>
      </c>
      <c r="H462">
        <f>COUNTIF(Base_Itens!$E$5:$E$1504,A462)</f>
        <v>1</v>
      </c>
      <c r="I462" t="str">
        <f t="shared" si="22"/>
        <v>OK</v>
      </c>
      <c r="J462" t="str">
        <f>Base_Itens!E139</f>
        <v>2012-Q1-4</v>
      </c>
      <c r="K462" t="str">
        <f>Base_Itens!G439</f>
        <v>12 — Consumo</v>
      </c>
      <c r="L462">
        <f>COUNTIFS(Base_Itens!$E$5:$E$1504,J462,Base_Itens!$G$5:$G$1504,K462)</f>
        <v>0</v>
      </c>
    </row>
    <row r="463" spans="1:12">
      <c r="A463" t="s">
        <v>2604</v>
      </c>
      <c r="B463">
        <v>2016</v>
      </c>
      <c r="C463" t="s">
        <v>82</v>
      </c>
      <c r="D463">
        <v>1</v>
      </c>
      <c r="E463">
        <v>1</v>
      </c>
      <c r="F463">
        <f>SUMIF(Base_Itens!$E$5:$E$1504,A463,Base_Itens!$I$5:$I$1504)</f>
        <v>1</v>
      </c>
      <c r="G463">
        <f t="shared" si="21"/>
        <v>0</v>
      </c>
      <c r="H463">
        <f>COUNTIF(Base_Itens!$E$5:$E$1504,A463)</f>
        <v>1</v>
      </c>
      <c r="I463" t="str">
        <f t="shared" si="22"/>
        <v>OK</v>
      </c>
      <c r="J463" t="str">
        <f>Base_Itens!E140</f>
        <v>2012-Q2-0</v>
      </c>
      <c r="K463" t="str">
        <f>Base_Itens!G440</f>
        <v>12 — Consumo</v>
      </c>
      <c r="L463">
        <f>COUNTIFS(Base_Itens!$E$5:$E$1504,J463,Base_Itens!$G$5:$G$1504,K463)</f>
        <v>0</v>
      </c>
    </row>
    <row r="464" spans="1:12">
      <c r="A464" t="s">
        <v>2605</v>
      </c>
      <c r="B464">
        <v>2016</v>
      </c>
      <c r="C464" t="s">
        <v>82</v>
      </c>
      <c r="D464">
        <v>1</v>
      </c>
      <c r="E464">
        <v>1</v>
      </c>
      <c r="F464">
        <f>SUMIF(Base_Itens!$E$5:$E$1504,A464,Base_Itens!$I$5:$I$1504)</f>
        <v>1</v>
      </c>
      <c r="G464">
        <f t="shared" si="21"/>
        <v>0</v>
      </c>
      <c r="H464">
        <f>COUNTIF(Base_Itens!$E$5:$E$1504,A464)</f>
        <v>1</v>
      </c>
      <c r="I464" t="str">
        <f t="shared" ref="I464:I495" si="23">IF(AND(G464=0,H464=E164),"OK","REVER")</f>
        <v>OK</v>
      </c>
      <c r="J464" t="str">
        <f>Base_Itens!E141</f>
        <v>2012-Q2-1</v>
      </c>
      <c r="K464" t="str">
        <f>Base_Itens!G441</f>
        <v>05 — IS-LM</v>
      </c>
      <c r="L464">
        <f>COUNTIFS(Base_Itens!$E$5:$E$1504,J464,Base_Itens!$G$5:$G$1504,K464)</f>
        <v>0</v>
      </c>
    </row>
    <row r="465" spans="1:12">
      <c r="A465" t="s">
        <v>2606</v>
      </c>
      <c r="B465">
        <v>2016</v>
      </c>
      <c r="C465" t="s">
        <v>82</v>
      </c>
      <c r="D465">
        <v>1</v>
      </c>
      <c r="E465">
        <v>2</v>
      </c>
      <c r="F465">
        <f>SUMIF(Base_Itens!$E$5:$E$1504,A465,Base_Itens!$I$5:$I$1504)</f>
        <v>1</v>
      </c>
      <c r="G465">
        <f t="shared" si="21"/>
        <v>0</v>
      </c>
      <c r="H465">
        <f>COUNTIF(Base_Itens!$E$5:$E$1504,A465)</f>
        <v>2</v>
      </c>
      <c r="I465" t="str">
        <f t="shared" si="23"/>
        <v>REVER</v>
      </c>
      <c r="J465" t="str">
        <f>Base_Itens!E142</f>
        <v>2012-Q2-2</v>
      </c>
      <c r="K465" t="str">
        <f>Base_Itens!G442</f>
        <v>05 — IS-LM</v>
      </c>
      <c r="L465">
        <f>COUNTIFS(Base_Itens!$E$5:$E$1504,J465,Base_Itens!$G$5:$G$1504,K465)</f>
        <v>0</v>
      </c>
    </row>
    <row r="466" spans="1:12">
      <c r="A466" t="s">
        <v>2607</v>
      </c>
      <c r="B466">
        <v>2016</v>
      </c>
      <c r="C466" t="s">
        <v>82</v>
      </c>
      <c r="D466">
        <v>1</v>
      </c>
      <c r="E466">
        <v>2</v>
      </c>
      <c r="F466">
        <f>SUMIF(Base_Itens!$E$5:$E$1504,A466,Base_Itens!$I$5:$I$1504)</f>
        <v>1</v>
      </c>
      <c r="G466">
        <f t="shared" si="21"/>
        <v>0</v>
      </c>
      <c r="H466">
        <f>COUNTIF(Base_Itens!$E$5:$E$1504,A466)</f>
        <v>2</v>
      </c>
      <c r="I466" t="str">
        <f t="shared" si="23"/>
        <v>REVER</v>
      </c>
      <c r="J466" t="str">
        <f>Base_Itens!E143</f>
        <v>2012-Q2-3</v>
      </c>
      <c r="K466" t="str">
        <f>Base_Itens!G443</f>
        <v>05 — IS-LM</v>
      </c>
      <c r="L466">
        <f>COUNTIFS(Base_Itens!$E$5:$E$1504,J466,Base_Itens!$G$5:$G$1504,K466)</f>
        <v>0</v>
      </c>
    </row>
    <row r="467" spans="1:12">
      <c r="A467" t="s">
        <v>2608</v>
      </c>
      <c r="B467">
        <v>2016</v>
      </c>
      <c r="C467" t="s">
        <v>82</v>
      </c>
      <c r="D467">
        <v>1</v>
      </c>
      <c r="E467">
        <v>2</v>
      </c>
      <c r="F467">
        <f>SUMIF(Base_Itens!$E$5:$E$1504,A467,Base_Itens!$I$5:$I$1504)</f>
        <v>1</v>
      </c>
      <c r="G467">
        <f t="shared" si="21"/>
        <v>0</v>
      </c>
      <c r="H467">
        <f>COUNTIF(Base_Itens!$E$5:$E$1504,A467)</f>
        <v>2</v>
      </c>
      <c r="I467" t="str">
        <f t="shared" si="23"/>
        <v>OK</v>
      </c>
      <c r="J467" t="str">
        <f>Base_Itens!E144</f>
        <v>2012-Q2-4</v>
      </c>
      <c r="K467" t="str">
        <f>Base_Itens!G444</f>
        <v>05 — IS-LM</v>
      </c>
      <c r="L467">
        <f>COUNTIFS(Base_Itens!$E$5:$E$1504,J467,Base_Itens!$G$5:$G$1504,K467)</f>
        <v>0</v>
      </c>
    </row>
    <row r="468" spans="1:12">
      <c r="A468" t="s">
        <v>2609</v>
      </c>
      <c r="B468">
        <v>2016</v>
      </c>
      <c r="C468" t="s">
        <v>82</v>
      </c>
      <c r="D468">
        <v>1</v>
      </c>
      <c r="E468">
        <v>1</v>
      </c>
      <c r="F468">
        <f>SUMIF(Base_Itens!$E$5:$E$1504,A468,Base_Itens!$I$5:$I$1504)</f>
        <v>1</v>
      </c>
      <c r="G468">
        <f t="shared" si="21"/>
        <v>0</v>
      </c>
      <c r="H468">
        <f>COUNTIF(Base_Itens!$E$5:$E$1504,A468)</f>
        <v>1</v>
      </c>
      <c r="I468" t="str">
        <f t="shared" si="23"/>
        <v>REVER</v>
      </c>
      <c r="J468" t="str">
        <f>Base_Itens!E145</f>
        <v>2012-Q3-0</v>
      </c>
      <c r="K468" t="str">
        <f>Base_Itens!G445</f>
        <v>05 — IS-LM</v>
      </c>
      <c r="L468">
        <f>COUNTIFS(Base_Itens!$E$5:$E$1504,J468,Base_Itens!$G$5:$G$1504,K468)</f>
        <v>0</v>
      </c>
    </row>
    <row r="469" spans="1:12">
      <c r="A469" t="s">
        <v>2610</v>
      </c>
      <c r="B469">
        <v>2016</v>
      </c>
      <c r="C469" t="s">
        <v>82</v>
      </c>
      <c r="D469">
        <v>1</v>
      </c>
      <c r="E469">
        <v>1</v>
      </c>
      <c r="F469">
        <f>SUMIF(Base_Itens!$E$5:$E$1504,A469,Base_Itens!$I$5:$I$1504)</f>
        <v>1</v>
      </c>
      <c r="G469">
        <f t="shared" si="21"/>
        <v>0</v>
      </c>
      <c r="H469">
        <f>COUNTIF(Base_Itens!$E$5:$E$1504,A469)</f>
        <v>1</v>
      </c>
      <c r="I469" t="str">
        <f t="shared" si="23"/>
        <v>OK</v>
      </c>
      <c r="J469" t="str">
        <f>Base_Itens!E146</f>
        <v>2012-Q3-1</v>
      </c>
      <c r="K469" t="str">
        <f>Base_Itens!G446</f>
        <v>14 — Dívida Pública e Senhoriagem</v>
      </c>
      <c r="L469">
        <f>COUNTIFS(Base_Itens!$E$5:$E$1504,J469,Base_Itens!$G$5:$G$1504,K469)</f>
        <v>0</v>
      </c>
    </row>
    <row r="470" spans="1:12">
      <c r="A470" t="s">
        <v>2611</v>
      </c>
      <c r="B470">
        <v>2016</v>
      </c>
      <c r="C470" t="s">
        <v>2153</v>
      </c>
      <c r="D470">
        <v>5</v>
      </c>
      <c r="E470">
        <v>2</v>
      </c>
      <c r="F470">
        <f>SUMIF(Base_Itens!$E$5:$E$1504,A470,Base_Itens!$I$5:$I$1504)</f>
        <v>5</v>
      </c>
      <c r="G470">
        <f t="shared" si="21"/>
        <v>0</v>
      </c>
      <c r="H470">
        <f>COUNTIF(Base_Itens!$E$5:$E$1504,A470)</f>
        <v>2</v>
      </c>
      <c r="I470" t="str">
        <f t="shared" si="23"/>
        <v>REVER</v>
      </c>
      <c r="J470" t="str">
        <f>Base_Itens!E147</f>
        <v>2012-Q3-2</v>
      </c>
      <c r="K470" t="str">
        <f>Base_Itens!G447</f>
        <v>14 — Dívida Pública e Senhoriagem</v>
      </c>
      <c r="L470">
        <f>COUNTIFS(Base_Itens!$E$5:$E$1504,J470,Base_Itens!$G$5:$G$1504,K470)</f>
        <v>0</v>
      </c>
    </row>
    <row r="471" spans="1:12">
      <c r="A471" t="s">
        <v>2612</v>
      </c>
      <c r="B471">
        <v>2016</v>
      </c>
      <c r="C471" t="s">
        <v>2153</v>
      </c>
      <c r="D471">
        <v>5</v>
      </c>
      <c r="E471">
        <v>1</v>
      </c>
      <c r="F471">
        <f>SUMIF(Base_Itens!$E$5:$E$1504,A471,Base_Itens!$I$5:$I$1504)</f>
        <v>5</v>
      </c>
      <c r="G471">
        <f t="shared" si="21"/>
        <v>0</v>
      </c>
      <c r="H471">
        <f>COUNTIF(Base_Itens!$E$5:$E$1504,A471)</f>
        <v>1</v>
      </c>
      <c r="I471" t="str">
        <f t="shared" si="23"/>
        <v>OK</v>
      </c>
      <c r="J471" t="str">
        <f>Base_Itens!E148</f>
        <v>2012-Q3-3</v>
      </c>
      <c r="K471" t="str">
        <f>Base_Itens!G448</f>
        <v>14 — Dívida Pública e Senhoriagem</v>
      </c>
      <c r="L471">
        <f>COUNTIFS(Base_Itens!$E$5:$E$1504,J471,Base_Itens!$G$5:$G$1504,K471)</f>
        <v>0</v>
      </c>
    </row>
    <row r="472" spans="1:12">
      <c r="A472" t="s">
        <v>2613</v>
      </c>
      <c r="B472">
        <v>2016</v>
      </c>
      <c r="C472" t="s">
        <v>2153</v>
      </c>
      <c r="D472">
        <v>5</v>
      </c>
      <c r="E472">
        <v>1</v>
      </c>
      <c r="F472">
        <f>SUMIF(Base_Itens!$E$5:$E$1504,A472,Base_Itens!$I$5:$I$1504)</f>
        <v>5</v>
      </c>
      <c r="G472">
        <f t="shared" si="21"/>
        <v>0</v>
      </c>
      <c r="H472">
        <f>COUNTIF(Base_Itens!$E$5:$E$1504,A472)</f>
        <v>1</v>
      </c>
      <c r="I472" t="str">
        <f t="shared" si="23"/>
        <v>OK</v>
      </c>
      <c r="J472" t="str">
        <f>Base_Itens!E149</f>
        <v>2012-Q3-3</v>
      </c>
      <c r="K472" t="str">
        <f>Base_Itens!G449</f>
        <v>10 — Ciclos Reais de Negócios (RBC)</v>
      </c>
      <c r="L472">
        <f>COUNTIFS(Base_Itens!$E$5:$E$1504,J472,Base_Itens!$G$5:$G$1504,K472)</f>
        <v>0</v>
      </c>
    </row>
    <row r="473" spans="1:12">
      <c r="A473" t="s">
        <v>2614</v>
      </c>
      <c r="B473">
        <v>2017</v>
      </c>
      <c r="C473" t="s">
        <v>82</v>
      </c>
      <c r="D473">
        <v>1</v>
      </c>
      <c r="E473">
        <v>1</v>
      </c>
      <c r="F473">
        <f>SUMIF(Base_Itens!$E$5:$E$1504,A473,Base_Itens!$I$5:$I$1504)</f>
        <v>1</v>
      </c>
      <c r="G473">
        <f t="shared" si="21"/>
        <v>0</v>
      </c>
      <c r="H473">
        <f>COUNTIF(Base_Itens!$E$5:$E$1504,A473)</f>
        <v>1</v>
      </c>
      <c r="I473" t="str">
        <f t="shared" si="23"/>
        <v>OK</v>
      </c>
      <c r="J473" t="str">
        <f>Base_Itens!E150</f>
        <v>2012-Q3-4</v>
      </c>
      <c r="K473" t="str">
        <f>Base_Itens!G450</f>
        <v>09 — Expectativas, Novos Clássicos e Novos Keynesianos</v>
      </c>
      <c r="L473">
        <f>COUNTIFS(Base_Itens!$E$5:$E$1504,J473,Base_Itens!$G$5:$G$1504,K473)</f>
        <v>0</v>
      </c>
    </row>
    <row r="474" spans="1:12">
      <c r="A474" t="s">
        <v>2615</v>
      </c>
      <c r="B474">
        <v>2017</v>
      </c>
      <c r="C474" t="s">
        <v>82</v>
      </c>
      <c r="D474">
        <v>1</v>
      </c>
      <c r="E474">
        <v>1</v>
      </c>
      <c r="F474">
        <f>SUMIF(Base_Itens!$E$5:$E$1504,A474,Base_Itens!$I$5:$I$1504)</f>
        <v>1</v>
      </c>
      <c r="G474">
        <f t="shared" si="21"/>
        <v>0</v>
      </c>
      <c r="H474">
        <f>COUNTIF(Base_Itens!$E$5:$E$1504,A474)</f>
        <v>1</v>
      </c>
      <c r="I474" t="str">
        <f t="shared" si="23"/>
        <v>OK</v>
      </c>
      <c r="J474" t="str">
        <f>Base_Itens!E151</f>
        <v>2012-Q3-4</v>
      </c>
      <c r="K474" t="str">
        <f>Base_Itens!G451</f>
        <v>01 — Contas Nacionais</v>
      </c>
      <c r="L474">
        <f>COUNTIFS(Base_Itens!$E$5:$E$1504,J474,Base_Itens!$G$5:$G$1504,K474)</f>
        <v>1</v>
      </c>
    </row>
    <row r="475" spans="1:12">
      <c r="A475" t="s">
        <v>2616</v>
      </c>
      <c r="B475">
        <v>2017</v>
      </c>
      <c r="C475" t="s">
        <v>82</v>
      </c>
      <c r="D475">
        <v>1</v>
      </c>
      <c r="E475">
        <v>1</v>
      </c>
      <c r="F475">
        <f>SUMIF(Base_Itens!$E$5:$E$1504,A475,Base_Itens!$I$5:$I$1504)</f>
        <v>1</v>
      </c>
      <c r="G475">
        <f t="shared" si="21"/>
        <v>0</v>
      </c>
      <c r="H475">
        <f>COUNTIF(Base_Itens!$E$5:$E$1504,A475)</f>
        <v>1</v>
      </c>
      <c r="I475" t="str">
        <f t="shared" si="23"/>
        <v>OK</v>
      </c>
      <c r="J475" t="str">
        <f>Base_Itens!E152</f>
        <v>2012-Q4-0</v>
      </c>
      <c r="K475" t="str">
        <f>Base_Itens!G452</f>
        <v>01 — Contas Nacionais</v>
      </c>
      <c r="L475">
        <f>COUNTIFS(Base_Itens!$E$5:$E$1504,J475,Base_Itens!$G$5:$G$1504,K475)</f>
        <v>0</v>
      </c>
    </row>
    <row r="476" spans="1:12">
      <c r="A476" t="s">
        <v>2617</v>
      </c>
      <c r="B476">
        <v>2017</v>
      </c>
      <c r="C476" t="s">
        <v>82</v>
      </c>
      <c r="D476">
        <v>1</v>
      </c>
      <c r="E476">
        <v>1</v>
      </c>
      <c r="F476">
        <f>SUMIF(Base_Itens!$E$5:$E$1504,A476,Base_Itens!$I$5:$I$1504)</f>
        <v>1</v>
      </c>
      <c r="G476">
        <f t="shared" ref="G476:G539" si="24">F476-D476</f>
        <v>0</v>
      </c>
      <c r="H476">
        <f>COUNTIF(Base_Itens!$E$5:$E$1504,A476)</f>
        <v>1</v>
      </c>
      <c r="I476" t="str">
        <f t="shared" si="23"/>
        <v>OK</v>
      </c>
      <c r="J476" t="str">
        <f>Base_Itens!E153</f>
        <v>2012-Q4-1</v>
      </c>
      <c r="K476" t="str">
        <f>Base_Itens!G453</f>
        <v>05 — IS-LM</v>
      </c>
      <c r="L476">
        <f>COUNTIFS(Base_Itens!$E$5:$E$1504,J476,Base_Itens!$G$5:$G$1504,K476)</f>
        <v>0</v>
      </c>
    </row>
    <row r="477" spans="1:12">
      <c r="A477" t="s">
        <v>2618</v>
      </c>
      <c r="B477">
        <v>2017</v>
      </c>
      <c r="C477" t="s">
        <v>82</v>
      </c>
      <c r="D477">
        <v>1</v>
      </c>
      <c r="E477">
        <v>1</v>
      </c>
      <c r="F477">
        <f>SUMIF(Base_Itens!$E$5:$E$1504,A477,Base_Itens!$I$5:$I$1504)</f>
        <v>1</v>
      </c>
      <c r="G477">
        <f t="shared" si="24"/>
        <v>0</v>
      </c>
      <c r="H477">
        <f>COUNTIF(Base_Itens!$E$5:$E$1504,A477)</f>
        <v>1</v>
      </c>
      <c r="I477" t="str">
        <f t="shared" si="23"/>
        <v>OK</v>
      </c>
      <c r="J477" t="str">
        <f>Base_Itens!E154</f>
        <v>2012-Q4-2</v>
      </c>
      <c r="K477" t="str">
        <f>Base_Itens!G454</f>
        <v>04 — Demanda por Moeda</v>
      </c>
      <c r="L477">
        <f>COUNTIFS(Base_Itens!$E$5:$E$1504,J477,Base_Itens!$G$5:$G$1504,K477)</f>
        <v>0</v>
      </c>
    </row>
    <row r="478" spans="1:12">
      <c r="A478" t="s">
        <v>2619</v>
      </c>
      <c r="B478">
        <v>2017</v>
      </c>
      <c r="C478" t="s">
        <v>82</v>
      </c>
      <c r="D478">
        <v>1</v>
      </c>
      <c r="E478">
        <v>1</v>
      </c>
      <c r="F478">
        <f>SUMIF(Base_Itens!$E$5:$E$1504,A478,Base_Itens!$I$5:$I$1504)</f>
        <v>1</v>
      </c>
      <c r="G478">
        <f t="shared" si="24"/>
        <v>0</v>
      </c>
      <c r="H478">
        <f>COUNTIF(Base_Itens!$E$5:$E$1504,A478)</f>
        <v>1</v>
      </c>
      <c r="I478" t="str">
        <f t="shared" si="23"/>
        <v>OK</v>
      </c>
      <c r="J478" t="str">
        <f>Base_Itens!E155</f>
        <v>2012-Q4-3</v>
      </c>
      <c r="K478" t="str">
        <f>Base_Itens!G455</f>
        <v>09 — Expectativas, Novos Clássicos e Novos Keynesianos</v>
      </c>
      <c r="L478">
        <f>COUNTIFS(Base_Itens!$E$5:$E$1504,J478,Base_Itens!$G$5:$G$1504,K478)</f>
        <v>0</v>
      </c>
    </row>
    <row r="479" spans="1:12">
      <c r="A479" t="s">
        <v>2620</v>
      </c>
      <c r="B479">
        <v>2017</v>
      </c>
      <c r="C479" t="s">
        <v>82</v>
      </c>
      <c r="D479">
        <v>1</v>
      </c>
      <c r="E479">
        <v>1</v>
      </c>
      <c r="F479">
        <f>SUMIF(Base_Itens!$E$5:$E$1504,A479,Base_Itens!$I$5:$I$1504)</f>
        <v>1</v>
      </c>
      <c r="G479">
        <f t="shared" si="24"/>
        <v>0</v>
      </c>
      <c r="H479">
        <f>COUNTIF(Base_Itens!$E$5:$E$1504,A479)</f>
        <v>1</v>
      </c>
      <c r="I479" t="str">
        <f t="shared" si="23"/>
        <v>OK</v>
      </c>
      <c r="J479" t="str">
        <f>Base_Itens!E156</f>
        <v>2012-Q4-4</v>
      </c>
      <c r="K479" t="str">
        <f>Base_Itens!G456</f>
        <v>06 — IS-LM-BP</v>
      </c>
      <c r="L479">
        <f>COUNTIFS(Base_Itens!$E$5:$E$1504,J479,Base_Itens!$G$5:$G$1504,K479)</f>
        <v>0</v>
      </c>
    </row>
    <row r="480" spans="1:12">
      <c r="A480" t="s">
        <v>2621</v>
      </c>
      <c r="B480">
        <v>2017</v>
      </c>
      <c r="C480" t="s">
        <v>82</v>
      </c>
      <c r="D480">
        <v>1</v>
      </c>
      <c r="E480">
        <v>1</v>
      </c>
      <c r="F480">
        <f>SUMIF(Base_Itens!$E$5:$E$1504,A480,Base_Itens!$I$5:$I$1504)</f>
        <v>1</v>
      </c>
      <c r="G480">
        <f t="shared" si="24"/>
        <v>0</v>
      </c>
      <c r="H480">
        <f>COUNTIF(Base_Itens!$E$5:$E$1504,A480)</f>
        <v>1</v>
      </c>
      <c r="I480" t="str">
        <f t="shared" si="23"/>
        <v>OK</v>
      </c>
      <c r="J480" t="str">
        <f>Base_Itens!E157</f>
        <v>2012-Q5-0</v>
      </c>
      <c r="K480" t="str">
        <f>Base_Itens!G457</f>
        <v>07b — OA-DA</v>
      </c>
      <c r="L480">
        <f>COUNTIFS(Base_Itens!$E$5:$E$1504,J480,Base_Itens!$G$5:$G$1504,K480)</f>
        <v>0</v>
      </c>
    </row>
    <row r="481" spans="1:12">
      <c r="A481" t="s">
        <v>2622</v>
      </c>
      <c r="B481">
        <v>2017</v>
      </c>
      <c r="C481" t="s">
        <v>82</v>
      </c>
      <c r="D481">
        <v>1</v>
      </c>
      <c r="E481">
        <v>1</v>
      </c>
      <c r="F481">
        <f>SUMIF(Base_Itens!$E$5:$E$1504,A481,Base_Itens!$I$5:$I$1504)</f>
        <v>1</v>
      </c>
      <c r="G481">
        <f t="shared" si="24"/>
        <v>0</v>
      </c>
      <c r="H481">
        <f>COUNTIF(Base_Itens!$E$5:$E$1504,A481)</f>
        <v>1</v>
      </c>
      <c r="I481" t="str">
        <f t="shared" si="23"/>
        <v>OK</v>
      </c>
      <c r="J481" t="str">
        <f>Base_Itens!E158</f>
        <v>2012-Q5-1</v>
      </c>
      <c r="K481" t="str">
        <f>Base_Itens!G458</f>
        <v>06 — IS-LM-BP</v>
      </c>
      <c r="L481">
        <f>COUNTIFS(Base_Itens!$E$5:$E$1504,J481,Base_Itens!$G$5:$G$1504,K481)</f>
        <v>0</v>
      </c>
    </row>
    <row r="482" spans="1:12">
      <c r="A482" t="s">
        <v>2623</v>
      </c>
      <c r="B482">
        <v>2017</v>
      </c>
      <c r="C482" t="s">
        <v>82</v>
      </c>
      <c r="D482">
        <v>1</v>
      </c>
      <c r="E482">
        <v>1</v>
      </c>
      <c r="F482">
        <f>SUMIF(Base_Itens!$E$5:$E$1504,A482,Base_Itens!$I$5:$I$1504)</f>
        <v>1</v>
      </c>
      <c r="G482">
        <f t="shared" si="24"/>
        <v>0</v>
      </c>
      <c r="H482">
        <f>COUNTIF(Base_Itens!$E$5:$E$1504,A482)</f>
        <v>1</v>
      </c>
      <c r="I482" t="str">
        <f t="shared" si="23"/>
        <v>OK</v>
      </c>
      <c r="J482" t="str">
        <f>Base_Itens!E159</f>
        <v>2012-Q5-2</v>
      </c>
      <c r="K482" t="str">
        <f>Base_Itens!G459</f>
        <v>07b — OA-DA</v>
      </c>
      <c r="L482">
        <f>COUNTIFS(Base_Itens!$E$5:$E$1504,J482,Base_Itens!$G$5:$G$1504,K482)</f>
        <v>0</v>
      </c>
    </row>
    <row r="483" spans="1:12">
      <c r="A483" t="s">
        <v>2624</v>
      </c>
      <c r="B483">
        <v>2017</v>
      </c>
      <c r="C483" t="s">
        <v>82</v>
      </c>
      <c r="D483">
        <v>1</v>
      </c>
      <c r="E483">
        <v>1</v>
      </c>
      <c r="F483">
        <f>SUMIF(Base_Itens!$E$5:$E$1504,A483,Base_Itens!$I$5:$I$1504)</f>
        <v>1</v>
      </c>
      <c r="G483">
        <f t="shared" si="24"/>
        <v>0</v>
      </c>
      <c r="H483">
        <f>COUNTIF(Base_Itens!$E$5:$E$1504,A483)</f>
        <v>1</v>
      </c>
      <c r="I483" t="str">
        <f t="shared" si="23"/>
        <v>OK</v>
      </c>
      <c r="J483" t="str">
        <f>Base_Itens!E160</f>
        <v>2012-Q5-3</v>
      </c>
      <c r="K483" t="str">
        <f>Base_Itens!G460</f>
        <v>06 — IS-LM-BP</v>
      </c>
      <c r="L483">
        <f>COUNTIFS(Base_Itens!$E$5:$E$1504,J483,Base_Itens!$G$5:$G$1504,K483)</f>
        <v>0</v>
      </c>
    </row>
    <row r="484" spans="1:12">
      <c r="A484" t="s">
        <v>2625</v>
      </c>
      <c r="B484">
        <v>2017</v>
      </c>
      <c r="C484" t="s">
        <v>82</v>
      </c>
      <c r="D484">
        <v>1</v>
      </c>
      <c r="E484">
        <v>1</v>
      </c>
      <c r="F484">
        <f>SUMIF(Base_Itens!$E$5:$E$1504,A484,Base_Itens!$I$5:$I$1504)</f>
        <v>1</v>
      </c>
      <c r="G484">
        <f t="shared" si="24"/>
        <v>0</v>
      </c>
      <c r="H484">
        <f>COUNTIF(Base_Itens!$E$5:$E$1504,A484)</f>
        <v>1</v>
      </c>
      <c r="I484" t="str">
        <f t="shared" si="23"/>
        <v>OK</v>
      </c>
      <c r="J484" t="str">
        <f>Base_Itens!E161</f>
        <v>2012-Q5-4</v>
      </c>
      <c r="K484" t="str">
        <f>Base_Itens!G461</f>
        <v>07a — Paridades</v>
      </c>
      <c r="L484">
        <f>COUNTIFS(Base_Itens!$E$5:$E$1504,J484,Base_Itens!$G$5:$G$1504,K484)</f>
        <v>0</v>
      </c>
    </row>
    <row r="485" spans="1:12">
      <c r="A485" t="s">
        <v>2626</v>
      </c>
      <c r="B485">
        <v>2017</v>
      </c>
      <c r="C485" t="s">
        <v>82</v>
      </c>
      <c r="D485">
        <v>1</v>
      </c>
      <c r="E485">
        <v>1</v>
      </c>
      <c r="F485">
        <f>SUMIF(Base_Itens!$E$5:$E$1504,A485,Base_Itens!$I$5:$I$1504)</f>
        <v>1</v>
      </c>
      <c r="G485">
        <f t="shared" si="24"/>
        <v>0</v>
      </c>
      <c r="H485">
        <f>COUNTIF(Base_Itens!$E$5:$E$1504,A485)</f>
        <v>1</v>
      </c>
      <c r="I485" t="str">
        <f t="shared" si="23"/>
        <v>OK</v>
      </c>
      <c r="J485" t="str">
        <f>Base_Itens!E162</f>
        <v>2012-Q6-0</v>
      </c>
      <c r="K485" t="str">
        <f>Base_Itens!G462</f>
        <v>06 — IS-LM-BP</v>
      </c>
      <c r="L485">
        <f>COUNTIFS(Base_Itens!$E$5:$E$1504,J485,Base_Itens!$G$5:$G$1504,K485)</f>
        <v>1</v>
      </c>
    </row>
    <row r="486" spans="1:12">
      <c r="A486" t="s">
        <v>2627</v>
      </c>
      <c r="B486">
        <v>2017</v>
      </c>
      <c r="C486" t="s">
        <v>82</v>
      </c>
      <c r="D486">
        <v>1</v>
      </c>
      <c r="E486">
        <v>1</v>
      </c>
      <c r="F486">
        <f>SUMIF(Base_Itens!$E$5:$E$1504,A486,Base_Itens!$I$5:$I$1504)</f>
        <v>1</v>
      </c>
      <c r="G486">
        <f t="shared" si="24"/>
        <v>0</v>
      </c>
      <c r="H486">
        <f>COUNTIF(Base_Itens!$E$5:$E$1504,A486)</f>
        <v>1</v>
      </c>
      <c r="I486" t="str">
        <f t="shared" si="23"/>
        <v>OK</v>
      </c>
      <c r="J486" t="str">
        <f>Base_Itens!E163</f>
        <v>2012-Q6-1</v>
      </c>
      <c r="K486" t="str">
        <f>Base_Itens!G463</f>
        <v>07b — OA-DA</v>
      </c>
      <c r="L486">
        <f>COUNTIFS(Base_Itens!$E$5:$E$1504,J486,Base_Itens!$G$5:$G$1504,K486)</f>
        <v>0</v>
      </c>
    </row>
    <row r="487" spans="1:12">
      <c r="A487" t="s">
        <v>2628</v>
      </c>
      <c r="B487">
        <v>2017</v>
      </c>
      <c r="C487" t="s">
        <v>82</v>
      </c>
      <c r="D487">
        <v>1</v>
      </c>
      <c r="E487">
        <v>1</v>
      </c>
      <c r="F487">
        <f>SUMIF(Base_Itens!$E$5:$E$1504,A487,Base_Itens!$I$5:$I$1504)</f>
        <v>1</v>
      </c>
      <c r="G487">
        <f t="shared" si="24"/>
        <v>0</v>
      </c>
      <c r="H487">
        <f>COUNTIF(Base_Itens!$E$5:$E$1504,A487)</f>
        <v>1</v>
      </c>
      <c r="I487" t="str">
        <f t="shared" si="23"/>
        <v>OK</v>
      </c>
      <c r="J487" t="str">
        <f>Base_Itens!E164</f>
        <v>2012-Q6-2</v>
      </c>
      <c r="K487" t="str">
        <f>Base_Itens!G464</f>
        <v>07b — OA-DA</v>
      </c>
      <c r="L487">
        <f>COUNTIFS(Base_Itens!$E$5:$E$1504,J487,Base_Itens!$G$5:$G$1504,K487)</f>
        <v>0</v>
      </c>
    </row>
    <row r="488" spans="1:12">
      <c r="A488" t="s">
        <v>2629</v>
      </c>
      <c r="B488">
        <v>2017</v>
      </c>
      <c r="C488" t="s">
        <v>82</v>
      </c>
      <c r="D488">
        <v>1</v>
      </c>
      <c r="E488">
        <v>1</v>
      </c>
      <c r="F488">
        <f>SUMIF(Base_Itens!$E$5:$E$1504,A488,Base_Itens!$I$5:$I$1504)</f>
        <v>1</v>
      </c>
      <c r="G488">
        <f t="shared" si="24"/>
        <v>0</v>
      </c>
      <c r="H488">
        <f>COUNTIF(Base_Itens!$E$5:$E$1504,A488)</f>
        <v>1</v>
      </c>
      <c r="I488" t="str">
        <f t="shared" si="23"/>
        <v>OK</v>
      </c>
      <c r="J488" t="str">
        <f>Base_Itens!E165</f>
        <v>2012-Q6-3</v>
      </c>
      <c r="K488" t="str">
        <f>Base_Itens!G465</f>
        <v>08 — Curva de Phillips</v>
      </c>
      <c r="L488">
        <f>COUNTIFS(Base_Itens!$E$5:$E$1504,J488,Base_Itens!$G$5:$G$1504,K488)</f>
        <v>0</v>
      </c>
    </row>
    <row r="489" spans="1:12">
      <c r="A489" t="s">
        <v>2630</v>
      </c>
      <c r="B489">
        <v>2017</v>
      </c>
      <c r="C489" t="s">
        <v>82</v>
      </c>
      <c r="D489">
        <v>1</v>
      </c>
      <c r="E489">
        <v>1</v>
      </c>
      <c r="F489">
        <f>SUMIF(Base_Itens!$E$5:$E$1504,A489,Base_Itens!$I$5:$I$1504)</f>
        <v>1</v>
      </c>
      <c r="G489">
        <f t="shared" si="24"/>
        <v>0</v>
      </c>
      <c r="H489">
        <f>COUNTIF(Base_Itens!$E$5:$E$1504,A489)</f>
        <v>1</v>
      </c>
      <c r="I489" t="str">
        <f t="shared" si="23"/>
        <v>OK</v>
      </c>
      <c r="J489" t="str">
        <f>Base_Itens!E166</f>
        <v>2012-Q6-4</v>
      </c>
      <c r="K489" t="str">
        <f>Base_Itens!G466</f>
        <v>11 — Crescimento Econômico</v>
      </c>
      <c r="L489">
        <f>COUNTIFS(Base_Itens!$E$5:$E$1504,J489,Base_Itens!$G$5:$G$1504,K489)</f>
        <v>0</v>
      </c>
    </row>
    <row r="490" spans="1:12">
      <c r="A490" t="s">
        <v>2631</v>
      </c>
      <c r="B490">
        <v>2017</v>
      </c>
      <c r="C490" t="s">
        <v>82</v>
      </c>
      <c r="D490">
        <v>1</v>
      </c>
      <c r="E490">
        <v>1</v>
      </c>
      <c r="F490">
        <f>SUMIF(Base_Itens!$E$5:$E$1504,A490,Base_Itens!$I$5:$I$1504)</f>
        <v>1</v>
      </c>
      <c r="G490">
        <f t="shared" si="24"/>
        <v>0</v>
      </c>
      <c r="H490">
        <f>COUNTIF(Base_Itens!$E$5:$E$1504,A490)</f>
        <v>1</v>
      </c>
      <c r="I490" t="str">
        <f t="shared" si="23"/>
        <v>OK</v>
      </c>
      <c r="J490" t="str">
        <f>Base_Itens!E167</f>
        <v>2012-Q7-0</v>
      </c>
      <c r="K490" t="str">
        <f>Base_Itens!G467</f>
        <v>11 — Crescimento Econômico</v>
      </c>
      <c r="L490">
        <f>COUNTIFS(Base_Itens!$E$5:$E$1504,J490,Base_Itens!$G$5:$G$1504,K490)</f>
        <v>0</v>
      </c>
    </row>
    <row r="491" spans="1:12">
      <c r="A491" t="s">
        <v>2632</v>
      </c>
      <c r="B491">
        <v>2017</v>
      </c>
      <c r="C491" t="s">
        <v>82</v>
      </c>
      <c r="D491">
        <v>1</v>
      </c>
      <c r="E491">
        <v>1</v>
      </c>
      <c r="F491">
        <f>SUMIF(Base_Itens!$E$5:$E$1504,A491,Base_Itens!$I$5:$I$1504)</f>
        <v>1</v>
      </c>
      <c r="G491">
        <f t="shared" si="24"/>
        <v>0</v>
      </c>
      <c r="H491">
        <f>COUNTIF(Base_Itens!$E$5:$E$1504,A491)</f>
        <v>1</v>
      </c>
      <c r="I491" t="str">
        <f t="shared" si="23"/>
        <v>OK</v>
      </c>
      <c r="J491" t="str">
        <f>Base_Itens!E168</f>
        <v>2012-Q7-1</v>
      </c>
      <c r="K491" t="str">
        <f>Base_Itens!G468</f>
        <v>01 — Contas Nacionais</v>
      </c>
      <c r="L491">
        <f>COUNTIFS(Base_Itens!$E$5:$E$1504,J491,Base_Itens!$G$5:$G$1504,K491)</f>
        <v>0</v>
      </c>
    </row>
    <row r="492" spans="1:12">
      <c r="A492" t="s">
        <v>2633</v>
      </c>
      <c r="B492">
        <v>2017</v>
      </c>
      <c r="C492" t="s">
        <v>82</v>
      </c>
      <c r="D492">
        <v>1</v>
      </c>
      <c r="E492">
        <v>1</v>
      </c>
      <c r="F492">
        <f>SUMIF(Base_Itens!$E$5:$E$1504,A492,Base_Itens!$I$5:$I$1504)</f>
        <v>1</v>
      </c>
      <c r="G492">
        <f t="shared" si="24"/>
        <v>0</v>
      </c>
      <c r="H492">
        <f>COUNTIF(Base_Itens!$E$5:$E$1504,A492)</f>
        <v>1</v>
      </c>
      <c r="I492" t="str">
        <f t="shared" si="23"/>
        <v>OK</v>
      </c>
      <c r="J492" t="str">
        <f>Base_Itens!E169</f>
        <v>2012-Q7-2</v>
      </c>
      <c r="K492" t="str">
        <f>Base_Itens!G469</f>
        <v>01 — Contas Nacionais</v>
      </c>
      <c r="L492">
        <f>COUNTIFS(Base_Itens!$E$5:$E$1504,J492,Base_Itens!$G$5:$G$1504,K492)</f>
        <v>0</v>
      </c>
    </row>
    <row r="493" spans="1:12">
      <c r="A493" t="s">
        <v>2634</v>
      </c>
      <c r="B493">
        <v>2017</v>
      </c>
      <c r="C493" t="s">
        <v>82</v>
      </c>
      <c r="D493">
        <v>1</v>
      </c>
      <c r="E493">
        <v>1</v>
      </c>
      <c r="F493">
        <f>SUMIF(Base_Itens!$E$5:$E$1504,A493,Base_Itens!$I$5:$I$1504)</f>
        <v>1</v>
      </c>
      <c r="G493">
        <f t="shared" si="24"/>
        <v>0</v>
      </c>
      <c r="H493">
        <f>COUNTIF(Base_Itens!$E$5:$E$1504,A493)</f>
        <v>1</v>
      </c>
      <c r="I493" t="str">
        <f t="shared" si="23"/>
        <v>OK</v>
      </c>
      <c r="J493" t="str">
        <f>Base_Itens!E170</f>
        <v>2012-Q7-3</v>
      </c>
      <c r="K493" t="str">
        <f>Base_Itens!G470</f>
        <v>01 — Contas Nacionais</v>
      </c>
      <c r="L493">
        <f>COUNTIFS(Base_Itens!$E$5:$E$1504,J493,Base_Itens!$G$5:$G$1504,K493)</f>
        <v>0</v>
      </c>
    </row>
    <row r="494" spans="1:12">
      <c r="A494" t="s">
        <v>2635</v>
      </c>
      <c r="B494">
        <v>2017</v>
      </c>
      <c r="C494" t="s">
        <v>82</v>
      </c>
      <c r="D494">
        <v>1</v>
      </c>
      <c r="E494">
        <v>1</v>
      </c>
      <c r="F494">
        <f>SUMIF(Base_Itens!$E$5:$E$1504,A494,Base_Itens!$I$5:$I$1504)</f>
        <v>1</v>
      </c>
      <c r="G494">
        <f t="shared" si="24"/>
        <v>0</v>
      </c>
      <c r="H494">
        <f>COUNTIF(Base_Itens!$E$5:$E$1504,A494)</f>
        <v>1</v>
      </c>
      <c r="I494" t="str">
        <f t="shared" si="23"/>
        <v>OK</v>
      </c>
      <c r="J494" t="str">
        <f>Base_Itens!E171</f>
        <v>2012-Q7-4</v>
      </c>
      <c r="K494" t="str">
        <f>Base_Itens!G471</f>
        <v>01 — Contas Nacionais</v>
      </c>
      <c r="L494">
        <f>COUNTIFS(Base_Itens!$E$5:$E$1504,J494,Base_Itens!$G$5:$G$1504,K494)</f>
        <v>0</v>
      </c>
    </row>
    <row r="495" spans="1:12">
      <c r="A495" t="s">
        <v>2636</v>
      </c>
      <c r="B495">
        <v>2017</v>
      </c>
      <c r="C495" t="s">
        <v>82</v>
      </c>
      <c r="D495">
        <v>1</v>
      </c>
      <c r="E495">
        <v>1</v>
      </c>
      <c r="F495">
        <f>SUMIF(Base_Itens!$E$5:$E$1504,A495,Base_Itens!$I$5:$I$1504)</f>
        <v>1</v>
      </c>
      <c r="G495">
        <f t="shared" si="24"/>
        <v>0</v>
      </c>
      <c r="H495">
        <f>COUNTIF(Base_Itens!$E$5:$E$1504,A495)</f>
        <v>1</v>
      </c>
      <c r="I495" t="str">
        <f t="shared" si="23"/>
        <v>OK</v>
      </c>
      <c r="J495" t="str">
        <f>Base_Itens!E172</f>
        <v>2012-Q8-0</v>
      </c>
      <c r="K495" t="str">
        <f>Base_Itens!G472</f>
        <v>01 — Contas Nacionais</v>
      </c>
      <c r="L495">
        <f>COUNTIFS(Base_Itens!$E$5:$E$1504,J495,Base_Itens!$G$5:$G$1504,K495)</f>
        <v>0</v>
      </c>
    </row>
    <row r="496" spans="1:12">
      <c r="A496" t="s">
        <v>2637</v>
      </c>
      <c r="B496">
        <v>2017</v>
      </c>
      <c r="C496" t="s">
        <v>82</v>
      </c>
      <c r="D496">
        <v>1</v>
      </c>
      <c r="E496">
        <v>1</v>
      </c>
      <c r="F496">
        <f>SUMIF(Base_Itens!$E$5:$E$1504,A496,Base_Itens!$I$5:$I$1504)</f>
        <v>1</v>
      </c>
      <c r="G496">
        <f t="shared" si="24"/>
        <v>0</v>
      </c>
      <c r="H496">
        <f>COUNTIF(Base_Itens!$E$5:$E$1504,A496)</f>
        <v>1</v>
      </c>
      <c r="I496" t="str">
        <f t="shared" ref="I496:I499" si="25">IF(AND(G496=0,H496=E196),"OK","REVER")</f>
        <v>OK</v>
      </c>
      <c r="J496" t="str">
        <f>Base_Itens!E173</f>
        <v>2012-Q8-1</v>
      </c>
      <c r="K496" t="str">
        <f>Base_Itens!G473</f>
        <v>01 — Contas Nacionais</v>
      </c>
      <c r="L496">
        <f>COUNTIFS(Base_Itens!$E$5:$E$1504,J496,Base_Itens!$G$5:$G$1504,K496)</f>
        <v>0</v>
      </c>
    </row>
    <row r="497" spans="1:12">
      <c r="A497" t="s">
        <v>2638</v>
      </c>
      <c r="B497">
        <v>2017</v>
      </c>
      <c r="C497" t="s">
        <v>82</v>
      </c>
      <c r="D497">
        <v>1</v>
      </c>
      <c r="E497">
        <v>1</v>
      </c>
      <c r="F497">
        <f>SUMIF(Base_Itens!$E$5:$E$1504,A497,Base_Itens!$I$5:$I$1504)</f>
        <v>1</v>
      </c>
      <c r="G497">
        <f t="shared" si="24"/>
        <v>0</v>
      </c>
      <c r="H497">
        <f>COUNTIF(Base_Itens!$E$5:$E$1504,A497)</f>
        <v>1</v>
      </c>
      <c r="I497" t="str">
        <f t="shared" si="25"/>
        <v>OK</v>
      </c>
      <c r="J497" t="str">
        <f>Base_Itens!E174</f>
        <v>2012-Q8-2</v>
      </c>
      <c r="K497" t="str">
        <f>Base_Itens!G474</f>
        <v>01 — Contas Nacionais</v>
      </c>
      <c r="L497">
        <f>COUNTIFS(Base_Itens!$E$5:$E$1504,J497,Base_Itens!$G$5:$G$1504,K497)</f>
        <v>0</v>
      </c>
    </row>
    <row r="498" spans="1:12">
      <c r="A498" t="s">
        <v>2639</v>
      </c>
      <c r="B498">
        <v>2017</v>
      </c>
      <c r="C498" t="s">
        <v>82</v>
      </c>
      <c r="D498">
        <v>1</v>
      </c>
      <c r="E498">
        <v>1</v>
      </c>
      <c r="F498">
        <f>SUMIF(Base_Itens!$E$5:$E$1504,A498,Base_Itens!$I$5:$I$1504)</f>
        <v>1</v>
      </c>
      <c r="G498">
        <f t="shared" si="24"/>
        <v>0</v>
      </c>
      <c r="H498">
        <f>COUNTIF(Base_Itens!$E$5:$E$1504,A498)</f>
        <v>1</v>
      </c>
      <c r="I498" t="str">
        <f t="shared" si="25"/>
        <v>OK</v>
      </c>
      <c r="J498" t="str">
        <f>Base_Itens!E175</f>
        <v>2012-Q8-3</v>
      </c>
      <c r="K498" t="str">
        <f>Base_Itens!G475</f>
        <v>01 — Contas Nacionais</v>
      </c>
      <c r="L498">
        <f>COUNTIFS(Base_Itens!$E$5:$E$1504,J498,Base_Itens!$G$5:$G$1504,K498)</f>
        <v>0</v>
      </c>
    </row>
    <row r="499" spans="1:12">
      <c r="A499" t="s">
        <v>2640</v>
      </c>
      <c r="B499">
        <v>2017</v>
      </c>
      <c r="C499" t="s">
        <v>82</v>
      </c>
      <c r="D499">
        <v>1</v>
      </c>
      <c r="E499">
        <v>1</v>
      </c>
      <c r="F499">
        <f>SUMIF(Base_Itens!$E$5:$E$1504,A499,Base_Itens!$I$5:$I$1504)</f>
        <v>1</v>
      </c>
      <c r="G499">
        <f t="shared" si="24"/>
        <v>0</v>
      </c>
      <c r="H499">
        <f>COUNTIF(Base_Itens!$E$5:$E$1504,A499)</f>
        <v>1</v>
      </c>
      <c r="I499" t="str">
        <f t="shared" si="25"/>
        <v>OK</v>
      </c>
      <c r="J499" t="str">
        <f>Base_Itens!E176</f>
        <v>2012-Q8-4</v>
      </c>
      <c r="K499" t="str">
        <f>Base_Itens!G476</f>
        <v>02 — Balanço de Pagamentos</v>
      </c>
      <c r="L499">
        <f>COUNTIFS(Base_Itens!$E$5:$E$1504,J499,Base_Itens!$G$5:$G$1504,K499)</f>
        <v>0</v>
      </c>
    </row>
    <row r="500" spans="1:12">
      <c r="A500" t="s">
        <v>2641</v>
      </c>
      <c r="B500">
        <v>2017</v>
      </c>
      <c r="C500" t="s">
        <v>82</v>
      </c>
      <c r="D500">
        <v>1</v>
      </c>
      <c r="E500">
        <v>1</v>
      </c>
      <c r="F500">
        <f>SUMIF(Base_Itens!$E$5:$E$1504,A500,Base_Itens!$I$5:$I$1504)</f>
        <v>1</v>
      </c>
      <c r="G500">
        <f t="shared" si="24"/>
        <v>0</v>
      </c>
      <c r="H500">
        <f>COUNTIF(Base_Itens!$E$5:$E$1504,A500)</f>
        <v>1</v>
      </c>
      <c r="I500" t="str">
        <f t="shared" ref="I500:I531" si="26">IF(AND(G500=0,H500=E500),"OK","REVER")</f>
        <v>OK</v>
      </c>
      <c r="J500" t="str">
        <f>Base_Itens!E177</f>
        <v>2012-Q9-0</v>
      </c>
      <c r="K500" t="str">
        <f>Base_Itens!G477</f>
        <v>02 — Balanço de Pagamentos</v>
      </c>
      <c r="L500">
        <f>COUNTIFS(Base_Itens!$E$5:$E$1504,J500,Base_Itens!$G$5:$G$1504,K500)</f>
        <v>0</v>
      </c>
    </row>
    <row r="501" spans="1:12">
      <c r="A501" t="s">
        <v>2642</v>
      </c>
      <c r="B501">
        <v>2017</v>
      </c>
      <c r="C501" t="s">
        <v>82</v>
      </c>
      <c r="D501">
        <v>1</v>
      </c>
      <c r="E501">
        <v>1</v>
      </c>
      <c r="F501">
        <f>SUMIF(Base_Itens!$E$5:$E$1504,A501,Base_Itens!$I$5:$I$1504)</f>
        <v>1</v>
      </c>
      <c r="G501">
        <f t="shared" si="24"/>
        <v>0</v>
      </c>
      <c r="H501">
        <f>COUNTIF(Base_Itens!$E$5:$E$1504,A501)</f>
        <v>1</v>
      </c>
      <c r="I501" t="str">
        <f t="shared" si="26"/>
        <v>OK</v>
      </c>
      <c r="J501" t="str">
        <f>Base_Itens!E178</f>
        <v>2012-Q9-1</v>
      </c>
      <c r="K501" t="str">
        <f>Base_Itens!G478</f>
        <v>05 — IS-LM</v>
      </c>
      <c r="L501">
        <f>COUNTIFS(Base_Itens!$E$5:$E$1504,J501,Base_Itens!$G$5:$G$1504,K501)</f>
        <v>0</v>
      </c>
    </row>
    <row r="502" spans="1:12">
      <c r="A502" t="s">
        <v>2643</v>
      </c>
      <c r="B502">
        <v>2017</v>
      </c>
      <c r="C502" t="s">
        <v>82</v>
      </c>
      <c r="D502">
        <v>1</v>
      </c>
      <c r="E502">
        <v>1</v>
      </c>
      <c r="F502">
        <f>SUMIF(Base_Itens!$E$5:$E$1504,A502,Base_Itens!$I$5:$I$1504)</f>
        <v>1</v>
      </c>
      <c r="G502">
        <f t="shared" si="24"/>
        <v>0</v>
      </c>
      <c r="H502">
        <f>COUNTIF(Base_Itens!$E$5:$E$1504,A502)</f>
        <v>1</v>
      </c>
      <c r="I502" t="str">
        <f t="shared" si="26"/>
        <v>OK</v>
      </c>
      <c r="J502" t="str">
        <f>Base_Itens!E179</f>
        <v>2012-Q9-2</v>
      </c>
      <c r="K502" t="str">
        <f>Base_Itens!G479</f>
        <v>05 — IS-LM</v>
      </c>
      <c r="L502">
        <f>COUNTIFS(Base_Itens!$E$5:$E$1504,J502,Base_Itens!$G$5:$G$1504,K502)</f>
        <v>0</v>
      </c>
    </row>
    <row r="503" spans="1:12">
      <c r="A503" t="s">
        <v>2644</v>
      </c>
      <c r="B503">
        <v>2017</v>
      </c>
      <c r="C503" t="s">
        <v>82</v>
      </c>
      <c r="D503">
        <v>1</v>
      </c>
      <c r="E503">
        <v>1</v>
      </c>
      <c r="F503">
        <f>SUMIF(Base_Itens!$E$5:$E$1504,A503,Base_Itens!$I$5:$I$1504)</f>
        <v>1</v>
      </c>
      <c r="G503">
        <f t="shared" si="24"/>
        <v>0</v>
      </c>
      <c r="H503">
        <f>COUNTIF(Base_Itens!$E$5:$E$1504,A503)</f>
        <v>1</v>
      </c>
      <c r="I503" t="str">
        <f t="shared" si="26"/>
        <v>OK</v>
      </c>
      <c r="J503" t="str">
        <f>Base_Itens!E180</f>
        <v>2012-Q9-3</v>
      </c>
      <c r="K503" t="str">
        <f>Base_Itens!G480</f>
        <v>05 — IS-LM</v>
      </c>
      <c r="L503">
        <f>COUNTIFS(Base_Itens!$E$5:$E$1504,J503,Base_Itens!$G$5:$G$1504,K503)</f>
        <v>0</v>
      </c>
    </row>
    <row r="504" spans="1:12">
      <c r="A504" t="s">
        <v>2645</v>
      </c>
      <c r="B504">
        <v>2017</v>
      </c>
      <c r="C504" t="s">
        <v>82</v>
      </c>
      <c r="D504">
        <v>1</v>
      </c>
      <c r="E504">
        <v>2</v>
      </c>
      <c r="F504">
        <f>SUMIF(Base_Itens!$E$5:$E$1504,A504,Base_Itens!$I$5:$I$1504)</f>
        <v>1</v>
      </c>
      <c r="G504">
        <f t="shared" si="24"/>
        <v>0</v>
      </c>
      <c r="H504">
        <f>COUNTIF(Base_Itens!$E$5:$E$1504,A504)</f>
        <v>2</v>
      </c>
      <c r="I504" t="str">
        <f t="shared" si="26"/>
        <v>OK</v>
      </c>
      <c r="J504" t="str">
        <f>Base_Itens!E181</f>
        <v>2012-Q9-4</v>
      </c>
      <c r="K504" t="str">
        <f>Base_Itens!G481</f>
        <v>05 — IS-LM</v>
      </c>
      <c r="L504">
        <f>COUNTIFS(Base_Itens!$E$5:$E$1504,J504,Base_Itens!$G$5:$G$1504,K504)</f>
        <v>0</v>
      </c>
    </row>
    <row r="505" spans="1:12">
      <c r="A505" t="s">
        <v>2646</v>
      </c>
      <c r="B505">
        <v>2017</v>
      </c>
      <c r="C505" t="s">
        <v>82</v>
      </c>
      <c r="D505">
        <v>1</v>
      </c>
      <c r="E505">
        <v>1</v>
      </c>
      <c r="F505">
        <f>SUMIF(Base_Itens!$E$5:$E$1504,A505,Base_Itens!$I$5:$I$1504)</f>
        <v>1</v>
      </c>
      <c r="G505">
        <f t="shared" si="24"/>
        <v>0</v>
      </c>
      <c r="H505">
        <f>COUNTIF(Base_Itens!$E$5:$E$1504,A505)</f>
        <v>1</v>
      </c>
      <c r="I505" t="str">
        <f t="shared" si="26"/>
        <v>OK</v>
      </c>
      <c r="J505" t="str">
        <f>Base_Itens!E182</f>
        <v>2012-Q10-0</v>
      </c>
      <c r="K505" t="str">
        <f>Base_Itens!G482</f>
        <v>05 — IS-LM</v>
      </c>
      <c r="L505">
        <f>COUNTIFS(Base_Itens!$E$5:$E$1504,J505,Base_Itens!$G$5:$G$1504,K505)</f>
        <v>0</v>
      </c>
    </row>
    <row r="506" spans="1:12">
      <c r="A506" t="s">
        <v>2647</v>
      </c>
      <c r="B506">
        <v>2017</v>
      </c>
      <c r="C506" t="s">
        <v>82</v>
      </c>
      <c r="D506">
        <v>1</v>
      </c>
      <c r="E506">
        <v>1</v>
      </c>
      <c r="F506">
        <f>SUMIF(Base_Itens!$E$5:$E$1504,A506,Base_Itens!$I$5:$I$1504)</f>
        <v>1</v>
      </c>
      <c r="G506">
        <f t="shared" si="24"/>
        <v>0</v>
      </c>
      <c r="H506">
        <f>COUNTIF(Base_Itens!$E$5:$E$1504,A506)</f>
        <v>1</v>
      </c>
      <c r="I506" t="str">
        <f t="shared" si="26"/>
        <v>OK</v>
      </c>
      <c r="J506" t="str">
        <f>Base_Itens!E183</f>
        <v>2012-Q10-1</v>
      </c>
      <c r="K506" t="str">
        <f>Base_Itens!G483</f>
        <v>06 — IS-LM-BP</v>
      </c>
      <c r="L506">
        <f>COUNTIFS(Base_Itens!$E$5:$E$1504,J506,Base_Itens!$G$5:$G$1504,K506)</f>
        <v>1</v>
      </c>
    </row>
    <row r="507" spans="1:12">
      <c r="A507" t="s">
        <v>2648</v>
      </c>
      <c r="B507">
        <v>2017</v>
      </c>
      <c r="C507" t="s">
        <v>82</v>
      </c>
      <c r="D507">
        <v>1</v>
      </c>
      <c r="E507">
        <v>1</v>
      </c>
      <c r="F507">
        <f>SUMIF(Base_Itens!$E$5:$E$1504,A507,Base_Itens!$I$5:$I$1504)</f>
        <v>1</v>
      </c>
      <c r="G507">
        <f t="shared" si="24"/>
        <v>0</v>
      </c>
      <c r="H507">
        <f>COUNTIF(Base_Itens!$E$5:$E$1504,A507)</f>
        <v>1</v>
      </c>
      <c r="I507" t="str">
        <f t="shared" si="26"/>
        <v>OK</v>
      </c>
      <c r="J507" t="str">
        <f>Base_Itens!E184</f>
        <v>2012-Q10-2</v>
      </c>
      <c r="K507" t="str">
        <f>Base_Itens!G484</f>
        <v>06 — IS-LM-BP</v>
      </c>
      <c r="L507">
        <f>COUNTIFS(Base_Itens!$E$5:$E$1504,J507,Base_Itens!$G$5:$G$1504,K507)</f>
        <v>1</v>
      </c>
    </row>
    <row r="508" spans="1:12">
      <c r="A508" t="s">
        <v>2649</v>
      </c>
      <c r="B508">
        <v>2017</v>
      </c>
      <c r="C508" t="s">
        <v>82</v>
      </c>
      <c r="D508">
        <v>1</v>
      </c>
      <c r="E508">
        <v>1</v>
      </c>
      <c r="F508">
        <f>SUMIF(Base_Itens!$E$5:$E$1504,A508,Base_Itens!$I$5:$I$1504)</f>
        <v>1</v>
      </c>
      <c r="G508">
        <f t="shared" si="24"/>
        <v>0</v>
      </c>
      <c r="H508">
        <f>COUNTIF(Base_Itens!$E$5:$E$1504,A508)</f>
        <v>1</v>
      </c>
      <c r="I508" t="str">
        <f t="shared" si="26"/>
        <v>OK</v>
      </c>
      <c r="J508" t="str">
        <f>Base_Itens!E185</f>
        <v>2012-Q10-3</v>
      </c>
      <c r="K508" t="str">
        <f>Base_Itens!G485</f>
        <v>06 — IS-LM-BP</v>
      </c>
      <c r="L508">
        <f>COUNTIFS(Base_Itens!$E$5:$E$1504,J508,Base_Itens!$G$5:$G$1504,K508)</f>
        <v>1</v>
      </c>
    </row>
    <row r="509" spans="1:12">
      <c r="A509" t="s">
        <v>2650</v>
      </c>
      <c r="B509">
        <v>2017</v>
      </c>
      <c r="C509" t="s">
        <v>82</v>
      </c>
      <c r="D509">
        <v>1</v>
      </c>
      <c r="E509">
        <v>1</v>
      </c>
      <c r="F509">
        <f>SUMIF(Base_Itens!$E$5:$E$1504,A509,Base_Itens!$I$5:$I$1504)</f>
        <v>1</v>
      </c>
      <c r="G509">
        <f t="shared" si="24"/>
        <v>0</v>
      </c>
      <c r="H509">
        <f>COUNTIF(Base_Itens!$E$5:$E$1504,A509)</f>
        <v>1</v>
      </c>
      <c r="I509" t="str">
        <f t="shared" si="26"/>
        <v>OK</v>
      </c>
      <c r="J509" t="str">
        <f>Base_Itens!E186</f>
        <v>2012-Q10-4</v>
      </c>
      <c r="K509" t="str">
        <f>Base_Itens!G486</f>
        <v>06 — IS-LM-BP</v>
      </c>
      <c r="L509">
        <f>COUNTIFS(Base_Itens!$E$5:$E$1504,J509,Base_Itens!$G$5:$G$1504,K509)</f>
        <v>1</v>
      </c>
    </row>
    <row r="510" spans="1:12">
      <c r="A510" t="s">
        <v>2651</v>
      </c>
      <c r="B510">
        <v>2017</v>
      </c>
      <c r="C510" t="s">
        <v>82</v>
      </c>
      <c r="D510">
        <v>1</v>
      </c>
      <c r="E510">
        <v>1</v>
      </c>
      <c r="F510">
        <f>SUMIF(Base_Itens!$E$5:$E$1504,A510,Base_Itens!$I$5:$I$1504)</f>
        <v>1</v>
      </c>
      <c r="G510">
        <f t="shared" si="24"/>
        <v>0</v>
      </c>
      <c r="H510">
        <f>COUNTIF(Base_Itens!$E$5:$E$1504,A510)</f>
        <v>1</v>
      </c>
      <c r="I510" t="str">
        <f t="shared" si="26"/>
        <v>OK</v>
      </c>
      <c r="J510" t="str">
        <f>Base_Itens!E187</f>
        <v>2012-Q11-0</v>
      </c>
      <c r="K510" t="str">
        <f>Base_Itens!G487</f>
        <v>06 — IS-LM-BP</v>
      </c>
      <c r="L510">
        <f>COUNTIFS(Base_Itens!$E$5:$E$1504,J510,Base_Itens!$G$5:$G$1504,K510)</f>
        <v>0</v>
      </c>
    </row>
    <row r="511" spans="1:12">
      <c r="A511" t="s">
        <v>2652</v>
      </c>
      <c r="B511">
        <v>2017</v>
      </c>
      <c r="C511" t="s">
        <v>82</v>
      </c>
      <c r="D511">
        <v>1</v>
      </c>
      <c r="E511">
        <v>1</v>
      </c>
      <c r="F511">
        <f>SUMIF(Base_Itens!$E$5:$E$1504,A511,Base_Itens!$I$5:$I$1504)</f>
        <v>1</v>
      </c>
      <c r="G511">
        <f t="shared" si="24"/>
        <v>0</v>
      </c>
      <c r="H511">
        <f>COUNTIF(Base_Itens!$E$5:$E$1504,A511)</f>
        <v>1</v>
      </c>
      <c r="I511" t="str">
        <f t="shared" si="26"/>
        <v>OK</v>
      </c>
      <c r="J511" t="str">
        <f>Base_Itens!E188</f>
        <v>2012-Q11-1</v>
      </c>
      <c r="K511" t="str">
        <f>Base_Itens!G488</f>
        <v>06 — IS-LM-BP</v>
      </c>
      <c r="L511">
        <f>COUNTIFS(Base_Itens!$E$5:$E$1504,J511,Base_Itens!$G$5:$G$1504,K511)</f>
        <v>0</v>
      </c>
    </row>
    <row r="512" spans="1:12">
      <c r="A512" t="s">
        <v>2653</v>
      </c>
      <c r="B512">
        <v>2017</v>
      </c>
      <c r="C512" t="s">
        <v>82</v>
      </c>
      <c r="D512">
        <v>1</v>
      </c>
      <c r="E512">
        <v>1</v>
      </c>
      <c r="F512">
        <f>SUMIF(Base_Itens!$E$5:$E$1504,A512,Base_Itens!$I$5:$I$1504)</f>
        <v>1</v>
      </c>
      <c r="G512">
        <f t="shared" si="24"/>
        <v>0</v>
      </c>
      <c r="H512">
        <f>COUNTIF(Base_Itens!$E$5:$E$1504,A512)</f>
        <v>1</v>
      </c>
      <c r="I512" t="str">
        <f t="shared" si="26"/>
        <v>OK</v>
      </c>
      <c r="J512" t="str">
        <f>Base_Itens!E189</f>
        <v>2012-Q11-2</v>
      </c>
      <c r="K512" t="str">
        <f>Base_Itens!G489</f>
        <v>06 — IS-LM-BP</v>
      </c>
      <c r="L512">
        <f>COUNTIFS(Base_Itens!$E$5:$E$1504,J512,Base_Itens!$G$5:$G$1504,K512)</f>
        <v>0</v>
      </c>
    </row>
    <row r="513" spans="1:12">
      <c r="A513" t="s">
        <v>2654</v>
      </c>
      <c r="B513">
        <v>2017</v>
      </c>
      <c r="C513" t="s">
        <v>82</v>
      </c>
      <c r="D513">
        <v>1</v>
      </c>
      <c r="E513">
        <v>1</v>
      </c>
      <c r="F513">
        <f>SUMIF(Base_Itens!$E$5:$E$1504,A513,Base_Itens!$I$5:$I$1504)</f>
        <v>1</v>
      </c>
      <c r="G513">
        <f t="shared" si="24"/>
        <v>0</v>
      </c>
      <c r="H513">
        <f>COUNTIF(Base_Itens!$E$5:$E$1504,A513)</f>
        <v>1</v>
      </c>
      <c r="I513" t="str">
        <f t="shared" si="26"/>
        <v>OK</v>
      </c>
      <c r="J513" t="str">
        <f>Base_Itens!E190</f>
        <v>2012-Q11-3</v>
      </c>
      <c r="K513" t="str">
        <f>Base_Itens!G490</f>
        <v>06 — IS-LM-BP</v>
      </c>
      <c r="L513">
        <f>COUNTIFS(Base_Itens!$E$5:$E$1504,J513,Base_Itens!$G$5:$G$1504,K513)</f>
        <v>0</v>
      </c>
    </row>
    <row r="514" spans="1:12">
      <c r="A514" t="s">
        <v>2655</v>
      </c>
      <c r="B514">
        <v>2017</v>
      </c>
      <c r="C514" t="s">
        <v>82</v>
      </c>
      <c r="D514">
        <v>1</v>
      </c>
      <c r="E514">
        <v>1</v>
      </c>
      <c r="F514">
        <f>SUMIF(Base_Itens!$E$5:$E$1504,A514,Base_Itens!$I$5:$I$1504)</f>
        <v>1</v>
      </c>
      <c r="G514">
        <f t="shared" si="24"/>
        <v>0</v>
      </c>
      <c r="H514">
        <f>COUNTIF(Base_Itens!$E$5:$E$1504,A514)</f>
        <v>1</v>
      </c>
      <c r="I514" t="str">
        <f t="shared" si="26"/>
        <v>OK</v>
      </c>
      <c r="J514" t="str">
        <f>Base_Itens!E191</f>
        <v>2012-Q11-4</v>
      </c>
      <c r="K514" t="str">
        <f>Base_Itens!G491</f>
        <v>06 — IS-LM-BP</v>
      </c>
      <c r="L514">
        <f>COUNTIFS(Base_Itens!$E$5:$E$1504,J514,Base_Itens!$G$5:$G$1504,K514)</f>
        <v>0</v>
      </c>
    </row>
    <row r="515" spans="1:12">
      <c r="A515" t="s">
        <v>2656</v>
      </c>
      <c r="B515">
        <v>2017</v>
      </c>
      <c r="C515" t="s">
        <v>82</v>
      </c>
      <c r="D515">
        <v>1</v>
      </c>
      <c r="E515">
        <v>1</v>
      </c>
      <c r="F515">
        <f>SUMIF(Base_Itens!$E$5:$E$1504,A515,Base_Itens!$I$5:$I$1504)</f>
        <v>1</v>
      </c>
      <c r="G515">
        <f t="shared" si="24"/>
        <v>0</v>
      </c>
      <c r="H515">
        <f>COUNTIF(Base_Itens!$E$5:$E$1504,A515)</f>
        <v>1</v>
      </c>
      <c r="I515" t="str">
        <f t="shared" si="26"/>
        <v>OK</v>
      </c>
      <c r="J515" t="str">
        <f>Base_Itens!E192</f>
        <v>2012-Q12-0</v>
      </c>
      <c r="K515" t="str">
        <f>Base_Itens!G492</f>
        <v>06 — IS-LM-BP</v>
      </c>
      <c r="L515">
        <f>COUNTIFS(Base_Itens!$E$5:$E$1504,J515,Base_Itens!$G$5:$G$1504,K515)</f>
        <v>0</v>
      </c>
    </row>
    <row r="516" spans="1:12">
      <c r="A516" t="s">
        <v>2657</v>
      </c>
      <c r="B516">
        <v>2017</v>
      </c>
      <c r="C516" t="s">
        <v>82</v>
      </c>
      <c r="D516">
        <v>1</v>
      </c>
      <c r="E516">
        <v>1</v>
      </c>
      <c r="F516">
        <f>SUMIF(Base_Itens!$E$5:$E$1504,A516,Base_Itens!$I$5:$I$1504)</f>
        <v>1</v>
      </c>
      <c r="G516">
        <f t="shared" si="24"/>
        <v>0</v>
      </c>
      <c r="H516">
        <f>COUNTIF(Base_Itens!$E$5:$E$1504,A516)</f>
        <v>1</v>
      </c>
      <c r="I516" t="str">
        <f t="shared" si="26"/>
        <v>OK</v>
      </c>
      <c r="J516" t="str">
        <f>Base_Itens!E193</f>
        <v>2012-Q12-1</v>
      </c>
      <c r="K516" t="str">
        <f>Base_Itens!G493</f>
        <v>12 — Consumo</v>
      </c>
      <c r="L516">
        <f>COUNTIFS(Base_Itens!$E$5:$E$1504,J516,Base_Itens!$G$5:$G$1504,K516)</f>
        <v>0</v>
      </c>
    </row>
    <row r="517" spans="1:12">
      <c r="A517" t="s">
        <v>2658</v>
      </c>
      <c r="B517">
        <v>2017</v>
      </c>
      <c r="C517" t="s">
        <v>82</v>
      </c>
      <c r="D517">
        <v>1</v>
      </c>
      <c r="E517">
        <v>1</v>
      </c>
      <c r="F517">
        <f>SUMIF(Base_Itens!$E$5:$E$1504,A517,Base_Itens!$I$5:$I$1504)</f>
        <v>1</v>
      </c>
      <c r="G517">
        <f t="shared" si="24"/>
        <v>0</v>
      </c>
      <c r="H517">
        <f>COUNTIF(Base_Itens!$E$5:$E$1504,A517)</f>
        <v>1</v>
      </c>
      <c r="I517" t="str">
        <f t="shared" si="26"/>
        <v>OK</v>
      </c>
      <c r="J517" t="str">
        <f>Base_Itens!E194</f>
        <v>2012-Q12-2</v>
      </c>
      <c r="K517" t="str">
        <f>Base_Itens!G494</f>
        <v>12 — Consumo</v>
      </c>
      <c r="L517">
        <f>COUNTIFS(Base_Itens!$E$5:$E$1504,J517,Base_Itens!$G$5:$G$1504,K517)</f>
        <v>0</v>
      </c>
    </row>
    <row r="518" spans="1:12">
      <c r="A518" t="s">
        <v>2659</v>
      </c>
      <c r="B518">
        <v>2017</v>
      </c>
      <c r="C518" t="s">
        <v>82</v>
      </c>
      <c r="D518">
        <v>1</v>
      </c>
      <c r="E518">
        <v>1</v>
      </c>
      <c r="F518">
        <f>SUMIF(Base_Itens!$E$5:$E$1504,A518,Base_Itens!$I$5:$I$1504)</f>
        <v>1</v>
      </c>
      <c r="G518">
        <f t="shared" si="24"/>
        <v>0</v>
      </c>
      <c r="H518">
        <f>COUNTIF(Base_Itens!$E$5:$E$1504,A518)</f>
        <v>1</v>
      </c>
      <c r="I518" t="str">
        <f t="shared" si="26"/>
        <v>OK</v>
      </c>
      <c r="J518" t="str">
        <f>Base_Itens!E195</f>
        <v>2012-Q12-3</v>
      </c>
      <c r="K518" t="str">
        <f>Base_Itens!G495</f>
        <v>12 — Consumo</v>
      </c>
      <c r="L518">
        <f>COUNTIFS(Base_Itens!$E$5:$E$1504,J518,Base_Itens!$G$5:$G$1504,K518)</f>
        <v>0</v>
      </c>
    </row>
    <row r="519" spans="1:12">
      <c r="A519" t="s">
        <v>2660</v>
      </c>
      <c r="B519">
        <v>2017</v>
      </c>
      <c r="C519" t="s">
        <v>82</v>
      </c>
      <c r="D519">
        <v>1</v>
      </c>
      <c r="E519">
        <v>1</v>
      </c>
      <c r="F519">
        <f>SUMIF(Base_Itens!$E$5:$E$1504,A519,Base_Itens!$I$5:$I$1504)</f>
        <v>1</v>
      </c>
      <c r="G519">
        <f t="shared" si="24"/>
        <v>0</v>
      </c>
      <c r="H519">
        <f>COUNTIF(Base_Itens!$E$5:$E$1504,A519)</f>
        <v>1</v>
      </c>
      <c r="I519" t="str">
        <f t="shared" si="26"/>
        <v>OK</v>
      </c>
      <c r="J519" t="str">
        <f>Base_Itens!E196</f>
        <v>2012-Q12-4</v>
      </c>
      <c r="K519" t="str">
        <f>Base_Itens!G496</f>
        <v>12 — Consumo</v>
      </c>
      <c r="L519">
        <f>COUNTIFS(Base_Itens!$E$5:$E$1504,J519,Base_Itens!$G$5:$G$1504,K519)</f>
        <v>0</v>
      </c>
    </row>
    <row r="520" spans="1:12">
      <c r="A520" t="s">
        <v>2661</v>
      </c>
      <c r="B520">
        <v>2017</v>
      </c>
      <c r="C520" t="s">
        <v>82</v>
      </c>
      <c r="D520">
        <v>1</v>
      </c>
      <c r="E520">
        <v>1</v>
      </c>
      <c r="F520">
        <f>SUMIF(Base_Itens!$E$5:$E$1504,A520,Base_Itens!$I$5:$I$1504)</f>
        <v>1</v>
      </c>
      <c r="G520">
        <f t="shared" si="24"/>
        <v>0</v>
      </c>
      <c r="H520">
        <f>COUNTIF(Base_Itens!$E$5:$E$1504,A520)</f>
        <v>1</v>
      </c>
      <c r="I520" t="str">
        <f t="shared" si="26"/>
        <v>OK</v>
      </c>
      <c r="J520" t="str">
        <f>Base_Itens!E197</f>
        <v>2012-Q12-4</v>
      </c>
      <c r="K520" t="str">
        <f>Base_Itens!G497</f>
        <v>13 — Investimento</v>
      </c>
      <c r="L520">
        <f>COUNTIFS(Base_Itens!$E$5:$E$1504,J520,Base_Itens!$G$5:$G$1504,K520)</f>
        <v>0</v>
      </c>
    </row>
    <row r="521" spans="1:12">
      <c r="A521" t="s">
        <v>2662</v>
      </c>
      <c r="B521">
        <v>2017</v>
      </c>
      <c r="C521" t="s">
        <v>82</v>
      </c>
      <c r="D521">
        <v>1</v>
      </c>
      <c r="E521">
        <v>1</v>
      </c>
      <c r="F521">
        <f>SUMIF(Base_Itens!$E$5:$E$1504,A521,Base_Itens!$I$5:$I$1504)</f>
        <v>1</v>
      </c>
      <c r="G521">
        <f t="shared" si="24"/>
        <v>0</v>
      </c>
      <c r="H521">
        <f>COUNTIF(Base_Itens!$E$5:$E$1504,A521)</f>
        <v>1</v>
      </c>
      <c r="I521" t="str">
        <f t="shared" si="26"/>
        <v>OK</v>
      </c>
      <c r="J521" t="str">
        <f>Base_Itens!E198</f>
        <v>2012-Q13-0</v>
      </c>
      <c r="K521" t="str">
        <f>Base_Itens!G498</f>
        <v>08 — Curva de Phillips</v>
      </c>
      <c r="L521">
        <f>COUNTIFS(Base_Itens!$E$5:$E$1504,J521,Base_Itens!$G$5:$G$1504,K521)</f>
        <v>0</v>
      </c>
    </row>
    <row r="522" spans="1:12">
      <c r="A522" t="s">
        <v>2663</v>
      </c>
      <c r="B522">
        <v>2017</v>
      </c>
      <c r="C522" t="s">
        <v>82</v>
      </c>
      <c r="D522">
        <v>1</v>
      </c>
      <c r="E522">
        <v>1</v>
      </c>
      <c r="F522">
        <f>SUMIF(Base_Itens!$E$5:$E$1504,A522,Base_Itens!$I$5:$I$1504)</f>
        <v>1</v>
      </c>
      <c r="G522">
        <f t="shared" si="24"/>
        <v>0</v>
      </c>
      <c r="H522">
        <f>COUNTIF(Base_Itens!$E$5:$E$1504,A522)</f>
        <v>1</v>
      </c>
      <c r="I522" t="str">
        <f t="shared" si="26"/>
        <v>OK</v>
      </c>
      <c r="J522" t="str">
        <f>Base_Itens!E199</f>
        <v>2012-Q13-1</v>
      </c>
      <c r="K522" t="str">
        <f>Base_Itens!G499</f>
        <v>07b — OA-DA</v>
      </c>
      <c r="L522">
        <f>COUNTIFS(Base_Itens!$E$5:$E$1504,J522,Base_Itens!$G$5:$G$1504,K522)</f>
        <v>0</v>
      </c>
    </row>
    <row r="523" spans="1:12">
      <c r="A523" t="s">
        <v>2664</v>
      </c>
      <c r="B523">
        <v>2017</v>
      </c>
      <c r="C523" t="s">
        <v>82</v>
      </c>
      <c r="D523">
        <v>1</v>
      </c>
      <c r="E523">
        <v>1</v>
      </c>
      <c r="F523">
        <f>SUMIF(Base_Itens!$E$5:$E$1504,A523,Base_Itens!$I$5:$I$1504)</f>
        <v>1</v>
      </c>
      <c r="G523">
        <f t="shared" si="24"/>
        <v>0</v>
      </c>
      <c r="H523">
        <f>COUNTIF(Base_Itens!$E$5:$E$1504,A523)</f>
        <v>1</v>
      </c>
      <c r="I523" t="str">
        <f t="shared" si="26"/>
        <v>OK</v>
      </c>
      <c r="J523" t="str">
        <f>Base_Itens!E500</f>
        <v>2017-Q7-1</v>
      </c>
      <c r="K523" t="str">
        <f>Base_Itens!G500</f>
        <v>08 — Curva de Phillips</v>
      </c>
      <c r="L523">
        <f>COUNTIFS(Base_Itens!$E$5:$E$1504,J523,Base_Itens!$G$5:$G$1504,K523)</f>
        <v>1</v>
      </c>
    </row>
    <row r="524" spans="1:12">
      <c r="A524" t="s">
        <v>2665</v>
      </c>
      <c r="B524">
        <v>2017</v>
      </c>
      <c r="C524" t="s">
        <v>82</v>
      </c>
      <c r="D524">
        <v>1</v>
      </c>
      <c r="E524">
        <v>1</v>
      </c>
      <c r="F524">
        <f>SUMIF(Base_Itens!$E$5:$E$1504,A524,Base_Itens!$I$5:$I$1504)</f>
        <v>1</v>
      </c>
      <c r="G524">
        <f t="shared" si="24"/>
        <v>0</v>
      </c>
      <c r="H524">
        <f>COUNTIF(Base_Itens!$E$5:$E$1504,A524)</f>
        <v>1</v>
      </c>
      <c r="I524" t="str">
        <f t="shared" si="26"/>
        <v>OK</v>
      </c>
      <c r="J524" t="str">
        <f>Base_Itens!E501</f>
        <v>2017-Q7-2</v>
      </c>
      <c r="K524" t="str">
        <f>Base_Itens!G501</f>
        <v>08 — Curva de Phillips</v>
      </c>
      <c r="L524">
        <f>COUNTIFS(Base_Itens!$E$5:$E$1504,J524,Base_Itens!$G$5:$G$1504,K524)</f>
        <v>1</v>
      </c>
    </row>
    <row r="525" spans="1:12">
      <c r="A525" t="s">
        <v>2666</v>
      </c>
      <c r="B525">
        <v>2017</v>
      </c>
      <c r="C525" t="s">
        <v>82</v>
      </c>
      <c r="D525">
        <v>1</v>
      </c>
      <c r="E525">
        <v>1</v>
      </c>
      <c r="F525">
        <f>SUMIF(Base_Itens!$E$5:$E$1504,A525,Base_Itens!$I$5:$I$1504)</f>
        <v>1</v>
      </c>
      <c r="G525">
        <f t="shared" si="24"/>
        <v>0</v>
      </c>
      <c r="H525">
        <f>COUNTIF(Base_Itens!$E$5:$E$1504,A525)</f>
        <v>1</v>
      </c>
      <c r="I525" t="str">
        <f t="shared" si="26"/>
        <v>OK</v>
      </c>
      <c r="J525" t="str">
        <f>Base_Itens!E502</f>
        <v>2017-Q7-3</v>
      </c>
      <c r="K525" t="str">
        <f>Base_Itens!G502</f>
        <v>08 — Curva de Phillips</v>
      </c>
      <c r="L525">
        <f>COUNTIFS(Base_Itens!$E$5:$E$1504,J525,Base_Itens!$G$5:$G$1504,K525)</f>
        <v>1</v>
      </c>
    </row>
    <row r="526" spans="1:12">
      <c r="A526" t="s">
        <v>2667</v>
      </c>
      <c r="B526">
        <v>2017</v>
      </c>
      <c r="C526" t="s">
        <v>82</v>
      </c>
      <c r="D526">
        <v>1</v>
      </c>
      <c r="E526">
        <v>1</v>
      </c>
      <c r="F526">
        <f>SUMIF(Base_Itens!$E$5:$E$1504,A526,Base_Itens!$I$5:$I$1504)</f>
        <v>1</v>
      </c>
      <c r="G526">
        <f t="shared" si="24"/>
        <v>0</v>
      </c>
      <c r="H526">
        <f>COUNTIF(Base_Itens!$E$5:$E$1504,A526)</f>
        <v>1</v>
      </c>
      <c r="I526" t="str">
        <f t="shared" si="26"/>
        <v>OK</v>
      </c>
      <c r="J526" t="str">
        <f>Base_Itens!E503</f>
        <v>2017-Q7-4</v>
      </c>
      <c r="K526" t="str">
        <f>Base_Itens!G503</f>
        <v>08 — Curva de Phillips</v>
      </c>
      <c r="L526">
        <f>COUNTIFS(Base_Itens!$E$5:$E$1504,J526,Base_Itens!$G$5:$G$1504,K526)</f>
        <v>1</v>
      </c>
    </row>
    <row r="527" spans="1:12">
      <c r="A527" t="s">
        <v>2668</v>
      </c>
      <c r="B527">
        <v>2017</v>
      </c>
      <c r="C527" t="s">
        <v>82</v>
      </c>
      <c r="D527">
        <v>1</v>
      </c>
      <c r="E527">
        <v>1</v>
      </c>
      <c r="F527">
        <f>SUMIF(Base_Itens!$E$5:$E$1504,A527,Base_Itens!$I$5:$I$1504)</f>
        <v>1</v>
      </c>
      <c r="G527">
        <f t="shared" si="24"/>
        <v>0</v>
      </c>
      <c r="H527">
        <f>COUNTIF(Base_Itens!$E$5:$E$1504,A527)</f>
        <v>1</v>
      </c>
      <c r="I527" t="str">
        <f t="shared" si="26"/>
        <v>OK</v>
      </c>
      <c r="J527" t="str">
        <f>Base_Itens!E504</f>
        <v>2017-Q8-0</v>
      </c>
      <c r="K527" t="str">
        <f>Base_Itens!G504</f>
        <v>08 — Curva de Phillips</v>
      </c>
      <c r="L527">
        <f>COUNTIFS(Base_Itens!$E$5:$E$1504,J527,Base_Itens!$G$5:$G$1504,K527)</f>
        <v>1</v>
      </c>
    </row>
    <row r="528" spans="1:12">
      <c r="A528" t="s">
        <v>2669</v>
      </c>
      <c r="B528">
        <v>2017</v>
      </c>
      <c r="C528" t="s">
        <v>82</v>
      </c>
      <c r="D528">
        <v>1</v>
      </c>
      <c r="E528">
        <v>1</v>
      </c>
      <c r="F528">
        <f>SUMIF(Base_Itens!$E$5:$E$1504,A528,Base_Itens!$I$5:$I$1504)</f>
        <v>1</v>
      </c>
      <c r="G528">
        <f t="shared" si="24"/>
        <v>0</v>
      </c>
      <c r="H528">
        <f>COUNTIF(Base_Itens!$E$5:$E$1504,A528)</f>
        <v>1</v>
      </c>
      <c r="I528" t="str">
        <f t="shared" si="26"/>
        <v>OK</v>
      </c>
      <c r="J528" t="str">
        <f>Base_Itens!E505</f>
        <v>2017-Q8-1</v>
      </c>
      <c r="K528" t="str">
        <f>Base_Itens!G505</f>
        <v>08 — Curva de Phillips</v>
      </c>
      <c r="L528">
        <f>COUNTIFS(Base_Itens!$E$5:$E$1504,J528,Base_Itens!$G$5:$G$1504,K528)</f>
        <v>1</v>
      </c>
    </row>
    <row r="529" spans="1:12">
      <c r="A529" t="s">
        <v>2670</v>
      </c>
      <c r="B529">
        <v>2017</v>
      </c>
      <c r="C529" t="s">
        <v>82</v>
      </c>
      <c r="D529">
        <v>1</v>
      </c>
      <c r="E529">
        <v>1</v>
      </c>
      <c r="F529">
        <f>SUMIF(Base_Itens!$E$5:$E$1504,A529,Base_Itens!$I$5:$I$1504)</f>
        <v>1</v>
      </c>
      <c r="G529">
        <f t="shared" si="24"/>
        <v>0</v>
      </c>
      <c r="H529">
        <f>COUNTIF(Base_Itens!$E$5:$E$1504,A529)</f>
        <v>1</v>
      </c>
      <c r="I529" t="str">
        <f t="shared" si="26"/>
        <v>OK</v>
      </c>
      <c r="J529" t="str">
        <f>Base_Itens!E506</f>
        <v>2017-Q8-2</v>
      </c>
      <c r="K529" t="str">
        <f>Base_Itens!G506</f>
        <v>09 — Expectativas, Novos Clássicos e Novos Keynesianos</v>
      </c>
      <c r="L529">
        <f>COUNTIFS(Base_Itens!$E$5:$E$1504,J529,Base_Itens!$G$5:$G$1504,K529)</f>
        <v>1</v>
      </c>
    </row>
    <row r="530" spans="1:12">
      <c r="A530" t="s">
        <v>2671</v>
      </c>
      <c r="B530">
        <v>2017</v>
      </c>
      <c r="C530" t="s">
        <v>82</v>
      </c>
      <c r="D530">
        <v>1</v>
      </c>
      <c r="E530">
        <v>1</v>
      </c>
      <c r="F530">
        <f>SUMIF(Base_Itens!$E$5:$E$1504,A530,Base_Itens!$I$5:$I$1504)</f>
        <v>1</v>
      </c>
      <c r="G530">
        <f t="shared" si="24"/>
        <v>0</v>
      </c>
      <c r="H530">
        <f>COUNTIF(Base_Itens!$E$5:$E$1504,A530)</f>
        <v>1</v>
      </c>
      <c r="I530" t="str">
        <f t="shared" si="26"/>
        <v>OK</v>
      </c>
      <c r="J530" t="str">
        <f>Base_Itens!E507</f>
        <v>2017-Q8-3</v>
      </c>
      <c r="K530" t="str">
        <f>Base_Itens!G507</f>
        <v>09 — Expectativas, Novos Clássicos e Novos Keynesianos</v>
      </c>
      <c r="L530">
        <f>COUNTIFS(Base_Itens!$E$5:$E$1504,J530,Base_Itens!$G$5:$G$1504,K530)</f>
        <v>1</v>
      </c>
    </row>
    <row r="531" spans="1:12">
      <c r="A531" t="s">
        <v>2672</v>
      </c>
      <c r="B531">
        <v>2017</v>
      </c>
      <c r="C531" t="s">
        <v>82</v>
      </c>
      <c r="D531">
        <v>1</v>
      </c>
      <c r="E531">
        <v>1</v>
      </c>
      <c r="F531">
        <f>SUMIF(Base_Itens!$E$5:$E$1504,A531,Base_Itens!$I$5:$I$1504)</f>
        <v>1</v>
      </c>
      <c r="G531">
        <f t="shared" si="24"/>
        <v>0</v>
      </c>
      <c r="H531">
        <f>COUNTIF(Base_Itens!$E$5:$E$1504,A531)</f>
        <v>1</v>
      </c>
      <c r="I531" t="str">
        <f t="shared" si="26"/>
        <v>OK</v>
      </c>
      <c r="J531" t="str">
        <f>Base_Itens!E508</f>
        <v>2017-Q8-4</v>
      </c>
      <c r="K531" t="str">
        <f>Base_Itens!G508</f>
        <v>09 — Expectativas, Novos Clássicos e Novos Keynesianos</v>
      </c>
      <c r="L531">
        <f>COUNTIFS(Base_Itens!$E$5:$E$1504,J531,Base_Itens!$G$5:$G$1504,K531)</f>
        <v>1</v>
      </c>
    </row>
    <row r="532" spans="1:12">
      <c r="A532" t="s">
        <v>2673</v>
      </c>
      <c r="B532">
        <v>2017</v>
      </c>
      <c r="C532" t="s">
        <v>82</v>
      </c>
      <c r="D532">
        <v>1</v>
      </c>
      <c r="E532">
        <v>1</v>
      </c>
      <c r="F532">
        <f>SUMIF(Base_Itens!$E$5:$E$1504,A532,Base_Itens!$I$5:$I$1504)</f>
        <v>1</v>
      </c>
      <c r="G532">
        <f t="shared" si="24"/>
        <v>0</v>
      </c>
      <c r="H532">
        <f>COUNTIF(Base_Itens!$E$5:$E$1504,A532)</f>
        <v>1</v>
      </c>
      <c r="I532" t="str">
        <f t="shared" ref="I532:I563" si="27">IF(AND(G532=0,H532=E532),"OK","REVER")</f>
        <v>OK</v>
      </c>
      <c r="J532" t="str">
        <f>Base_Itens!E509</f>
        <v>2017-Q9-0</v>
      </c>
      <c r="K532" t="str">
        <f>Base_Itens!G509</f>
        <v>14 — Dívida Pública e Senhoriagem</v>
      </c>
      <c r="L532">
        <f>COUNTIFS(Base_Itens!$E$5:$E$1504,J532,Base_Itens!$G$5:$G$1504,K532)</f>
        <v>1</v>
      </c>
    </row>
    <row r="533" spans="1:12">
      <c r="A533" t="s">
        <v>2674</v>
      </c>
      <c r="B533">
        <v>2017</v>
      </c>
      <c r="C533" t="s">
        <v>82</v>
      </c>
      <c r="D533">
        <v>1</v>
      </c>
      <c r="E533">
        <v>1</v>
      </c>
      <c r="F533">
        <f>SUMIF(Base_Itens!$E$5:$E$1504,A533,Base_Itens!$I$5:$I$1504)</f>
        <v>1</v>
      </c>
      <c r="G533">
        <f t="shared" si="24"/>
        <v>0</v>
      </c>
      <c r="H533">
        <f>COUNTIF(Base_Itens!$E$5:$E$1504,A533)</f>
        <v>1</v>
      </c>
      <c r="I533" t="str">
        <f t="shared" si="27"/>
        <v>OK</v>
      </c>
      <c r="J533" t="str">
        <f>Base_Itens!E510</f>
        <v>2017-Q9-1</v>
      </c>
      <c r="K533" t="str">
        <f>Base_Itens!G510</f>
        <v>14 — Dívida Pública e Senhoriagem</v>
      </c>
      <c r="L533">
        <f>COUNTIFS(Base_Itens!$E$5:$E$1504,J533,Base_Itens!$G$5:$G$1504,K533)</f>
        <v>1</v>
      </c>
    </row>
    <row r="534" spans="1:12">
      <c r="A534" t="s">
        <v>2675</v>
      </c>
      <c r="B534">
        <v>2017</v>
      </c>
      <c r="C534" t="s">
        <v>82</v>
      </c>
      <c r="D534">
        <v>1</v>
      </c>
      <c r="E534">
        <v>1</v>
      </c>
      <c r="F534">
        <f>SUMIF(Base_Itens!$E$5:$E$1504,A534,Base_Itens!$I$5:$I$1504)</f>
        <v>1</v>
      </c>
      <c r="G534">
        <f t="shared" si="24"/>
        <v>0</v>
      </c>
      <c r="H534">
        <f>COUNTIF(Base_Itens!$E$5:$E$1504,A534)</f>
        <v>1</v>
      </c>
      <c r="I534" t="str">
        <f t="shared" si="27"/>
        <v>OK</v>
      </c>
      <c r="J534" t="str">
        <f>Base_Itens!E511</f>
        <v>2017-Q9-2</v>
      </c>
      <c r="K534" t="str">
        <f>Base_Itens!G511</f>
        <v>14 — Dívida Pública e Senhoriagem</v>
      </c>
      <c r="L534">
        <f>COUNTIFS(Base_Itens!$E$5:$E$1504,J534,Base_Itens!$G$5:$G$1504,K534)</f>
        <v>1</v>
      </c>
    </row>
    <row r="535" spans="1:12">
      <c r="A535" t="s">
        <v>2676</v>
      </c>
      <c r="B535">
        <v>2017</v>
      </c>
      <c r="C535" t="s">
        <v>82</v>
      </c>
      <c r="D535">
        <v>1</v>
      </c>
      <c r="E535">
        <v>1</v>
      </c>
      <c r="F535">
        <f>SUMIF(Base_Itens!$E$5:$E$1504,A535,Base_Itens!$I$5:$I$1504)</f>
        <v>1</v>
      </c>
      <c r="G535">
        <f t="shared" si="24"/>
        <v>0</v>
      </c>
      <c r="H535">
        <f>COUNTIF(Base_Itens!$E$5:$E$1504,A535)</f>
        <v>1</v>
      </c>
      <c r="I535" t="str">
        <f t="shared" si="27"/>
        <v>OK</v>
      </c>
      <c r="J535" t="str">
        <f>Base_Itens!E512</f>
        <v>2017-Q9-3</v>
      </c>
      <c r="K535" t="str">
        <f>Base_Itens!G512</f>
        <v>10 — Ciclos Reais de Negócios (RBC)</v>
      </c>
      <c r="L535">
        <f>COUNTIFS(Base_Itens!$E$5:$E$1504,J535,Base_Itens!$G$5:$G$1504,K535)</f>
        <v>1</v>
      </c>
    </row>
    <row r="536" spans="1:12">
      <c r="A536" t="s">
        <v>2677</v>
      </c>
      <c r="B536">
        <v>2017</v>
      </c>
      <c r="C536" t="s">
        <v>82</v>
      </c>
      <c r="D536">
        <v>1</v>
      </c>
      <c r="E536">
        <v>1</v>
      </c>
      <c r="F536">
        <f>SUMIF(Base_Itens!$E$5:$E$1504,A536,Base_Itens!$I$5:$I$1504)</f>
        <v>1</v>
      </c>
      <c r="G536">
        <f t="shared" si="24"/>
        <v>0</v>
      </c>
      <c r="H536">
        <f>COUNTIF(Base_Itens!$E$5:$E$1504,A536)</f>
        <v>1</v>
      </c>
      <c r="I536" t="str">
        <f t="shared" si="27"/>
        <v>OK</v>
      </c>
      <c r="J536" t="str">
        <f>Base_Itens!E513</f>
        <v>2017-Q9-4</v>
      </c>
      <c r="K536" t="str">
        <f>Base_Itens!G513</f>
        <v>09 — Expectativas, Novos Clássicos e Novos Keynesianos</v>
      </c>
      <c r="L536">
        <f>COUNTIFS(Base_Itens!$E$5:$E$1504,J536,Base_Itens!$G$5:$G$1504,K536)</f>
        <v>1</v>
      </c>
    </row>
    <row r="537" spans="1:12">
      <c r="A537" t="s">
        <v>2678</v>
      </c>
      <c r="B537">
        <v>2017</v>
      </c>
      <c r="C537" t="s">
        <v>82</v>
      </c>
      <c r="D537">
        <v>1</v>
      </c>
      <c r="E537">
        <v>1</v>
      </c>
      <c r="F537">
        <f>SUMIF(Base_Itens!$E$5:$E$1504,A537,Base_Itens!$I$5:$I$1504)</f>
        <v>1</v>
      </c>
      <c r="G537">
        <f t="shared" si="24"/>
        <v>0</v>
      </c>
      <c r="H537">
        <f>COUNTIF(Base_Itens!$E$5:$E$1504,A537)</f>
        <v>1</v>
      </c>
      <c r="I537" t="str">
        <f t="shared" si="27"/>
        <v>OK</v>
      </c>
      <c r="J537" t="str">
        <f>Base_Itens!E514</f>
        <v>2017-Q10-0</v>
      </c>
      <c r="K537" t="str">
        <f>Base_Itens!G514</f>
        <v>09 — Expectativas, Novos Clássicos e Novos Keynesianos</v>
      </c>
      <c r="L537">
        <f>COUNTIFS(Base_Itens!$E$5:$E$1504,J537,Base_Itens!$G$5:$G$1504,K537)</f>
        <v>1</v>
      </c>
    </row>
    <row r="538" spans="1:12">
      <c r="A538" t="s">
        <v>2679</v>
      </c>
      <c r="B538">
        <v>2017</v>
      </c>
      <c r="C538" t="s">
        <v>2153</v>
      </c>
      <c r="D538">
        <v>5</v>
      </c>
      <c r="E538">
        <v>1</v>
      </c>
      <c r="F538">
        <f>SUMIF(Base_Itens!$E$5:$E$1504,A538,Base_Itens!$I$5:$I$1504)</f>
        <v>5</v>
      </c>
      <c r="G538">
        <f t="shared" si="24"/>
        <v>0</v>
      </c>
      <c r="H538">
        <f>COUNTIF(Base_Itens!$E$5:$E$1504,A538)</f>
        <v>1</v>
      </c>
      <c r="I538" t="str">
        <f t="shared" si="27"/>
        <v>OK</v>
      </c>
      <c r="J538" t="str">
        <f>Base_Itens!E515</f>
        <v>2017-Q10-1</v>
      </c>
      <c r="K538" t="str">
        <f>Base_Itens!G515</f>
        <v>10 — Ciclos Reais de Negócios (RBC)</v>
      </c>
      <c r="L538">
        <f>COUNTIFS(Base_Itens!$E$5:$E$1504,J538,Base_Itens!$G$5:$G$1504,K538)</f>
        <v>1</v>
      </c>
    </row>
    <row r="539" spans="1:12">
      <c r="A539" t="s">
        <v>2680</v>
      </c>
      <c r="B539">
        <v>2017</v>
      </c>
      <c r="C539" t="s">
        <v>2153</v>
      </c>
      <c r="D539">
        <v>5</v>
      </c>
      <c r="E539">
        <v>1</v>
      </c>
      <c r="F539">
        <f>SUMIF(Base_Itens!$E$5:$E$1504,A539,Base_Itens!$I$5:$I$1504)</f>
        <v>5</v>
      </c>
      <c r="G539">
        <f t="shared" si="24"/>
        <v>0</v>
      </c>
      <c r="H539">
        <f>COUNTIF(Base_Itens!$E$5:$E$1504,A539)</f>
        <v>1</v>
      </c>
      <c r="I539" t="str">
        <f t="shared" si="27"/>
        <v>OK</v>
      </c>
      <c r="J539" t="str">
        <f>Base_Itens!E516</f>
        <v>2017-Q10-2</v>
      </c>
      <c r="K539" t="str">
        <f>Base_Itens!G516</f>
        <v>10 — Ciclos Reais de Negócios (RBC)</v>
      </c>
      <c r="L539">
        <f>COUNTIFS(Base_Itens!$E$5:$E$1504,J539,Base_Itens!$G$5:$G$1504,K539)</f>
        <v>1</v>
      </c>
    </row>
    <row r="540" spans="1:12">
      <c r="A540" t="s">
        <v>2681</v>
      </c>
      <c r="B540">
        <v>2018</v>
      </c>
      <c r="C540" t="s">
        <v>82</v>
      </c>
      <c r="D540">
        <v>1</v>
      </c>
      <c r="E540">
        <v>1</v>
      </c>
      <c r="F540">
        <f>SUMIF(Base_Itens!$E$5:$E$1504,A540,Base_Itens!$I$5:$I$1504)</f>
        <v>1</v>
      </c>
      <c r="G540">
        <f t="shared" ref="G540:G603" si="28">F540-D540</f>
        <v>0</v>
      </c>
      <c r="H540">
        <f>COUNTIF(Base_Itens!$E$5:$E$1504,A540)</f>
        <v>1</v>
      </c>
      <c r="I540" t="str">
        <f t="shared" si="27"/>
        <v>OK</v>
      </c>
      <c r="J540" t="str">
        <f>Base_Itens!E517</f>
        <v>2017-Q10-3</v>
      </c>
      <c r="K540" t="str">
        <f>Base_Itens!G517</f>
        <v>09 — Expectativas, Novos Clássicos e Novos Keynesianos</v>
      </c>
      <c r="L540">
        <f>COUNTIFS(Base_Itens!$E$5:$E$1504,J540,Base_Itens!$G$5:$G$1504,K540)</f>
        <v>1</v>
      </c>
    </row>
    <row r="541" spans="1:12">
      <c r="A541" t="s">
        <v>2682</v>
      </c>
      <c r="B541">
        <v>2018</v>
      </c>
      <c r="C541" t="s">
        <v>82</v>
      </c>
      <c r="D541">
        <v>1</v>
      </c>
      <c r="E541">
        <v>1</v>
      </c>
      <c r="F541">
        <f>SUMIF(Base_Itens!$E$5:$E$1504,A541,Base_Itens!$I$5:$I$1504)</f>
        <v>1</v>
      </c>
      <c r="G541">
        <f t="shared" si="28"/>
        <v>0</v>
      </c>
      <c r="H541">
        <f>COUNTIF(Base_Itens!$E$5:$E$1504,A541)</f>
        <v>1</v>
      </c>
      <c r="I541" t="str">
        <f t="shared" si="27"/>
        <v>OK</v>
      </c>
      <c r="J541" t="str">
        <f>Base_Itens!E518</f>
        <v>2017-Q10-4</v>
      </c>
      <c r="K541" t="str">
        <f>Base_Itens!G518</f>
        <v>09 — Expectativas, Novos Clássicos e Novos Keynesianos</v>
      </c>
      <c r="L541">
        <f>COUNTIFS(Base_Itens!$E$5:$E$1504,J541,Base_Itens!$G$5:$G$1504,K541)</f>
        <v>1</v>
      </c>
    </row>
    <row r="542" spans="1:12">
      <c r="A542" t="s">
        <v>2683</v>
      </c>
      <c r="B542">
        <v>2018</v>
      </c>
      <c r="C542" t="s">
        <v>82</v>
      </c>
      <c r="D542">
        <v>1</v>
      </c>
      <c r="E542">
        <v>1</v>
      </c>
      <c r="F542">
        <f>SUMIF(Base_Itens!$E$5:$E$1504,A542,Base_Itens!$I$5:$I$1504)</f>
        <v>1</v>
      </c>
      <c r="G542">
        <f t="shared" si="28"/>
        <v>0</v>
      </c>
      <c r="H542">
        <f>COUNTIF(Base_Itens!$E$5:$E$1504,A542)</f>
        <v>1</v>
      </c>
      <c r="I542" t="str">
        <f t="shared" si="27"/>
        <v>OK</v>
      </c>
      <c r="J542" t="str">
        <f>Base_Itens!E519</f>
        <v>2017-Q11-0</v>
      </c>
      <c r="K542" t="str">
        <f>Base_Itens!G519</f>
        <v>13 — Investimento</v>
      </c>
      <c r="L542">
        <f>COUNTIFS(Base_Itens!$E$5:$E$1504,J542,Base_Itens!$G$5:$G$1504,K542)</f>
        <v>1</v>
      </c>
    </row>
    <row r="543" spans="1:12">
      <c r="A543" t="s">
        <v>2684</v>
      </c>
      <c r="B543">
        <v>2018</v>
      </c>
      <c r="C543" t="s">
        <v>82</v>
      </c>
      <c r="D543">
        <v>1</v>
      </c>
      <c r="E543">
        <v>1</v>
      </c>
      <c r="F543">
        <f>SUMIF(Base_Itens!$E$5:$E$1504,A543,Base_Itens!$I$5:$I$1504)</f>
        <v>1</v>
      </c>
      <c r="G543">
        <f t="shared" si="28"/>
        <v>0</v>
      </c>
      <c r="H543">
        <f>COUNTIF(Base_Itens!$E$5:$E$1504,A543)</f>
        <v>1</v>
      </c>
      <c r="I543" t="str">
        <f t="shared" si="27"/>
        <v>OK</v>
      </c>
      <c r="J543" t="str">
        <f>Base_Itens!E520</f>
        <v>2017-Q11-1</v>
      </c>
      <c r="K543" t="str">
        <f>Base_Itens!G520</f>
        <v>13 — Investimento</v>
      </c>
      <c r="L543">
        <f>COUNTIFS(Base_Itens!$E$5:$E$1504,J543,Base_Itens!$G$5:$G$1504,K543)</f>
        <v>1</v>
      </c>
    </row>
    <row r="544" spans="1:12">
      <c r="A544" t="s">
        <v>2685</v>
      </c>
      <c r="B544">
        <v>2018</v>
      </c>
      <c r="C544" t="s">
        <v>82</v>
      </c>
      <c r="D544">
        <v>1</v>
      </c>
      <c r="E544">
        <v>1</v>
      </c>
      <c r="F544">
        <f>SUMIF(Base_Itens!$E$5:$E$1504,A544,Base_Itens!$I$5:$I$1504)</f>
        <v>1</v>
      </c>
      <c r="G544">
        <f t="shared" si="28"/>
        <v>0</v>
      </c>
      <c r="H544">
        <f>COUNTIF(Base_Itens!$E$5:$E$1504,A544)</f>
        <v>1</v>
      </c>
      <c r="I544" t="str">
        <f t="shared" si="27"/>
        <v>OK</v>
      </c>
      <c r="J544" t="str">
        <f>Base_Itens!E521</f>
        <v>2017-Q11-2</v>
      </c>
      <c r="K544" t="str">
        <f>Base_Itens!G521</f>
        <v>13 — Investimento</v>
      </c>
      <c r="L544">
        <f>COUNTIFS(Base_Itens!$E$5:$E$1504,J544,Base_Itens!$G$5:$G$1504,K544)</f>
        <v>1</v>
      </c>
    </row>
    <row r="545" spans="1:12">
      <c r="A545" t="s">
        <v>2686</v>
      </c>
      <c r="B545">
        <v>2018</v>
      </c>
      <c r="C545" t="s">
        <v>82</v>
      </c>
      <c r="D545">
        <v>1</v>
      </c>
      <c r="E545">
        <v>1</v>
      </c>
      <c r="F545">
        <f>SUMIF(Base_Itens!$E$5:$E$1504,A545,Base_Itens!$I$5:$I$1504)</f>
        <v>1</v>
      </c>
      <c r="G545">
        <f t="shared" si="28"/>
        <v>0</v>
      </c>
      <c r="H545">
        <f>COUNTIF(Base_Itens!$E$5:$E$1504,A545)</f>
        <v>1</v>
      </c>
      <c r="I545" t="str">
        <f t="shared" si="27"/>
        <v>OK</v>
      </c>
      <c r="J545" t="str">
        <f>Base_Itens!E522</f>
        <v>2017-Q11-3</v>
      </c>
      <c r="K545" t="str">
        <f>Base_Itens!G522</f>
        <v>12 — Consumo</v>
      </c>
      <c r="L545">
        <f>COUNTIFS(Base_Itens!$E$5:$E$1504,J545,Base_Itens!$G$5:$G$1504,K545)</f>
        <v>1</v>
      </c>
    </row>
    <row r="546" spans="1:12">
      <c r="A546" t="s">
        <v>2687</v>
      </c>
      <c r="B546">
        <v>2018</v>
      </c>
      <c r="C546" t="s">
        <v>82</v>
      </c>
      <c r="D546">
        <v>1</v>
      </c>
      <c r="E546">
        <v>1</v>
      </c>
      <c r="F546">
        <f>SUMIF(Base_Itens!$E$5:$E$1504,A546,Base_Itens!$I$5:$I$1504)</f>
        <v>1</v>
      </c>
      <c r="G546">
        <f t="shared" si="28"/>
        <v>0</v>
      </c>
      <c r="H546">
        <f>COUNTIF(Base_Itens!$E$5:$E$1504,A546)</f>
        <v>1</v>
      </c>
      <c r="I546" t="str">
        <f t="shared" si="27"/>
        <v>OK</v>
      </c>
      <c r="J546" t="str">
        <f>Base_Itens!E523</f>
        <v>2017-Q11-4</v>
      </c>
      <c r="K546" t="str">
        <f>Base_Itens!G523</f>
        <v>12 — Consumo</v>
      </c>
      <c r="L546">
        <f>COUNTIFS(Base_Itens!$E$5:$E$1504,J546,Base_Itens!$G$5:$G$1504,K546)</f>
        <v>1</v>
      </c>
    </row>
    <row r="547" spans="1:12">
      <c r="A547" t="s">
        <v>2688</v>
      </c>
      <c r="B547">
        <v>2018</v>
      </c>
      <c r="C547" t="s">
        <v>82</v>
      </c>
      <c r="D547">
        <v>1</v>
      </c>
      <c r="E547">
        <v>1</v>
      </c>
      <c r="F547">
        <f>SUMIF(Base_Itens!$E$5:$E$1504,A547,Base_Itens!$I$5:$I$1504)</f>
        <v>1</v>
      </c>
      <c r="G547">
        <f t="shared" si="28"/>
        <v>0</v>
      </c>
      <c r="H547">
        <f>COUNTIF(Base_Itens!$E$5:$E$1504,A547)</f>
        <v>1</v>
      </c>
      <c r="I547" t="str">
        <f t="shared" si="27"/>
        <v>OK</v>
      </c>
      <c r="J547" t="str">
        <f>Base_Itens!E524</f>
        <v>2017-Q12-0</v>
      </c>
      <c r="K547" t="str">
        <f>Base_Itens!G524</f>
        <v>14 — Dívida Pública e Senhoriagem</v>
      </c>
      <c r="L547">
        <f>COUNTIFS(Base_Itens!$E$5:$E$1504,J547,Base_Itens!$G$5:$G$1504,K547)</f>
        <v>1</v>
      </c>
    </row>
    <row r="548" spans="1:12">
      <c r="A548" t="s">
        <v>2689</v>
      </c>
      <c r="B548">
        <v>2018</v>
      </c>
      <c r="C548" t="s">
        <v>82</v>
      </c>
      <c r="D548">
        <v>1</v>
      </c>
      <c r="E548">
        <v>1</v>
      </c>
      <c r="F548">
        <f>SUMIF(Base_Itens!$E$5:$E$1504,A548,Base_Itens!$I$5:$I$1504)</f>
        <v>1</v>
      </c>
      <c r="G548">
        <f t="shared" si="28"/>
        <v>0</v>
      </c>
      <c r="H548">
        <f>COUNTIF(Base_Itens!$E$5:$E$1504,A548)</f>
        <v>1</v>
      </c>
      <c r="I548" t="str">
        <f t="shared" si="27"/>
        <v>OK</v>
      </c>
      <c r="J548" t="str">
        <f>Base_Itens!E525</f>
        <v>2017-Q12-1</v>
      </c>
      <c r="K548" t="str">
        <f>Base_Itens!G525</f>
        <v>14 — Dívida Pública e Senhoriagem</v>
      </c>
      <c r="L548">
        <f>COUNTIFS(Base_Itens!$E$5:$E$1504,J548,Base_Itens!$G$5:$G$1504,K548)</f>
        <v>1</v>
      </c>
    </row>
    <row r="549" spans="1:12">
      <c r="A549" t="s">
        <v>2690</v>
      </c>
      <c r="B549">
        <v>2018</v>
      </c>
      <c r="C549" t="s">
        <v>82</v>
      </c>
      <c r="D549">
        <v>1</v>
      </c>
      <c r="E549">
        <v>1</v>
      </c>
      <c r="F549">
        <f>SUMIF(Base_Itens!$E$5:$E$1504,A549,Base_Itens!$I$5:$I$1504)</f>
        <v>1</v>
      </c>
      <c r="G549">
        <f t="shared" si="28"/>
        <v>0</v>
      </c>
      <c r="H549">
        <f>COUNTIF(Base_Itens!$E$5:$E$1504,A549)</f>
        <v>1</v>
      </c>
      <c r="I549" t="str">
        <f t="shared" si="27"/>
        <v>OK</v>
      </c>
      <c r="J549" t="str">
        <f>Base_Itens!E526</f>
        <v>2017-Q12-2</v>
      </c>
      <c r="K549" t="str">
        <f>Base_Itens!G526</f>
        <v>03 — Sistema Monetário</v>
      </c>
      <c r="L549">
        <f>COUNTIFS(Base_Itens!$E$5:$E$1504,J549,Base_Itens!$G$5:$G$1504,K549)</f>
        <v>1</v>
      </c>
    </row>
    <row r="550" spans="1:12">
      <c r="A550" t="s">
        <v>2691</v>
      </c>
      <c r="B550">
        <v>2018</v>
      </c>
      <c r="C550" t="s">
        <v>82</v>
      </c>
      <c r="D550">
        <v>1</v>
      </c>
      <c r="E550">
        <v>1</v>
      </c>
      <c r="F550">
        <f>SUMIF(Base_Itens!$E$5:$E$1504,A550,Base_Itens!$I$5:$I$1504)</f>
        <v>1</v>
      </c>
      <c r="G550">
        <f t="shared" si="28"/>
        <v>0</v>
      </c>
      <c r="H550">
        <f>COUNTIF(Base_Itens!$E$5:$E$1504,A550)</f>
        <v>1</v>
      </c>
      <c r="I550" t="str">
        <f t="shared" si="27"/>
        <v>OK</v>
      </c>
      <c r="J550" t="str">
        <f>Base_Itens!E527</f>
        <v>2017-Q12-3</v>
      </c>
      <c r="K550" t="str">
        <f>Base_Itens!G527</f>
        <v>12 — Consumo</v>
      </c>
      <c r="L550">
        <f>COUNTIFS(Base_Itens!$E$5:$E$1504,J550,Base_Itens!$G$5:$G$1504,K550)</f>
        <v>1</v>
      </c>
    </row>
    <row r="551" spans="1:12">
      <c r="A551" t="s">
        <v>2692</v>
      </c>
      <c r="B551">
        <v>2018</v>
      </c>
      <c r="C551" t="s">
        <v>82</v>
      </c>
      <c r="D551">
        <v>1</v>
      </c>
      <c r="E551">
        <v>1</v>
      </c>
      <c r="F551">
        <f>SUMIF(Base_Itens!$E$5:$E$1504,A551,Base_Itens!$I$5:$I$1504)</f>
        <v>1</v>
      </c>
      <c r="G551">
        <f t="shared" si="28"/>
        <v>0</v>
      </c>
      <c r="H551">
        <f>COUNTIF(Base_Itens!$E$5:$E$1504,A551)</f>
        <v>1</v>
      </c>
      <c r="I551" t="str">
        <f t="shared" si="27"/>
        <v>OK</v>
      </c>
      <c r="J551" t="str">
        <f>Base_Itens!E528</f>
        <v>2017-Q12-4</v>
      </c>
      <c r="K551" t="str">
        <f>Base_Itens!G528</f>
        <v>14 — Dívida Pública e Senhoriagem</v>
      </c>
      <c r="L551">
        <f>COUNTIFS(Base_Itens!$E$5:$E$1504,J551,Base_Itens!$G$5:$G$1504,K551)</f>
        <v>1</v>
      </c>
    </row>
    <row r="552" spans="1:12">
      <c r="A552" t="s">
        <v>2693</v>
      </c>
      <c r="B552">
        <v>2018</v>
      </c>
      <c r="C552" t="s">
        <v>82</v>
      </c>
      <c r="D552">
        <v>1</v>
      </c>
      <c r="E552">
        <v>1</v>
      </c>
      <c r="F552">
        <f>SUMIF(Base_Itens!$E$5:$E$1504,A552,Base_Itens!$I$5:$I$1504)</f>
        <v>1</v>
      </c>
      <c r="G552">
        <f t="shared" si="28"/>
        <v>0</v>
      </c>
      <c r="H552">
        <f>COUNTIF(Base_Itens!$E$5:$E$1504,A552)</f>
        <v>1</v>
      </c>
      <c r="I552" t="str">
        <f t="shared" si="27"/>
        <v>OK</v>
      </c>
      <c r="J552" t="str">
        <f>Base_Itens!E529</f>
        <v>2017-Q13-0</v>
      </c>
      <c r="K552" t="str">
        <f>Base_Itens!G529</f>
        <v>11 — Crescimento Econômico</v>
      </c>
      <c r="L552">
        <f>COUNTIFS(Base_Itens!$E$5:$E$1504,J552,Base_Itens!$G$5:$G$1504,K552)</f>
        <v>1</v>
      </c>
    </row>
    <row r="553" spans="1:12">
      <c r="A553" t="s">
        <v>2694</v>
      </c>
      <c r="B553">
        <v>2018</v>
      </c>
      <c r="C553" t="s">
        <v>82</v>
      </c>
      <c r="D553">
        <v>1</v>
      </c>
      <c r="E553">
        <v>1</v>
      </c>
      <c r="F553">
        <f>SUMIF(Base_Itens!$E$5:$E$1504,A553,Base_Itens!$I$5:$I$1504)</f>
        <v>1</v>
      </c>
      <c r="G553">
        <f t="shared" si="28"/>
        <v>0</v>
      </c>
      <c r="H553">
        <f>COUNTIF(Base_Itens!$E$5:$E$1504,A553)</f>
        <v>1</v>
      </c>
      <c r="I553" t="str">
        <f t="shared" si="27"/>
        <v>OK</v>
      </c>
      <c r="J553" t="str">
        <f>Base_Itens!E530</f>
        <v>2017-Q13-1</v>
      </c>
      <c r="K553" t="str">
        <f>Base_Itens!G530</f>
        <v>11 — Crescimento Econômico</v>
      </c>
      <c r="L553">
        <f>COUNTIFS(Base_Itens!$E$5:$E$1504,J553,Base_Itens!$G$5:$G$1504,K553)</f>
        <v>1</v>
      </c>
    </row>
    <row r="554" spans="1:12">
      <c r="A554" t="s">
        <v>2695</v>
      </c>
      <c r="B554">
        <v>2018</v>
      </c>
      <c r="C554" t="s">
        <v>82</v>
      </c>
      <c r="D554">
        <v>1</v>
      </c>
      <c r="E554">
        <v>1</v>
      </c>
      <c r="F554">
        <f>SUMIF(Base_Itens!$E$5:$E$1504,A554,Base_Itens!$I$5:$I$1504)</f>
        <v>1</v>
      </c>
      <c r="G554">
        <f t="shared" si="28"/>
        <v>0</v>
      </c>
      <c r="H554">
        <f>COUNTIF(Base_Itens!$E$5:$E$1504,A554)</f>
        <v>1</v>
      </c>
      <c r="I554" t="str">
        <f t="shared" si="27"/>
        <v>OK</v>
      </c>
      <c r="J554" t="str">
        <f>Base_Itens!E531</f>
        <v>2017-Q13-2</v>
      </c>
      <c r="K554" t="str">
        <f>Base_Itens!G531</f>
        <v>11 — Crescimento Econômico</v>
      </c>
      <c r="L554">
        <f>COUNTIFS(Base_Itens!$E$5:$E$1504,J554,Base_Itens!$G$5:$G$1504,K554)</f>
        <v>1</v>
      </c>
    </row>
    <row r="555" spans="1:12">
      <c r="A555" t="s">
        <v>2696</v>
      </c>
      <c r="B555">
        <v>2018</v>
      </c>
      <c r="C555" t="s">
        <v>82</v>
      </c>
      <c r="D555">
        <v>1</v>
      </c>
      <c r="E555">
        <v>1</v>
      </c>
      <c r="F555">
        <f>SUMIF(Base_Itens!$E$5:$E$1504,A555,Base_Itens!$I$5:$I$1504)</f>
        <v>1</v>
      </c>
      <c r="G555">
        <f t="shared" si="28"/>
        <v>0</v>
      </c>
      <c r="H555">
        <f>COUNTIF(Base_Itens!$E$5:$E$1504,A555)</f>
        <v>1</v>
      </c>
      <c r="I555" t="str">
        <f t="shared" si="27"/>
        <v>OK</v>
      </c>
      <c r="J555" t="str">
        <f>Base_Itens!E532</f>
        <v>2017-Q13-3</v>
      </c>
      <c r="K555" t="str">
        <f>Base_Itens!G532</f>
        <v>11 — Crescimento Econômico</v>
      </c>
      <c r="L555">
        <f>COUNTIFS(Base_Itens!$E$5:$E$1504,J555,Base_Itens!$G$5:$G$1504,K555)</f>
        <v>1</v>
      </c>
    </row>
    <row r="556" spans="1:12">
      <c r="A556" t="s">
        <v>2697</v>
      </c>
      <c r="B556">
        <v>2018</v>
      </c>
      <c r="C556" t="s">
        <v>82</v>
      </c>
      <c r="D556">
        <v>1</v>
      </c>
      <c r="E556">
        <v>1</v>
      </c>
      <c r="F556">
        <f>SUMIF(Base_Itens!$E$5:$E$1504,A556,Base_Itens!$I$5:$I$1504)</f>
        <v>1</v>
      </c>
      <c r="G556">
        <f t="shared" si="28"/>
        <v>0</v>
      </c>
      <c r="H556">
        <f>COUNTIF(Base_Itens!$E$5:$E$1504,A556)</f>
        <v>1</v>
      </c>
      <c r="I556" t="str">
        <f t="shared" si="27"/>
        <v>OK</v>
      </c>
      <c r="J556" t="str">
        <f>Base_Itens!E533</f>
        <v>2017-Q13-4</v>
      </c>
      <c r="K556" t="str">
        <f>Base_Itens!G533</f>
        <v>11 — Crescimento Econômico</v>
      </c>
      <c r="L556">
        <f>COUNTIFS(Base_Itens!$E$5:$E$1504,J556,Base_Itens!$G$5:$G$1504,K556)</f>
        <v>1</v>
      </c>
    </row>
    <row r="557" spans="1:12">
      <c r="A557" t="s">
        <v>2698</v>
      </c>
      <c r="B557">
        <v>2018</v>
      </c>
      <c r="C557" t="s">
        <v>82</v>
      </c>
      <c r="D557">
        <v>1</v>
      </c>
      <c r="E557">
        <v>1</v>
      </c>
      <c r="F557">
        <f>SUMIF(Base_Itens!$E$5:$E$1504,A557,Base_Itens!$I$5:$I$1504)</f>
        <v>1</v>
      </c>
      <c r="G557">
        <f t="shared" si="28"/>
        <v>0</v>
      </c>
      <c r="H557">
        <f>COUNTIF(Base_Itens!$E$5:$E$1504,A557)</f>
        <v>1</v>
      </c>
      <c r="I557" t="str">
        <f t="shared" si="27"/>
        <v>OK</v>
      </c>
      <c r="J557" t="str">
        <f>Base_Itens!E534</f>
        <v>2017-Q14-ABERTA</v>
      </c>
      <c r="K557" t="str">
        <f>Base_Itens!G534</f>
        <v>11 — Crescimento Econômico</v>
      </c>
      <c r="L557">
        <f>COUNTIFS(Base_Itens!$E$5:$E$1504,J557,Base_Itens!$G$5:$G$1504,K557)</f>
        <v>1</v>
      </c>
    </row>
    <row r="558" spans="1:12">
      <c r="A558" t="s">
        <v>2699</v>
      </c>
      <c r="B558">
        <v>2018</v>
      </c>
      <c r="C558" t="s">
        <v>82</v>
      </c>
      <c r="D558">
        <v>1</v>
      </c>
      <c r="E558">
        <v>1</v>
      </c>
      <c r="F558">
        <f>SUMIF(Base_Itens!$E$5:$E$1504,A558,Base_Itens!$I$5:$I$1504)</f>
        <v>1</v>
      </c>
      <c r="G558">
        <f t="shared" si="28"/>
        <v>0</v>
      </c>
      <c r="H558">
        <f>COUNTIF(Base_Itens!$E$5:$E$1504,A558)</f>
        <v>1</v>
      </c>
      <c r="I558" t="str">
        <f t="shared" si="27"/>
        <v>OK</v>
      </c>
      <c r="J558" t="str">
        <f>Base_Itens!E535</f>
        <v>2017-Q15-ABERTA</v>
      </c>
      <c r="K558" t="str">
        <f>Base_Itens!G535</f>
        <v>03 — Sistema Monetário</v>
      </c>
      <c r="L558">
        <f>COUNTIFS(Base_Itens!$E$5:$E$1504,J558,Base_Itens!$G$5:$G$1504,K558)</f>
        <v>1</v>
      </c>
    </row>
    <row r="559" spans="1:12">
      <c r="A559" t="s">
        <v>2700</v>
      </c>
      <c r="B559">
        <v>2018</v>
      </c>
      <c r="C559" t="s">
        <v>82</v>
      </c>
      <c r="D559">
        <v>1</v>
      </c>
      <c r="E559">
        <v>1</v>
      </c>
      <c r="F559">
        <f>SUMIF(Base_Itens!$E$5:$E$1504,A559,Base_Itens!$I$5:$I$1504)</f>
        <v>1</v>
      </c>
      <c r="G559">
        <f t="shared" si="28"/>
        <v>0</v>
      </c>
      <c r="H559">
        <f>COUNTIF(Base_Itens!$E$5:$E$1504,A559)</f>
        <v>1</v>
      </c>
      <c r="I559" t="str">
        <f t="shared" si="27"/>
        <v>OK</v>
      </c>
      <c r="J559" t="str">
        <f>Base_Itens!E536</f>
        <v>2018-Q1-0</v>
      </c>
      <c r="K559" t="str">
        <f>Base_Itens!G536</f>
        <v>02 — Balanço de Pagamentos</v>
      </c>
      <c r="L559">
        <f>COUNTIFS(Base_Itens!$E$5:$E$1504,J559,Base_Itens!$G$5:$G$1504,K559)</f>
        <v>1</v>
      </c>
    </row>
    <row r="560" spans="1:12">
      <c r="A560" t="s">
        <v>2701</v>
      </c>
      <c r="B560">
        <v>2018</v>
      </c>
      <c r="C560" t="s">
        <v>82</v>
      </c>
      <c r="D560">
        <v>1</v>
      </c>
      <c r="E560">
        <v>1</v>
      </c>
      <c r="F560">
        <f>SUMIF(Base_Itens!$E$5:$E$1504,A560,Base_Itens!$I$5:$I$1504)</f>
        <v>1</v>
      </c>
      <c r="G560">
        <f t="shared" si="28"/>
        <v>0</v>
      </c>
      <c r="H560">
        <f>COUNTIF(Base_Itens!$E$5:$E$1504,A560)</f>
        <v>1</v>
      </c>
      <c r="I560" t="str">
        <f t="shared" si="27"/>
        <v>OK</v>
      </c>
      <c r="J560" t="str">
        <f>Base_Itens!E537</f>
        <v>2018-Q1-1</v>
      </c>
      <c r="K560" t="str">
        <f>Base_Itens!G537</f>
        <v>02 — Balanço de Pagamentos</v>
      </c>
      <c r="L560">
        <f>COUNTIFS(Base_Itens!$E$5:$E$1504,J560,Base_Itens!$G$5:$G$1504,K560)</f>
        <v>1</v>
      </c>
    </row>
    <row r="561" spans="1:12">
      <c r="A561" t="s">
        <v>2702</v>
      </c>
      <c r="B561">
        <v>2018</v>
      </c>
      <c r="C561" t="s">
        <v>82</v>
      </c>
      <c r="D561">
        <v>1</v>
      </c>
      <c r="E561">
        <v>1</v>
      </c>
      <c r="F561">
        <f>SUMIF(Base_Itens!$E$5:$E$1504,A561,Base_Itens!$I$5:$I$1504)</f>
        <v>1</v>
      </c>
      <c r="G561">
        <f t="shared" si="28"/>
        <v>0</v>
      </c>
      <c r="H561">
        <f>COUNTIF(Base_Itens!$E$5:$E$1504,A561)</f>
        <v>1</v>
      </c>
      <c r="I561" t="str">
        <f t="shared" si="27"/>
        <v>OK</v>
      </c>
      <c r="J561" t="str">
        <f>Base_Itens!E538</f>
        <v>2018-Q1-2</v>
      </c>
      <c r="K561" t="str">
        <f>Base_Itens!G538</f>
        <v>02 — Balanço de Pagamentos</v>
      </c>
      <c r="L561">
        <f>COUNTIFS(Base_Itens!$E$5:$E$1504,J561,Base_Itens!$G$5:$G$1504,K561)</f>
        <v>1</v>
      </c>
    </row>
    <row r="562" spans="1:12">
      <c r="A562" t="s">
        <v>2703</v>
      </c>
      <c r="B562">
        <v>2018</v>
      </c>
      <c r="C562" t="s">
        <v>82</v>
      </c>
      <c r="D562">
        <v>1</v>
      </c>
      <c r="E562">
        <v>1</v>
      </c>
      <c r="F562">
        <f>SUMIF(Base_Itens!$E$5:$E$1504,A562,Base_Itens!$I$5:$I$1504)</f>
        <v>1</v>
      </c>
      <c r="G562">
        <f t="shared" si="28"/>
        <v>0</v>
      </c>
      <c r="H562">
        <f>COUNTIF(Base_Itens!$E$5:$E$1504,A562)</f>
        <v>1</v>
      </c>
      <c r="I562" t="str">
        <f t="shared" si="27"/>
        <v>OK</v>
      </c>
      <c r="J562" t="str">
        <f>Base_Itens!E539</f>
        <v>2018-Q1-3</v>
      </c>
      <c r="K562" t="str">
        <f>Base_Itens!G539</f>
        <v>02 — Balanço de Pagamentos</v>
      </c>
      <c r="L562">
        <f>COUNTIFS(Base_Itens!$E$5:$E$1504,J562,Base_Itens!$G$5:$G$1504,K562)</f>
        <v>1</v>
      </c>
    </row>
    <row r="563" spans="1:12">
      <c r="A563" t="s">
        <v>2704</v>
      </c>
      <c r="B563">
        <v>2018</v>
      </c>
      <c r="C563" t="s">
        <v>82</v>
      </c>
      <c r="D563">
        <v>1</v>
      </c>
      <c r="E563">
        <v>1</v>
      </c>
      <c r="F563">
        <f>SUMIF(Base_Itens!$E$5:$E$1504,A563,Base_Itens!$I$5:$I$1504)</f>
        <v>1</v>
      </c>
      <c r="G563">
        <f t="shared" si="28"/>
        <v>0</v>
      </c>
      <c r="H563">
        <f>COUNTIF(Base_Itens!$E$5:$E$1504,A563)</f>
        <v>1</v>
      </c>
      <c r="I563" t="str">
        <f t="shared" si="27"/>
        <v>OK</v>
      </c>
      <c r="J563" t="str">
        <f>Base_Itens!E540</f>
        <v>2018-Q1-4</v>
      </c>
      <c r="K563" t="str">
        <f>Base_Itens!G540</f>
        <v>02 — Balanço de Pagamentos</v>
      </c>
      <c r="L563">
        <f>COUNTIFS(Base_Itens!$E$5:$E$1504,J563,Base_Itens!$G$5:$G$1504,K563)</f>
        <v>1</v>
      </c>
    </row>
    <row r="564" spans="1:12">
      <c r="A564" t="s">
        <v>2705</v>
      </c>
      <c r="B564">
        <v>2018</v>
      </c>
      <c r="C564" t="s">
        <v>82</v>
      </c>
      <c r="D564">
        <v>1</v>
      </c>
      <c r="E564">
        <v>1</v>
      </c>
      <c r="F564">
        <f>SUMIF(Base_Itens!$E$5:$E$1504,A564,Base_Itens!$I$5:$I$1504)</f>
        <v>1</v>
      </c>
      <c r="G564">
        <f t="shared" si="28"/>
        <v>0</v>
      </c>
      <c r="H564">
        <f>COUNTIF(Base_Itens!$E$5:$E$1504,A564)</f>
        <v>1</v>
      </c>
      <c r="I564" t="str">
        <f t="shared" ref="I564:I595" si="29">IF(AND(G564=0,H564=E564),"OK","REVER")</f>
        <v>OK</v>
      </c>
      <c r="J564" t="str">
        <f>Base_Itens!E541</f>
        <v>2018-Q2-0</v>
      </c>
      <c r="K564" t="str">
        <f>Base_Itens!G541</f>
        <v>04 — Demanda por Moeda</v>
      </c>
      <c r="L564">
        <f>COUNTIFS(Base_Itens!$E$5:$E$1504,J564,Base_Itens!$G$5:$G$1504,K564)</f>
        <v>1</v>
      </c>
    </row>
    <row r="565" spans="1:12">
      <c r="A565" t="s">
        <v>2706</v>
      </c>
      <c r="B565">
        <v>2018</v>
      </c>
      <c r="C565" t="s">
        <v>82</v>
      </c>
      <c r="D565">
        <v>1</v>
      </c>
      <c r="E565">
        <v>1</v>
      </c>
      <c r="F565">
        <f>SUMIF(Base_Itens!$E$5:$E$1504,A565,Base_Itens!$I$5:$I$1504)</f>
        <v>1</v>
      </c>
      <c r="G565">
        <f t="shared" si="28"/>
        <v>0</v>
      </c>
      <c r="H565">
        <f>COUNTIF(Base_Itens!$E$5:$E$1504,A565)</f>
        <v>1</v>
      </c>
      <c r="I565" t="str">
        <f t="shared" si="29"/>
        <v>OK</v>
      </c>
      <c r="J565" t="str">
        <f>Base_Itens!E542</f>
        <v>2018-Q2-1</v>
      </c>
      <c r="K565" t="str">
        <f>Base_Itens!G542</f>
        <v>03 — Sistema Monetário</v>
      </c>
      <c r="L565">
        <f>COUNTIFS(Base_Itens!$E$5:$E$1504,J565,Base_Itens!$G$5:$G$1504,K565)</f>
        <v>1</v>
      </c>
    </row>
    <row r="566" spans="1:12">
      <c r="A566" t="s">
        <v>2707</v>
      </c>
      <c r="B566">
        <v>2018</v>
      </c>
      <c r="C566" t="s">
        <v>82</v>
      </c>
      <c r="D566">
        <v>1</v>
      </c>
      <c r="E566">
        <v>1</v>
      </c>
      <c r="F566">
        <f>SUMIF(Base_Itens!$E$5:$E$1504,A566,Base_Itens!$I$5:$I$1504)</f>
        <v>1</v>
      </c>
      <c r="G566">
        <f t="shared" si="28"/>
        <v>0</v>
      </c>
      <c r="H566">
        <f>COUNTIF(Base_Itens!$E$5:$E$1504,A566)</f>
        <v>1</v>
      </c>
      <c r="I566" t="str">
        <f t="shared" si="29"/>
        <v>OK</v>
      </c>
      <c r="J566" t="str">
        <f>Base_Itens!E543</f>
        <v>2018-Q2-2</v>
      </c>
      <c r="K566" t="str">
        <f>Base_Itens!G543</f>
        <v>E1 — Mercados Financeiros</v>
      </c>
      <c r="L566">
        <f>COUNTIFS(Base_Itens!$E$5:$E$1504,J566,Base_Itens!$G$5:$G$1504,K566)</f>
        <v>1</v>
      </c>
    </row>
    <row r="567" spans="1:12">
      <c r="A567" t="s">
        <v>2708</v>
      </c>
      <c r="B567">
        <v>2018</v>
      </c>
      <c r="C567" t="s">
        <v>82</v>
      </c>
      <c r="D567">
        <v>1</v>
      </c>
      <c r="E567">
        <v>1</v>
      </c>
      <c r="F567">
        <f>SUMIF(Base_Itens!$E$5:$E$1504,A567,Base_Itens!$I$5:$I$1504)</f>
        <v>1</v>
      </c>
      <c r="G567">
        <f t="shared" si="28"/>
        <v>0</v>
      </c>
      <c r="H567">
        <f>COUNTIF(Base_Itens!$E$5:$E$1504,A567)</f>
        <v>1</v>
      </c>
      <c r="I567" t="str">
        <f t="shared" si="29"/>
        <v>OK</v>
      </c>
      <c r="J567" t="str">
        <f>Base_Itens!E544</f>
        <v>2018-Q2-3</v>
      </c>
      <c r="K567" t="str">
        <f>Base_Itens!G544</f>
        <v>03 — Sistema Monetário</v>
      </c>
      <c r="L567">
        <f>COUNTIFS(Base_Itens!$E$5:$E$1504,J567,Base_Itens!$G$5:$G$1504,K567)</f>
        <v>1</v>
      </c>
    </row>
    <row r="568" spans="1:12">
      <c r="A568" t="s">
        <v>2709</v>
      </c>
      <c r="B568">
        <v>2018</v>
      </c>
      <c r="C568" t="s">
        <v>82</v>
      </c>
      <c r="D568">
        <v>1</v>
      </c>
      <c r="E568">
        <v>1</v>
      </c>
      <c r="F568">
        <f>SUMIF(Base_Itens!$E$5:$E$1504,A568,Base_Itens!$I$5:$I$1504)</f>
        <v>1</v>
      </c>
      <c r="G568">
        <f t="shared" si="28"/>
        <v>0</v>
      </c>
      <c r="H568">
        <f>COUNTIF(Base_Itens!$E$5:$E$1504,A568)</f>
        <v>1</v>
      </c>
      <c r="I568" t="str">
        <f t="shared" si="29"/>
        <v>OK</v>
      </c>
      <c r="J568" t="str">
        <f>Base_Itens!E545</f>
        <v>2018-Q2-4</v>
      </c>
      <c r="K568" t="str">
        <f>Base_Itens!G545</f>
        <v>05 — IS-LM</v>
      </c>
      <c r="L568">
        <f>COUNTIFS(Base_Itens!$E$5:$E$1504,J568,Base_Itens!$G$5:$G$1504,K568)</f>
        <v>1</v>
      </c>
    </row>
    <row r="569" spans="1:12">
      <c r="A569" t="s">
        <v>2710</v>
      </c>
      <c r="B569">
        <v>2018</v>
      </c>
      <c r="C569" t="s">
        <v>82</v>
      </c>
      <c r="D569">
        <v>1</v>
      </c>
      <c r="E569">
        <v>1</v>
      </c>
      <c r="F569">
        <f>SUMIF(Base_Itens!$E$5:$E$1504,A569,Base_Itens!$I$5:$I$1504)</f>
        <v>1</v>
      </c>
      <c r="G569">
        <f t="shared" si="28"/>
        <v>0</v>
      </c>
      <c r="H569">
        <f>COUNTIF(Base_Itens!$E$5:$E$1504,A569)</f>
        <v>1</v>
      </c>
      <c r="I569" t="str">
        <f t="shared" si="29"/>
        <v>OK</v>
      </c>
      <c r="J569" t="str">
        <f>Base_Itens!E546</f>
        <v>2018-Q3-0</v>
      </c>
      <c r="K569" t="str">
        <f>Base_Itens!G546</f>
        <v>06 — IS-LM-BP</v>
      </c>
      <c r="L569">
        <f>COUNTIFS(Base_Itens!$E$5:$E$1504,J569,Base_Itens!$G$5:$G$1504,K569)</f>
        <v>1</v>
      </c>
    </row>
    <row r="570" spans="1:12">
      <c r="A570" t="s">
        <v>2711</v>
      </c>
      <c r="B570">
        <v>2018</v>
      </c>
      <c r="C570" t="s">
        <v>82</v>
      </c>
      <c r="D570">
        <v>1</v>
      </c>
      <c r="E570">
        <v>1</v>
      </c>
      <c r="F570">
        <f>SUMIF(Base_Itens!$E$5:$E$1504,A570,Base_Itens!$I$5:$I$1504)</f>
        <v>1</v>
      </c>
      <c r="G570">
        <f t="shared" si="28"/>
        <v>0</v>
      </c>
      <c r="H570">
        <f>COUNTIF(Base_Itens!$E$5:$E$1504,A570)</f>
        <v>1</v>
      </c>
      <c r="I570" t="str">
        <f t="shared" si="29"/>
        <v>OK</v>
      </c>
      <c r="J570" t="str">
        <f>Base_Itens!E547</f>
        <v>2018-Q3-1</v>
      </c>
      <c r="K570" t="str">
        <f>Base_Itens!G547</f>
        <v>06 — IS-LM-BP</v>
      </c>
      <c r="L570">
        <f>COUNTIFS(Base_Itens!$E$5:$E$1504,J570,Base_Itens!$G$5:$G$1504,K570)</f>
        <v>1</v>
      </c>
    </row>
    <row r="571" spans="1:12">
      <c r="A571" t="s">
        <v>2712</v>
      </c>
      <c r="B571">
        <v>2018</v>
      </c>
      <c r="C571" t="s">
        <v>82</v>
      </c>
      <c r="D571">
        <v>1</v>
      </c>
      <c r="E571">
        <v>1</v>
      </c>
      <c r="F571">
        <f>SUMIF(Base_Itens!$E$5:$E$1504,A571,Base_Itens!$I$5:$I$1504)</f>
        <v>1</v>
      </c>
      <c r="G571">
        <f t="shared" si="28"/>
        <v>0</v>
      </c>
      <c r="H571">
        <f>COUNTIF(Base_Itens!$E$5:$E$1504,A571)</f>
        <v>1</v>
      </c>
      <c r="I571" t="str">
        <f t="shared" si="29"/>
        <v>OK</v>
      </c>
      <c r="J571" t="str">
        <f>Base_Itens!E548</f>
        <v>2018-Q3-2</v>
      </c>
      <c r="K571" t="str">
        <f>Base_Itens!G548</f>
        <v>06 — IS-LM-BP</v>
      </c>
      <c r="L571">
        <f>COUNTIFS(Base_Itens!$E$5:$E$1504,J571,Base_Itens!$G$5:$G$1504,K571)</f>
        <v>1</v>
      </c>
    </row>
    <row r="572" spans="1:12">
      <c r="A572" t="s">
        <v>2713</v>
      </c>
      <c r="B572">
        <v>2018</v>
      </c>
      <c r="C572" t="s">
        <v>82</v>
      </c>
      <c r="D572">
        <v>1</v>
      </c>
      <c r="E572">
        <v>1</v>
      </c>
      <c r="F572">
        <f>SUMIF(Base_Itens!$E$5:$E$1504,A572,Base_Itens!$I$5:$I$1504)</f>
        <v>1</v>
      </c>
      <c r="G572">
        <f t="shared" si="28"/>
        <v>0</v>
      </c>
      <c r="H572">
        <f>COUNTIF(Base_Itens!$E$5:$E$1504,A572)</f>
        <v>1</v>
      </c>
      <c r="I572" t="str">
        <f t="shared" si="29"/>
        <v>OK</v>
      </c>
      <c r="J572" t="str">
        <f>Base_Itens!E549</f>
        <v>2018-Q3-3</v>
      </c>
      <c r="K572" t="str">
        <f>Base_Itens!G549</f>
        <v>06 — IS-LM-BP</v>
      </c>
      <c r="L572">
        <f>COUNTIFS(Base_Itens!$E$5:$E$1504,J572,Base_Itens!$G$5:$G$1504,K572)</f>
        <v>1</v>
      </c>
    </row>
    <row r="573" spans="1:12">
      <c r="A573" t="s">
        <v>2714</v>
      </c>
      <c r="B573">
        <v>2018</v>
      </c>
      <c r="C573" t="s">
        <v>82</v>
      </c>
      <c r="D573">
        <v>1</v>
      </c>
      <c r="E573">
        <v>1</v>
      </c>
      <c r="F573">
        <f>SUMIF(Base_Itens!$E$5:$E$1504,A573,Base_Itens!$I$5:$I$1504)</f>
        <v>1</v>
      </c>
      <c r="G573">
        <f t="shared" si="28"/>
        <v>0</v>
      </c>
      <c r="H573">
        <f>COUNTIF(Base_Itens!$E$5:$E$1504,A573)</f>
        <v>1</v>
      </c>
      <c r="I573" t="str">
        <f t="shared" si="29"/>
        <v>OK</v>
      </c>
      <c r="J573" t="str">
        <f>Base_Itens!E550</f>
        <v>2018-Q3-4</v>
      </c>
      <c r="K573" t="str">
        <f>Base_Itens!G550</f>
        <v>06 — IS-LM-BP</v>
      </c>
      <c r="L573">
        <f>COUNTIFS(Base_Itens!$E$5:$E$1504,J573,Base_Itens!$G$5:$G$1504,K573)</f>
        <v>1</v>
      </c>
    </row>
    <row r="574" spans="1:12">
      <c r="A574" t="s">
        <v>2715</v>
      </c>
      <c r="B574">
        <v>2018</v>
      </c>
      <c r="C574" t="s">
        <v>82</v>
      </c>
      <c r="D574">
        <v>1</v>
      </c>
      <c r="E574">
        <v>1</v>
      </c>
      <c r="F574">
        <f>SUMIF(Base_Itens!$E$5:$E$1504,A574,Base_Itens!$I$5:$I$1504)</f>
        <v>1</v>
      </c>
      <c r="G574">
        <f t="shared" si="28"/>
        <v>0</v>
      </c>
      <c r="H574">
        <f>COUNTIF(Base_Itens!$E$5:$E$1504,A574)</f>
        <v>1</v>
      </c>
      <c r="I574" t="str">
        <f t="shared" si="29"/>
        <v>OK</v>
      </c>
      <c r="J574" t="str">
        <f>Base_Itens!E551</f>
        <v>2018-Q4-0</v>
      </c>
      <c r="K574" t="str">
        <f>Base_Itens!G551</f>
        <v>07b — OA-DA</v>
      </c>
      <c r="L574">
        <f>COUNTIFS(Base_Itens!$E$5:$E$1504,J574,Base_Itens!$G$5:$G$1504,K574)</f>
        <v>1</v>
      </c>
    </row>
    <row r="575" spans="1:12">
      <c r="A575" t="s">
        <v>2716</v>
      </c>
      <c r="B575">
        <v>2018</v>
      </c>
      <c r="C575" t="s">
        <v>82</v>
      </c>
      <c r="D575">
        <v>1</v>
      </c>
      <c r="E575">
        <v>1</v>
      </c>
      <c r="F575">
        <f>SUMIF(Base_Itens!$E$5:$E$1504,A575,Base_Itens!$I$5:$I$1504)</f>
        <v>1</v>
      </c>
      <c r="G575">
        <f t="shared" si="28"/>
        <v>0</v>
      </c>
      <c r="H575">
        <f>COUNTIF(Base_Itens!$E$5:$E$1504,A575)</f>
        <v>1</v>
      </c>
      <c r="I575" t="str">
        <f t="shared" si="29"/>
        <v>OK</v>
      </c>
      <c r="J575" t="str">
        <f>Base_Itens!E552</f>
        <v>2018-Q4-1</v>
      </c>
      <c r="K575" t="str">
        <f>Base_Itens!G552</f>
        <v>07b — OA-DA</v>
      </c>
      <c r="L575">
        <f>COUNTIFS(Base_Itens!$E$5:$E$1504,J575,Base_Itens!$G$5:$G$1504,K575)</f>
        <v>1</v>
      </c>
    </row>
    <row r="576" spans="1:12">
      <c r="A576" t="s">
        <v>2717</v>
      </c>
      <c r="B576">
        <v>2018</v>
      </c>
      <c r="C576" t="s">
        <v>82</v>
      </c>
      <c r="D576">
        <v>1</v>
      </c>
      <c r="E576">
        <v>1</v>
      </c>
      <c r="F576">
        <f>SUMIF(Base_Itens!$E$5:$E$1504,A576,Base_Itens!$I$5:$I$1504)</f>
        <v>1</v>
      </c>
      <c r="G576">
        <f t="shared" si="28"/>
        <v>0</v>
      </c>
      <c r="H576">
        <f>COUNTIF(Base_Itens!$E$5:$E$1504,A576)</f>
        <v>1</v>
      </c>
      <c r="I576" t="str">
        <f t="shared" si="29"/>
        <v>OK</v>
      </c>
      <c r="J576" t="str">
        <f>Base_Itens!E553</f>
        <v>2018-Q4-2</v>
      </c>
      <c r="K576" t="str">
        <f>Base_Itens!G553</f>
        <v>07b — OA-DA</v>
      </c>
      <c r="L576">
        <f>COUNTIFS(Base_Itens!$E$5:$E$1504,J576,Base_Itens!$G$5:$G$1504,K576)</f>
        <v>1</v>
      </c>
    </row>
    <row r="577" spans="1:12">
      <c r="A577" t="s">
        <v>2718</v>
      </c>
      <c r="B577">
        <v>2018</v>
      </c>
      <c r="C577" t="s">
        <v>82</v>
      </c>
      <c r="D577">
        <v>1</v>
      </c>
      <c r="E577">
        <v>1</v>
      </c>
      <c r="F577">
        <f>SUMIF(Base_Itens!$E$5:$E$1504,A577,Base_Itens!$I$5:$I$1504)</f>
        <v>1</v>
      </c>
      <c r="G577">
        <f t="shared" si="28"/>
        <v>0</v>
      </c>
      <c r="H577">
        <f>COUNTIF(Base_Itens!$E$5:$E$1504,A577)</f>
        <v>1</v>
      </c>
      <c r="I577" t="str">
        <f t="shared" si="29"/>
        <v>OK</v>
      </c>
      <c r="J577" t="str">
        <f>Base_Itens!E554</f>
        <v>2018-Q4-3</v>
      </c>
      <c r="K577" t="str">
        <f>Base_Itens!G554</f>
        <v>08 — Curva de Phillips</v>
      </c>
      <c r="L577">
        <f>COUNTIFS(Base_Itens!$E$5:$E$1504,J577,Base_Itens!$G$5:$G$1504,K577)</f>
        <v>1</v>
      </c>
    </row>
    <row r="578" spans="1:12">
      <c r="A578" t="s">
        <v>2719</v>
      </c>
      <c r="B578">
        <v>2018</v>
      </c>
      <c r="C578" t="s">
        <v>82</v>
      </c>
      <c r="D578">
        <v>1</v>
      </c>
      <c r="E578">
        <v>1</v>
      </c>
      <c r="F578">
        <f>SUMIF(Base_Itens!$E$5:$E$1504,A578,Base_Itens!$I$5:$I$1504)</f>
        <v>1</v>
      </c>
      <c r="G578">
        <f t="shared" si="28"/>
        <v>0</v>
      </c>
      <c r="H578">
        <f>COUNTIF(Base_Itens!$E$5:$E$1504,A578)</f>
        <v>1</v>
      </c>
      <c r="I578" t="str">
        <f t="shared" si="29"/>
        <v>OK</v>
      </c>
      <c r="J578" t="str">
        <f>Base_Itens!E555</f>
        <v>2018-Q4-4</v>
      </c>
      <c r="K578" t="str">
        <f>Base_Itens!G555</f>
        <v>07b — OA-DA</v>
      </c>
      <c r="L578">
        <f>COUNTIFS(Base_Itens!$E$5:$E$1504,J578,Base_Itens!$G$5:$G$1504,K578)</f>
        <v>1</v>
      </c>
    </row>
    <row r="579" spans="1:12">
      <c r="A579" t="s">
        <v>2720</v>
      </c>
      <c r="B579">
        <v>2018</v>
      </c>
      <c r="C579" t="s">
        <v>82</v>
      </c>
      <c r="D579">
        <v>1</v>
      </c>
      <c r="E579">
        <v>1</v>
      </c>
      <c r="F579">
        <f>SUMIF(Base_Itens!$E$5:$E$1504,A579,Base_Itens!$I$5:$I$1504)</f>
        <v>1</v>
      </c>
      <c r="G579">
        <f t="shared" si="28"/>
        <v>0</v>
      </c>
      <c r="H579">
        <f>COUNTIF(Base_Itens!$E$5:$E$1504,A579)</f>
        <v>1</v>
      </c>
      <c r="I579" t="str">
        <f t="shared" si="29"/>
        <v>OK</v>
      </c>
      <c r="J579" t="str">
        <f>Base_Itens!E556</f>
        <v>2018-Q5-0</v>
      </c>
      <c r="K579" t="str">
        <f>Base_Itens!G556</f>
        <v>11 — Crescimento Econômico</v>
      </c>
      <c r="L579">
        <f>COUNTIFS(Base_Itens!$E$5:$E$1504,J579,Base_Itens!$G$5:$G$1504,K579)</f>
        <v>1</v>
      </c>
    </row>
    <row r="580" spans="1:12">
      <c r="A580" t="s">
        <v>2721</v>
      </c>
      <c r="B580">
        <v>2018</v>
      </c>
      <c r="C580" t="s">
        <v>82</v>
      </c>
      <c r="D580">
        <v>1</v>
      </c>
      <c r="E580">
        <v>1</v>
      </c>
      <c r="F580">
        <f>SUMIF(Base_Itens!$E$5:$E$1504,A580,Base_Itens!$I$5:$I$1504)</f>
        <v>1</v>
      </c>
      <c r="G580">
        <f t="shared" si="28"/>
        <v>0</v>
      </c>
      <c r="H580">
        <f>COUNTIF(Base_Itens!$E$5:$E$1504,A580)</f>
        <v>1</v>
      </c>
      <c r="I580" t="str">
        <f t="shared" si="29"/>
        <v>OK</v>
      </c>
      <c r="J580" t="str">
        <f>Base_Itens!E557</f>
        <v>2018-Q5-1</v>
      </c>
      <c r="K580" t="str">
        <f>Base_Itens!G557</f>
        <v>11 — Crescimento Econômico</v>
      </c>
      <c r="L580">
        <f>COUNTIFS(Base_Itens!$E$5:$E$1504,J580,Base_Itens!$G$5:$G$1504,K580)</f>
        <v>1</v>
      </c>
    </row>
    <row r="581" spans="1:12">
      <c r="A581" t="s">
        <v>2722</v>
      </c>
      <c r="B581">
        <v>2018</v>
      </c>
      <c r="C581" t="s">
        <v>82</v>
      </c>
      <c r="D581">
        <v>1</v>
      </c>
      <c r="E581">
        <v>1</v>
      </c>
      <c r="F581">
        <f>SUMIF(Base_Itens!$E$5:$E$1504,A581,Base_Itens!$I$5:$I$1504)</f>
        <v>1</v>
      </c>
      <c r="G581">
        <f t="shared" si="28"/>
        <v>0</v>
      </c>
      <c r="H581">
        <f>COUNTIF(Base_Itens!$E$5:$E$1504,A581)</f>
        <v>1</v>
      </c>
      <c r="I581" t="str">
        <f t="shared" si="29"/>
        <v>OK</v>
      </c>
      <c r="J581" t="str">
        <f>Base_Itens!E558</f>
        <v>2018-Q5-2</v>
      </c>
      <c r="K581" t="str">
        <f>Base_Itens!G558</f>
        <v>11 — Crescimento Econômico</v>
      </c>
      <c r="L581">
        <f>COUNTIFS(Base_Itens!$E$5:$E$1504,J581,Base_Itens!$G$5:$G$1504,K581)</f>
        <v>1</v>
      </c>
    </row>
    <row r="582" spans="1:12">
      <c r="A582" t="s">
        <v>2723</v>
      </c>
      <c r="B582">
        <v>2018</v>
      </c>
      <c r="C582" t="s">
        <v>82</v>
      </c>
      <c r="D582">
        <v>1</v>
      </c>
      <c r="E582">
        <v>1</v>
      </c>
      <c r="F582">
        <f>SUMIF(Base_Itens!$E$5:$E$1504,A582,Base_Itens!$I$5:$I$1504)</f>
        <v>1</v>
      </c>
      <c r="G582">
        <f t="shared" si="28"/>
        <v>0</v>
      </c>
      <c r="H582">
        <f>COUNTIF(Base_Itens!$E$5:$E$1504,A582)</f>
        <v>1</v>
      </c>
      <c r="I582" t="str">
        <f t="shared" si="29"/>
        <v>OK</v>
      </c>
      <c r="J582" t="str">
        <f>Base_Itens!E559</f>
        <v>2018-Q5-3</v>
      </c>
      <c r="K582" t="str">
        <f>Base_Itens!G559</f>
        <v>11 — Crescimento Econômico</v>
      </c>
      <c r="L582">
        <f>COUNTIFS(Base_Itens!$E$5:$E$1504,J582,Base_Itens!$G$5:$G$1504,K582)</f>
        <v>1</v>
      </c>
    </row>
    <row r="583" spans="1:12">
      <c r="A583" t="s">
        <v>2724</v>
      </c>
      <c r="B583">
        <v>2018</v>
      </c>
      <c r="C583" t="s">
        <v>82</v>
      </c>
      <c r="D583">
        <v>1</v>
      </c>
      <c r="E583">
        <v>1</v>
      </c>
      <c r="F583">
        <f>SUMIF(Base_Itens!$E$5:$E$1504,A583,Base_Itens!$I$5:$I$1504)</f>
        <v>1</v>
      </c>
      <c r="G583">
        <f t="shared" si="28"/>
        <v>0</v>
      </c>
      <c r="H583">
        <f>COUNTIF(Base_Itens!$E$5:$E$1504,A583)</f>
        <v>1</v>
      </c>
      <c r="I583" t="str">
        <f t="shared" si="29"/>
        <v>OK</v>
      </c>
      <c r="J583" t="str">
        <f>Base_Itens!E560</f>
        <v>2018-Q5-4</v>
      </c>
      <c r="K583" t="str">
        <f>Base_Itens!G560</f>
        <v>11 — Crescimento Econômico</v>
      </c>
      <c r="L583">
        <f>COUNTIFS(Base_Itens!$E$5:$E$1504,J583,Base_Itens!$G$5:$G$1504,K583)</f>
        <v>1</v>
      </c>
    </row>
    <row r="584" spans="1:12">
      <c r="A584" t="s">
        <v>2725</v>
      </c>
      <c r="B584">
        <v>2018</v>
      </c>
      <c r="C584" t="s">
        <v>82</v>
      </c>
      <c r="D584">
        <v>1</v>
      </c>
      <c r="E584">
        <v>1</v>
      </c>
      <c r="F584">
        <f>SUMIF(Base_Itens!$E$5:$E$1504,A584,Base_Itens!$I$5:$I$1504)</f>
        <v>1</v>
      </c>
      <c r="G584">
        <f t="shared" si="28"/>
        <v>0</v>
      </c>
      <c r="H584">
        <f>COUNTIF(Base_Itens!$E$5:$E$1504,A584)</f>
        <v>1</v>
      </c>
      <c r="I584" t="str">
        <f t="shared" si="29"/>
        <v>OK</v>
      </c>
      <c r="J584" t="str">
        <f>Base_Itens!E561</f>
        <v>2018-Q6-0</v>
      </c>
      <c r="K584" t="str">
        <f>Base_Itens!G561</f>
        <v>07a — Paridades</v>
      </c>
      <c r="L584">
        <f>COUNTIFS(Base_Itens!$E$5:$E$1504,J584,Base_Itens!$G$5:$G$1504,K584)</f>
        <v>1</v>
      </c>
    </row>
    <row r="585" spans="1:12">
      <c r="A585" t="s">
        <v>2726</v>
      </c>
      <c r="B585">
        <v>2018</v>
      </c>
      <c r="C585" t="s">
        <v>82</v>
      </c>
      <c r="D585">
        <v>1</v>
      </c>
      <c r="E585">
        <v>1</v>
      </c>
      <c r="F585">
        <f>SUMIF(Base_Itens!$E$5:$E$1504,A585,Base_Itens!$I$5:$I$1504)</f>
        <v>1</v>
      </c>
      <c r="G585">
        <f t="shared" si="28"/>
        <v>0</v>
      </c>
      <c r="H585">
        <f>COUNTIF(Base_Itens!$E$5:$E$1504,A585)</f>
        <v>1</v>
      </c>
      <c r="I585" t="str">
        <f t="shared" si="29"/>
        <v>OK</v>
      </c>
      <c r="J585" t="str">
        <f>Base_Itens!E562</f>
        <v>2018-Q6-1</v>
      </c>
      <c r="K585" t="str">
        <f>Base_Itens!G562</f>
        <v>07a — Paridades</v>
      </c>
      <c r="L585">
        <f>COUNTIFS(Base_Itens!$E$5:$E$1504,J585,Base_Itens!$G$5:$G$1504,K585)</f>
        <v>1</v>
      </c>
    </row>
    <row r="586" spans="1:12">
      <c r="A586" t="s">
        <v>2727</v>
      </c>
      <c r="B586">
        <v>2018</v>
      </c>
      <c r="C586" t="s">
        <v>82</v>
      </c>
      <c r="D586">
        <v>1</v>
      </c>
      <c r="E586">
        <v>1</v>
      </c>
      <c r="F586">
        <f>SUMIF(Base_Itens!$E$5:$E$1504,A586,Base_Itens!$I$5:$I$1504)</f>
        <v>1</v>
      </c>
      <c r="G586">
        <f t="shared" si="28"/>
        <v>0</v>
      </c>
      <c r="H586">
        <f>COUNTIF(Base_Itens!$E$5:$E$1504,A586)</f>
        <v>1</v>
      </c>
      <c r="I586" t="str">
        <f t="shared" si="29"/>
        <v>OK</v>
      </c>
      <c r="J586" t="str">
        <f>Base_Itens!E563</f>
        <v>2018-Q6-2</v>
      </c>
      <c r="K586" t="str">
        <f>Base_Itens!G563</f>
        <v>07a — Paridades</v>
      </c>
      <c r="L586">
        <f>COUNTIFS(Base_Itens!$E$5:$E$1504,J586,Base_Itens!$G$5:$G$1504,K586)</f>
        <v>1</v>
      </c>
    </row>
    <row r="587" spans="1:12">
      <c r="A587" t="s">
        <v>2728</v>
      </c>
      <c r="B587">
        <v>2018</v>
      </c>
      <c r="C587" t="s">
        <v>82</v>
      </c>
      <c r="D587">
        <v>1</v>
      </c>
      <c r="E587">
        <v>1</v>
      </c>
      <c r="F587">
        <f>SUMIF(Base_Itens!$E$5:$E$1504,A587,Base_Itens!$I$5:$I$1504)</f>
        <v>1</v>
      </c>
      <c r="G587">
        <f t="shared" si="28"/>
        <v>0</v>
      </c>
      <c r="H587">
        <f>COUNTIF(Base_Itens!$E$5:$E$1504,A587)</f>
        <v>1</v>
      </c>
      <c r="I587" t="str">
        <f t="shared" si="29"/>
        <v>OK</v>
      </c>
      <c r="J587" t="str">
        <f>Base_Itens!E564</f>
        <v>2018-Q6-3</v>
      </c>
      <c r="K587" t="str">
        <f>Base_Itens!G564</f>
        <v>07a — Paridades</v>
      </c>
      <c r="L587">
        <f>COUNTIFS(Base_Itens!$E$5:$E$1504,J587,Base_Itens!$G$5:$G$1504,K587)</f>
        <v>1</v>
      </c>
    </row>
    <row r="588" spans="1:12">
      <c r="A588" t="s">
        <v>2729</v>
      </c>
      <c r="B588">
        <v>2018</v>
      </c>
      <c r="C588" t="s">
        <v>82</v>
      </c>
      <c r="D588">
        <v>1</v>
      </c>
      <c r="E588">
        <v>1</v>
      </c>
      <c r="F588">
        <f>SUMIF(Base_Itens!$E$5:$E$1504,A588,Base_Itens!$I$5:$I$1504)</f>
        <v>1</v>
      </c>
      <c r="G588">
        <f t="shared" si="28"/>
        <v>0</v>
      </c>
      <c r="H588">
        <f>COUNTIF(Base_Itens!$E$5:$E$1504,A588)</f>
        <v>1</v>
      </c>
      <c r="I588" t="str">
        <f t="shared" si="29"/>
        <v>OK</v>
      </c>
      <c r="J588" t="str">
        <f>Base_Itens!E565</f>
        <v>2018-Q6-4</v>
      </c>
      <c r="K588" t="str">
        <f>Base_Itens!G565</f>
        <v>07a — Paridades</v>
      </c>
      <c r="L588">
        <f>COUNTIFS(Base_Itens!$E$5:$E$1504,J588,Base_Itens!$G$5:$G$1504,K588)</f>
        <v>1</v>
      </c>
    </row>
    <row r="589" spans="1:12">
      <c r="A589" t="s">
        <v>2730</v>
      </c>
      <c r="B589">
        <v>2018</v>
      </c>
      <c r="C589" t="s">
        <v>82</v>
      </c>
      <c r="D589">
        <v>1</v>
      </c>
      <c r="E589">
        <v>1</v>
      </c>
      <c r="F589">
        <f>SUMIF(Base_Itens!$E$5:$E$1504,A589,Base_Itens!$I$5:$I$1504)</f>
        <v>1</v>
      </c>
      <c r="G589">
        <f t="shared" si="28"/>
        <v>0</v>
      </c>
      <c r="H589">
        <f>COUNTIF(Base_Itens!$E$5:$E$1504,A589)</f>
        <v>1</v>
      </c>
      <c r="I589" t="str">
        <f t="shared" si="29"/>
        <v>OK</v>
      </c>
      <c r="J589" t="str">
        <f>Base_Itens!E566</f>
        <v>2018-Q7-0</v>
      </c>
      <c r="K589" t="str">
        <f>Base_Itens!G566</f>
        <v>12 — Consumo</v>
      </c>
      <c r="L589">
        <f>COUNTIFS(Base_Itens!$E$5:$E$1504,J589,Base_Itens!$G$5:$G$1504,K589)</f>
        <v>1</v>
      </c>
    </row>
    <row r="590" spans="1:12">
      <c r="A590" t="s">
        <v>2731</v>
      </c>
      <c r="B590">
        <v>2018</v>
      </c>
      <c r="C590" t="s">
        <v>82</v>
      </c>
      <c r="D590">
        <v>1</v>
      </c>
      <c r="E590">
        <v>1</v>
      </c>
      <c r="F590">
        <f>SUMIF(Base_Itens!$E$5:$E$1504,A590,Base_Itens!$I$5:$I$1504)</f>
        <v>1</v>
      </c>
      <c r="G590">
        <f t="shared" si="28"/>
        <v>0</v>
      </c>
      <c r="H590">
        <f>COUNTIF(Base_Itens!$E$5:$E$1504,A590)</f>
        <v>1</v>
      </c>
      <c r="I590" t="str">
        <f t="shared" si="29"/>
        <v>OK</v>
      </c>
      <c r="J590" t="str">
        <f>Base_Itens!E567</f>
        <v>2018-Q7-1</v>
      </c>
      <c r="K590" t="str">
        <f>Base_Itens!G567</f>
        <v>12 — Consumo</v>
      </c>
      <c r="L590">
        <f>COUNTIFS(Base_Itens!$E$5:$E$1504,J590,Base_Itens!$G$5:$G$1504,K590)</f>
        <v>1</v>
      </c>
    </row>
    <row r="591" spans="1:12">
      <c r="A591" t="s">
        <v>2732</v>
      </c>
      <c r="B591">
        <v>2018</v>
      </c>
      <c r="C591" t="s">
        <v>82</v>
      </c>
      <c r="D591">
        <v>1</v>
      </c>
      <c r="E591">
        <v>1</v>
      </c>
      <c r="F591">
        <f>SUMIF(Base_Itens!$E$5:$E$1504,A591,Base_Itens!$I$5:$I$1504)</f>
        <v>1</v>
      </c>
      <c r="G591">
        <f t="shared" si="28"/>
        <v>0</v>
      </c>
      <c r="H591">
        <f>COUNTIF(Base_Itens!$E$5:$E$1504,A591)</f>
        <v>1</v>
      </c>
      <c r="I591" t="str">
        <f t="shared" si="29"/>
        <v>OK</v>
      </c>
      <c r="J591" t="str">
        <f>Base_Itens!E568</f>
        <v>2018-Q7-2</v>
      </c>
      <c r="K591" t="str">
        <f>Base_Itens!G568</f>
        <v>12 — Consumo</v>
      </c>
      <c r="L591">
        <f>COUNTIFS(Base_Itens!$E$5:$E$1504,J591,Base_Itens!$G$5:$G$1504,K591)</f>
        <v>1</v>
      </c>
    </row>
    <row r="592" spans="1:12">
      <c r="A592" t="s">
        <v>2733</v>
      </c>
      <c r="B592">
        <v>2018</v>
      </c>
      <c r="C592" t="s">
        <v>82</v>
      </c>
      <c r="D592">
        <v>1</v>
      </c>
      <c r="E592">
        <v>1</v>
      </c>
      <c r="F592">
        <f>SUMIF(Base_Itens!$E$5:$E$1504,A592,Base_Itens!$I$5:$I$1504)</f>
        <v>1</v>
      </c>
      <c r="G592">
        <f t="shared" si="28"/>
        <v>0</v>
      </c>
      <c r="H592">
        <f>COUNTIF(Base_Itens!$E$5:$E$1504,A592)</f>
        <v>1</v>
      </c>
      <c r="I592" t="str">
        <f t="shared" si="29"/>
        <v>OK</v>
      </c>
      <c r="J592" t="str">
        <f>Base_Itens!E569</f>
        <v>2018-Q7-3</v>
      </c>
      <c r="K592" t="str">
        <f>Base_Itens!G569</f>
        <v>13 — Investimento</v>
      </c>
      <c r="L592">
        <f>COUNTIFS(Base_Itens!$E$5:$E$1504,J592,Base_Itens!$G$5:$G$1504,K592)</f>
        <v>1</v>
      </c>
    </row>
    <row r="593" spans="1:12">
      <c r="A593" t="s">
        <v>2734</v>
      </c>
      <c r="B593">
        <v>2018</v>
      </c>
      <c r="C593" t="s">
        <v>82</v>
      </c>
      <c r="D593">
        <v>1</v>
      </c>
      <c r="E593">
        <v>1</v>
      </c>
      <c r="F593">
        <f>SUMIF(Base_Itens!$E$5:$E$1504,A593,Base_Itens!$I$5:$I$1504)</f>
        <v>1</v>
      </c>
      <c r="G593">
        <f t="shared" si="28"/>
        <v>0</v>
      </c>
      <c r="H593">
        <f>COUNTIF(Base_Itens!$E$5:$E$1504,A593)</f>
        <v>1</v>
      </c>
      <c r="I593" t="str">
        <f t="shared" si="29"/>
        <v>OK</v>
      </c>
      <c r="J593" t="str">
        <f>Base_Itens!E570</f>
        <v>2018-Q7-4</v>
      </c>
      <c r="K593" t="str">
        <f>Base_Itens!G570</f>
        <v>E1 — Mercados Financeiros</v>
      </c>
      <c r="L593">
        <f>COUNTIFS(Base_Itens!$E$5:$E$1504,J593,Base_Itens!$G$5:$G$1504,K593)</f>
        <v>1</v>
      </c>
    </row>
    <row r="594" spans="1:12">
      <c r="A594" t="s">
        <v>2735</v>
      </c>
      <c r="B594">
        <v>2018</v>
      </c>
      <c r="C594" t="s">
        <v>82</v>
      </c>
      <c r="D594">
        <v>1</v>
      </c>
      <c r="E594">
        <v>1</v>
      </c>
      <c r="F594">
        <f>SUMIF(Base_Itens!$E$5:$E$1504,A594,Base_Itens!$I$5:$I$1504)</f>
        <v>1</v>
      </c>
      <c r="G594">
        <f t="shared" si="28"/>
        <v>0</v>
      </c>
      <c r="H594">
        <f>COUNTIF(Base_Itens!$E$5:$E$1504,A594)</f>
        <v>1</v>
      </c>
      <c r="I594" t="str">
        <f t="shared" si="29"/>
        <v>OK</v>
      </c>
      <c r="J594" t="str">
        <f>Base_Itens!E571</f>
        <v>2018-Q8-0</v>
      </c>
      <c r="K594" t="str">
        <f>Base_Itens!G571</f>
        <v>09 — Expectativas, Novos Clássicos e Novos Keynesianos</v>
      </c>
      <c r="L594">
        <f>COUNTIFS(Base_Itens!$E$5:$E$1504,J594,Base_Itens!$G$5:$G$1504,K594)</f>
        <v>1</v>
      </c>
    </row>
    <row r="595" spans="1:12">
      <c r="A595" t="s">
        <v>2736</v>
      </c>
      <c r="B595">
        <v>2018</v>
      </c>
      <c r="C595" t="s">
        <v>82</v>
      </c>
      <c r="D595">
        <v>1</v>
      </c>
      <c r="E595">
        <v>1</v>
      </c>
      <c r="F595">
        <f>SUMIF(Base_Itens!$E$5:$E$1504,A595,Base_Itens!$I$5:$I$1504)</f>
        <v>1</v>
      </c>
      <c r="G595">
        <f t="shared" si="28"/>
        <v>0</v>
      </c>
      <c r="H595">
        <f>COUNTIF(Base_Itens!$E$5:$E$1504,A595)</f>
        <v>1</v>
      </c>
      <c r="I595" t="str">
        <f t="shared" si="29"/>
        <v>OK</v>
      </c>
      <c r="J595" t="str">
        <f>Base_Itens!E572</f>
        <v>2018-Q8-1</v>
      </c>
      <c r="K595" t="str">
        <f>Base_Itens!G572</f>
        <v>09 — Expectativas, Novos Clássicos e Novos Keynesianos</v>
      </c>
      <c r="L595">
        <f>COUNTIFS(Base_Itens!$E$5:$E$1504,J595,Base_Itens!$G$5:$G$1504,K595)</f>
        <v>1</v>
      </c>
    </row>
    <row r="596" spans="1:12">
      <c r="A596" t="s">
        <v>2737</v>
      </c>
      <c r="B596">
        <v>2018</v>
      </c>
      <c r="C596" t="s">
        <v>82</v>
      </c>
      <c r="D596">
        <v>1</v>
      </c>
      <c r="E596">
        <v>1</v>
      </c>
      <c r="F596">
        <f>SUMIF(Base_Itens!$E$5:$E$1504,A596,Base_Itens!$I$5:$I$1504)</f>
        <v>1</v>
      </c>
      <c r="G596">
        <f t="shared" si="28"/>
        <v>0</v>
      </c>
      <c r="H596">
        <f>COUNTIF(Base_Itens!$E$5:$E$1504,A596)</f>
        <v>1</v>
      </c>
      <c r="I596" t="str">
        <f t="shared" ref="I596:I599" si="30">IF(AND(G596=0,H596=E596),"OK","REVER")</f>
        <v>OK</v>
      </c>
      <c r="J596" t="str">
        <f>Base_Itens!E573</f>
        <v>2018-Q8-2</v>
      </c>
      <c r="K596" t="str">
        <f>Base_Itens!G573</f>
        <v>10 — Ciclos Reais de Negócios (RBC)</v>
      </c>
      <c r="L596">
        <f>COUNTIFS(Base_Itens!$E$5:$E$1504,J596,Base_Itens!$G$5:$G$1504,K596)</f>
        <v>1</v>
      </c>
    </row>
    <row r="597" spans="1:12">
      <c r="A597" t="s">
        <v>2738</v>
      </c>
      <c r="B597">
        <v>2018</v>
      </c>
      <c r="C597" t="s">
        <v>82</v>
      </c>
      <c r="D597">
        <v>1</v>
      </c>
      <c r="E597">
        <v>1</v>
      </c>
      <c r="F597">
        <f>SUMIF(Base_Itens!$E$5:$E$1504,A597,Base_Itens!$I$5:$I$1504)</f>
        <v>1</v>
      </c>
      <c r="G597">
        <f t="shared" si="28"/>
        <v>0</v>
      </c>
      <c r="H597">
        <f>COUNTIF(Base_Itens!$E$5:$E$1504,A597)</f>
        <v>1</v>
      </c>
      <c r="I597" t="str">
        <f t="shared" si="30"/>
        <v>OK</v>
      </c>
      <c r="J597" t="str">
        <f>Base_Itens!E574</f>
        <v>2018-Q8-3</v>
      </c>
      <c r="K597" t="str">
        <f>Base_Itens!G574</f>
        <v>08 — Curva de Phillips</v>
      </c>
      <c r="L597">
        <f>COUNTIFS(Base_Itens!$E$5:$E$1504,J597,Base_Itens!$G$5:$G$1504,K597)</f>
        <v>1</v>
      </c>
    </row>
    <row r="598" spans="1:12">
      <c r="A598" t="s">
        <v>2739</v>
      </c>
      <c r="B598">
        <v>2018</v>
      </c>
      <c r="C598" t="s">
        <v>82</v>
      </c>
      <c r="D598">
        <v>1</v>
      </c>
      <c r="E598">
        <v>1</v>
      </c>
      <c r="F598">
        <f>SUMIF(Base_Itens!$E$5:$E$1504,A598,Base_Itens!$I$5:$I$1504)</f>
        <v>1</v>
      </c>
      <c r="G598">
        <f t="shared" si="28"/>
        <v>0</v>
      </c>
      <c r="H598">
        <f>COUNTIF(Base_Itens!$E$5:$E$1504,A598)</f>
        <v>1</v>
      </c>
      <c r="I598" t="str">
        <f t="shared" si="30"/>
        <v>OK</v>
      </c>
      <c r="J598" t="str">
        <f>Base_Itens!E575</f>
        <v>2018-Q8-4</v>
      </c>
      <c r="K598" t="str">
        <f>Base_Itens!G575</f>
        <v>09 — Expectativas, Novos Clássicos e Novos Keynesianos</v>
      </c>
      <c r="L598">
        <f>COUNTIFS(Base_Itens!$E$5:$E$1504,J598,Base_Itens!$G$5:$G$1504,K598)</f>
        <v>1</v>
      </c>
    </row>
    <row r="599" spans="1:12">
      <c r="A599" t="s">
        <v>2740</v>
      </c>
      <c r="B599">
        <v>2018</v>
      </c>
      <c r="C599" t="s">
        <v>82</v>
      </c>
      <c r="D599">
        <v>1</v>
      </c>
      <c r="E599">
        <v>1</v>
      </c>
      <c r="F599">
        <f>SUMIF(Base_Itens!$E$5:$E$1504,A599,Base_Itens!$I$5:$I$1504)</f>
        <v>1</v>
      </c>
      <c r="G599">
        <f t="shared" si="28"/>
        <v>0</v>
      </c>
      <c r="H599">
        <f>COUNTIF(Base_Itens!$E$5:$E$1504,A599)</f>
        <v>1</v>
      </c>
      <c r="I599" t="str">
        <f t="shared" si="30"/>
        <v>OK</v>
      </c>
      <c r="J599" t="str">
        <f>Base_Itens!E576</f>
        <v>2018-Q9-0</v>
      </c>
      <c r="K599" t="str">
        <f>Base_Itens!G576</f>
        <v>05 — IS-LM</v>
      </c>
      <c r="L599">
        <f>COUNTIFS(Base_Itens!$E$5:$E$1504,J599,Base_Itens!$G$5:$G$1504,K599)</f>
        <v>1</v>
      </c>
    </row>
    <row r="600" spans="1:12">
      <c r="A600" t="s">
        <v>2741</v>
      </c>
      <c r="B600">
        <v>2018</v>
      </c>
      <c r="C600" t="s">
        <v>2153</v>
      </c>
      <c r="D600">
        <v>5</v>
      </c>
      <c r="E600">
        <v>1</v>
      </c>
      <c r="F600">
        <f>SUMIF(Base_Itens!$E$5:$E$1504,A600,Base_Itens!$I$5:$I$1504)</f>
        <v>5</v>
      </c>
      <c r="G600">
        <f t="shared" si="28"/>
        <v>0</v>
      </c>
      <c r="H600">
        <f>COUNTIF(Base_Itens!$E$5:$E$1504,A600)</f>
        <v>1</v>
      </c>
      <c r="I600" t="str">
        <f t="shared" ref="I600:I631" si="31">IF(AND(G600=0,H600=E200),"OK","REVER")</f>
        <v>OK</v>
      </c>
      <c r="J600" t="str">
        <f>Base_Itens!E577</f>
        <v>2018-Q9-1</v>
      </c>
      <c r="K600" t="str">
        <f>Base_Itens!G577</f>
        <v>05 — IS-LM</v>
      </c>
      <c r="L600">
        <f>COUNTIFS(Base_Itens!$E$5:$E$1504,J600,Base_Itens!$G$5:$G$1504,K600)</f>
        <v>1</v>
      </c>
    </row>
    <row r="601" spans="1:12">
      <c r="A601" t="s">
        <v>2742</v>
      </c>
      <c r="B601">
        <v>2018</v>
      </c>
      <c r="C601" t="s">
        <v>2153</v>
      </c>
      <c r="D601">
        <v>5</v>
      </c>
      <c r="E601">
        <v>1</v>
      </c>
      <c r="F601">
        <f>SUMIF(Base_Itens!$E$5:$E$1504,A601,Base_Itens!$I$5:$I$1504)</f>
        <v>5</v>
      </c>
      <c r="G601">
        <f t="shared" si="28"/>
        <v>0</v>
      </c>
      <c r="H601">
        <f>COUNTIF(Base_Itens!$E$5:$E$1504,A601)</f>
        <v>1</v>
      </c>
      <c r="I601" t="str">
        <f t="shared" si="31"/>
        <v>OK</v>
      </c>
      <c r="J601" t="str">
        <f>Base_Itens!E578</f>
        <v>2018-Q9-2</v>
      </c>
      <c r="K601" t="str">
        <f>Base_Itens!G578</f>
        <v>05 — IS-LM</v>
      </c>
      <c r="L601">
        <f>COUNTIFS(Base_Itens!$E$5:$E$1504,J601,Base_Itens!$G$5:$G$1504,K601)</f>
        <v>1</v>
      </c>
    </row>
    <row r="602" spans="1:12">
      <c r="A602" t="s">
        <v>2743</v>
      </c>
      <c r="B602">
        <v>2018</v>
      </c>
      <c r="C602" t="s">
        <v>2153</v>
      </c>
      <c r="D602">
        <v>5</v>
      </c>
      <c r="E602">
        <v>1</v>
      </c>
      <c r="F602">
        <f>SUMIF(Base_Itens!$E$5:$E$1504,A602,Base_Itens!$I$5:$I$1504)</f>
        <v>5</v>
      </c>
      <c r="G602">
        <f t="shared" si="28"/>
        <v>0</v>
      </c>
      <c r="H602">
        <f>COUNTIF(Base_Itens!$E$5:$E$1504,A602)</f>
        <v>1</v>
      </c>
      <c r="I602" t="str">
        <f t="shared" si="31"/>
        <v>OK</v>
      </c>
      <c r="J602" t="str">
        <f>Base_Itens!E579</f>
        <v>2018-Q9-3</v>
      </c>
      <c r="K602" t="str">
        <f>Base_Itens!G579</f>
        <v>05 — IS-LM</v>
      </c>
      <c r="L602">
        <f>COUNTIFS(Base_Itens!$E$5:$E$1504,J602,Base_Itens!$G$5:$G$1504,K602)</f>
        <v>1</v>
      </c>
    </row>
    <row r="603" spans="1:12">
      <c r="A603" t="s">
        <v>2744</v>
      </c>
      <c r="B603">
        <v>2019</v>
      </c>
      <c r="C603" t="s">
        <v>82</v>
      </c>
      <c r="D603">
        <v>1</v>
      </c>
      <c r="E603">
        <v>1</v>
      </c>
      <c r="F603">
        <f>SUMIF(Base_Itens!$E$5:$E$1504,A603,Base_Itens!$I$5:$I$1504)</f>
        <v>1</v>
      </c>
      <c r="G603">
        <f t="shared" si="28"/>
        <v>0</v>
      </c>
      <c r="H603">
        <f>COUNTIF(Base_Itens!$E$5:$E$1504,A603)</f>
        <v>1</v>
      </c>
      <c r="I603" t="str">
        <f t="shared" si="31"/>
        <v>OK</v>
      </c>
      <c r="J603" t="str">
        <f>Base_Itens!E580</f>
        <v>2018-Q9-4</v>
      </c>
      <c r="K603" t="str">
        <f>Base_Itens!G580</f>
        <v>05 — IS-LM</v>
      </c>
      <c r="L603">
        <f>COUNTIFS(Base_Itens!$E$5:$E$1504,J603,Base_Itens!$G$5:$G$1504,K603)</f>
        <v>1</v>
      </c>
    </row>
    <row r="604" spans="1:12">
      <c r="A604" t="s">
        <v>2745</v>
      </c>
      <c r="B604">
        <v>2019</v>
      </c>
      <c r="C604" t="s">
        <v>82</v>
      </c>
      <c r="D604">
        <v>1</v>
      </c>
      <c r="E604">
        <v>1</v>
      </c>
      <c r="F604">
        <f>SUMIF(Base_Itens!$E$5:$E$1504,A604,Base_Itens!$I$5:$I$1504)</f>
        <v>1</v>
      </c>
      <c r="G604">
        <f t="shared" ref="G604:G667" si="32">F604-D604</f>
        <v>0</v>
      </c>
      <c r="H604">
        <f>COUNTIF(Base_Itens!$E$5:$E$1504,A604)</f>
        <v>1</v>
      </c>
      <c r="I604" t="str">
        <f t="shared" si="31"/>
        <v>OK</v>
      </c>
      <c r="J604" t="str">
        <f>Base_Itens!E581</f>
        <v>2018-Q10-0</v>
      </c>
      <c r="K604" t="str">
        <f>Base_Itens!G581</f>
        <v>11 — Crescimento Econômico</v>
      </c>
      <c r="L604">
        <f>COUNTIFS(Base_Itens!$E$5:$E$1504,J604,Base_Itens!$G$5:$G$1504,K604)</f>
        <v>1</v>
      </c>
    </row>
    <row r="605" spans="1:12">
      <c r="A605" t="s">
        <v>2746</v>
      </c>
      <c r="B605">
        <v>2019</v>
      </c>
      <c r="C605" t="s">
        <v>82</v>
      </c>
      <c r="D605">
        <v>1</v>
      </c>
      <c r="E605">
        <v>1</v>
      </c>
      <c r="F605">
        <f>SUMIF(Base_Itens!$E$5:$E$1504,A605,Base_Itens!$I$5:$I$1504)</f>
        <v>1</v>
      </c>
      <c r="G605">
        <f t="shared" si="32"/>
        <v>0</v>
      </c>
      <c r="H605">
        <f>COUNTIF(Base_Itens!$E$5:$E$1504,A605)</f>
        <v>1</v>
      </c>
      <c r="I605" t="str">
        <f t="shared" si="31"/>
        <v>OK</v>
      </c>
      <c r="J605" t="str">
        <f>Base_Itens!E582</f>
        <v>2018-Q10-1</v>
      </c>
      <c r="K605" t="str">
        <f>Base_Itens!G582</f>
        <v>11 — Crescimento Econômico</v>
      </c>
      <c r="L605">
        <f>COUNTIFS(Base_Itens!$E$5:$E$1504,J605,Base_Itens!$G$5:$G$1504,K605)</f>
        <v>1</v>
      </c>
    </row>
    <row r="606" spans="1:12">
      <c r="A606" t="s">
        <v>2747</v>
      </c>
      <c r="B606">
        <v>2019</v>
      </c>
      <c r="C606" t="s">
        <v>82</v>
      </c>
      <c r="D606">
        <v>1</v>
      </c>
      <c r="E606">
        <v>1</v>
      </c>
      <c r="F606">
        <f>SUMIF(Base_Itens!$E$5:$E$1504,A606,Base_Itens!$I$5:$I$1504)</f>
        <v>1</v>
      </c>
      <c r="G606">
        <f t="shared" si="32"/>
        <v>0</v>
      </c>
      <c r="H606">
        <f>COUNTIF(Base_Itens!$E$5:$E$1504,A606)</f>
        <v>1</v>
      </c>
      <c r="I606" t="str">
        <f t="shared" si="31"/>
        <v>OK</v>
      </c>
      <c r="J606" t="str">
        <f>Base_Itens!E583</f>
        <v>2018-Q10-2</v>
      </c>
      <c r="K606" t="str">
        <f>Base_Itens!G583</f>
        <v>11 — Crescimento Econômico</v>
      </c>
      <c r="L606">
        <f>COUNTIFS(Base_Itens!$E$5:$E$1504,J606,Base_Itens!$G$5:$G$1504,K606)</f>
        <v>1</v>
      </c>
    </row>
    <row r="607" spans="1:12">
      <c r="A607" t="s">
        <v>2748</v>
      </c>
      <c r="B607">
        <v>2019</v>
      </c>
      <c r="C607" t="s">
        <v>82</v>
      </c>
      <c r="D607">
        <v>1</v>
      </c>
      <c r="E607">
        <v>1</v>
      </c>
      <c r="F607">
        <f>SUMIF(Base_Itens!$E$5:$E$1504,A607,Base_Itens!$I$5:$I$1504)</f>
        <v>1</v>
      </c>
      <c r="G607">
        <f t="shared" si="32"/>
        <v>0</v>
      </c>
      <c r="H607">
        <f>COUNTIF(Base_Itens!$E$5:$E$1504,A607)</f>
        <v>1</v>
      </c>
      <c r="I607" t="str">
        <f t="shared" si="31"/>
        <v>OK</v>
      </c>
      <c r="J607" t="str">
        <f>Base_Itens!E584</f>
        <v>2018-Q10-3</v>
      </c>
      <c r="K607" t="str">
        <f>Base_Itens!G584</f>
        <v>11 — Crescimento Econômico</v>
      </c>
      <c r="L607">
        <f>COUNTIFS(Base_Itens!$E$5:$E$1504,J607,Base_Itens!$G$5:$G$1504,K607)</f>
        <v>1</v>
      </c>
    </row>
    <row r="608" spans="1:12">
      <c r="A608" t="s">
        <v>2749</v>
      </c>
      <c r="B608">
        <v>2019</v>
      </c>
      <c r="C608" t="s">
        <v>82</v>
      </c>
      <c r="D608">
        <v>1</v>
      </c>
      <c r="E608">
        <v>1</v>
      </c>
      <c r="F608">
        <f>SUMIF(Base_Itens!$E$5:$E$1504,A608,Base_Itens!$I$5:$I$1504)</f>
        <v>1</v>
      </c>
      <c r="G608">
        <f t="shared" si="32"/>
        <v>0</v>
      </c>
      <c r="H608">
        <f>COUNTIF(Base_Itens!$E$5:$E$1504,A608)</f>
        <v>1</v>
      </c>
      <c r="I608" t="str">
        <f t="shared" si="31"/>
        <v>OK</v>
      </c>
      <c r="J608" t="str">
        <f>Base_Itens!E585</f>
        <v>2018-Q10-4</v>
      </c>
      <c r="K608" t="str">
        <f>Base_Itens!G585</f>
        <v>11 — Crescimento Econômico</v>
      </c>
      <c r="L608">
        <f>COUNTIFS(Base_Itens!$E$5:$E$1504,J608,Base_Itens!$G$5:$G$1504,K608)</f>
        <v>1</v>
      </c>
    </row>
    <row r="609" spans="1:12">
      <c r="A609" t="s">
        <v>2750</v>
      </c>
      <c r="B609">
        <v>2019</v>
      </c>
      <c r="C609" t="s">
        <v>82</v>
      </c>
      <c r="D609">
        <v>1</v>
      </c>
      <c r="E609">
        <v>1</v>
      </c>
      <c r="F609">
        <f>SUMIF(Base_Itens!$E$5:$E$1504,A609,Base_Itens!$I$5:$I$1504)</f>
        <v>1</v>
      </c>
      <c r="G609">
        <f t="shared" si="32"/>
        <v>0</v>
      </c>
      <c r="H609">
        <f>COUNTIF(Base_Itens!$E$5:$E$1504,A609)</f>
        <v>1</v>
      </c>
      <c r="I609" t="str">
        <f t="shared" si="31"/>
        <v>OK</v>
      </c>
      <c r="J609" t="str">
        <f>Base_Itens!E586</f>
        <v>2018-Q11-0</v>
      </c>
      <c r="K609" t="str">
        <f>Base_Itens!G586</f>
        <v>09 — Expectativas, Novos Clássicos e Novos Keynesianos</v>
      </c>
      <c r="L609">
        <f>COUNTIFS(Base_Itens!$E$5:$E$1504,J609,Base_Itens!$G$5:$G$1504,K609)</f>
        <v>1</v>
      </c>
    </row>
    <row r="610" spans="1:12">
      <c r="A610" t="s">
        <v>2751</v>
      </c>
      <c r="B610">
        <v>2019</v>
      </c>
      <c r="C610" t="s">
        <v>82</v>
      </c>
      <c r="D610">
        <v>1</v>
      </c>
      <c r="E610">
        <v>1</v>
      </c>
      <c r="F610">
        <f>SUMIF(Base_Itens!$E$5:$E$1504,A610,Base_Itens!$I$5:$I$1504)</f>
        <v>1</v>
      </c>
      <c r="G610">
        <f t="shared" si="32"/>
        <v>0</v>
      </c>
      <c r="H610">
        <f>COUNTIF(Base_Itens!$E$5:$E$1504,A610)</f>
        <v>1</v>
      </c>
      <c r="I610" t="str">
        <f t="shared" si="31"/>
        <v>OK</v>
      </c>
      <c r="J610" t="str">
        <f>Base_Itens!E587</f>
        <v>2018-Q11-1</v>
      </c>
      <c r="K610" t="str">
        <f>Base_Itens!G587</f>
        <v>09 — Expectativas, Novos Clássicos e Novos Keynesianos</v>
      </c>
      <c r="L610">
        <f>COUNTIFS(Base_Itens!$E$5:$E$1504,J610,Base_Itens!$G$5:$G$1504,K610)</f>
        <v>1</v>
      </c>
    </row>
    <row r="611" spans="1:12">
      <c r="A611" t="s">
        <v>2752</v>
      </c>
      <c r="B611">
        <v>2019</v>
      </c>
      <c r="C611" t="s">
        <v>82</v>
      </c>
      <c r="D611">
        <v>1</v>
      </c>
      <c r="E611">
        <v>1</v>
      </c>
      <c r="F611">
        <f>SUMIF(Base_Itens!$E$5:$E$1504,A611,Base_Itens!$I$5:$I$1504)</f>
        <v>1</v>
      </c>
      <c r="G611">
        <f t="shared" si="32"/>
        <v>0</v>
      </c>
      <c r="H611">
        <f>COUNTIF(Base_Itens!$E$5:$E$1504,A611)</f>
        <v>1</v>
      </c>
      <c r="I611" t="str">
        <f t="shared" si="31"/>
        <v>OK</v>
      </c>
      <c r="J611" t="str">
        <f>Base_Itens!E588</f>
        <v>2018-Q11-2</v>
      </c>
      <c r="K611" t="str">
        <f>Base_Itens!G588</f>
        <v>09 — Expectativas, Novos Clássicos e Novos Keynesianos</v>
      </c>
      <c r="L611">
        <f>COUNTIFS(Base_Itens!$E$5:$E$1504,J611,Base_Itens!$G$5:$G$1504,K611)</f>
        <v>1</v>
      </c>
    </row>
    <row r="612" spans="1:12">
      <c r="A612" t="s">
        <v>2753</v>
      </c>
      <c r="B612">
        <v>2019</v>
      </c>
      <c r="C612" t="s">
        <v>82</v>
      </c>
      <c r="D612">
        <v>1</v>
      </c>
      <c r="E612">
        <v>1</v>
      </c>
      <c r="F612">
        <f>SUMIF(Base_Itens!$E$5:$E$1504,A612,Base_Itens!$I$5:$I$1504)</f>
        <v>1</v>
      </c>
      <c r="G612">
        <f t="shared" si="32"/>
        <v>0</v>
      </c>
      <c r="H612">
        <f>COUNTIF(Base_Itens!$E$5:$E$1504,A612)</f>
        <v>1</v>
      </c>
      <c r="I612" t="str">
        <f t="shared" si="31"/>
        <v>OK</v>
      </c>
      <c r="J612" t="str">
        <f>Base_Itens!E589</f>
        <v>2018-Q11-3</v>
      </c>
      <c r="K612" t="str">
        <f>Base_Itens!G589</f>
        <v>09 — Expectativas, Novos Clássicos e Novos Keynesianos</v>
      </c>
      <c r="L612">
        <f>COUNTIFS(Base_Itens!$E$5:$E$1504,J612,Base_Itens!$G$5:$G$1504,K612)</f>
        <v>1</v>
      </c>
    </row>
    <row r="613" spans="1:12">
      <c r="A613" t="s">
        <v>2754</v>
      </c>
      <c r="B613">
        <v>2019</v>
      </c>
      <c r="C613" t="s">
        <v>82</v>
      </c>
      <c r="D613">
        <v>1</v>
      </c>
      <c r="E613">
        <v>1</v>
      </c>
      <c r="F613">
        <f>SUMIF(Base_Itens!$E$5:$E$1504,A613,Base_Itens!$I$5:$I$1504)</f>
        <v>1</v>
      </c>
      <c r="G613">
        <f t="shared" si="32"/>
        <v>0</v>
      </c>
      <c r="H613">
        <f>COUNTIF(Base_Itens!$E$5:$E$1504,A613)</f>
        <v>1</v>
      </c>
      <c r="I613" t="str">
        <f t="shared" si="31"/>
        <v>REVER</v>
      </c>
      <c r="J613" t="str">
        <f>Base_Itens!E590</f>
        <v>2018-Q11-4</v>
      </c>
      <c r="K613" t="str">
        <f>Base_Itens!G590</f>
        <v>09 — Expectativas, Novos Clássicos e Novos Keynesianos</v>
      </c>
      <c r="L613">
        <f>COUNTIFS(Base_Itens!$E$5:$E$1504,J613,Base_Itens!$G$5:$G$1504,K613)</f>
        <v>1</v>
      </c>
    </row>
    <row r="614" spans="1:12">
      <c r="A614" t="s">
        <v>2755</v>
      </c>
      <c r="B614">
        <v>2019</v>
      </c>
      <c r="C614" t="s">
        <v>82</v>
      </c>
      <c r="D614">
        <v>1</v>
      </c>
      <c r="E614">
        <v>1</v>
      </c>
      <c r="F614">
        <f>SUMIF(Base_Itens!$E$5:$E$1504,A614,Base_Itens!$I$5:$I$1504)</f>
        <v>1</v>
      </c>
      <c r="G614">
        <f t="shared" si="32"/>
        <v>0</v>
      </c>
      <c r="H614">
        <f>COUNTIF(Base_Itens!$E$5:$E$1504,A614)</f>
        <v>1</v>
      </c>
      <c r="I614" t="str">
        <f t="shared" si="31"/>
        <v>OK</v>
      </c>
      <c r="J614" t="str">
        <f>Base_Itens!E591</f>
        <v>2018-Q12-0</v>
      </c>
      <c r="K614" t="str">
        <f>Base_Itens!G591</f>
        <v>04 — Demanda por Moeda</v>
      </c>
      <c r="L614">
        <f>COUNTIFS(Base_Itens!$E$5:$E$1504,J614,Base_Itens!$G$5:$G$1504,K614)</f>
        <v>1</v>
      </c>
    </row>
    <row r="615" spans="1:12">
      <c r="A615" t="s">
        <v>2756</v>
      </c>
      <c r="B615">
        <v>2019</v>
      </c>
      <c r="C615" t="s">
        <v>82</v>
      </c>
      <c r="D615">
        <v>1</v>
      </c>
      <c r="E615">
        <v>1</v>
      </c>
      <c r="F615">
        <f>SUMIF(Base_Itens!$E$5:$E$1504,A615,Base_Itens!$I$5:$I$1504)</f>
        <v>1</v>
      </c>
      <c r="G615">
        <f t="shared" si="32"/>
        <v>0</v>
      </c>
      <c r="H615">
        <f>COUNTIF(Base_Itens!$E$5:$E$1504,A615)</f>
        <v>1</v>
      </c>
      <c r="I615" t="str">
        <f t="shared" si="31"/>
        <v>OK</v>
      </c>
      <c r="J615" t="str">
        <f>Base_Itens!E592</f>
        <v>2018-Q12-1</v>
      </c>
      <c r="K615" t="str">
        <f>Base_Itens!G592</f>
        <v>09 — Expectativas, Novos Clássicos e Novos Keynesianos</v>
      </c>
      <c r="L615">
        <f>COUNTIFS(Base_Itens!$E$5:$E$1504,J615,Base_Itens!$G$5:$G$1504,K615)</f>
        <v>1</v>
      </c>
    </row>
    <row r="616" spans="1:12">
      <c r="A616" t="s">
        <v>2757</v>
      </c>
      <c r="B616">
        <v>2019</v>
      </c>
      <c r="C616" t="s">
        <v>82</v>
      </c>
      <c r="D616">
        <v>1</v>
      </c>
      <c r="E616">
        <v>1</v>
      </c>
      <c r="F616">
        <f>SUMIF(Base_Itens!$E$5:$E$1504,A616,Base_Itens!$I$5:$I$1504)</f>
        <v>1</v>
      </c>
      <c r="G616">
        <f t="shared" si="32"/>
        <v>0</v>
      </c>
      <c r="H616">
        <f>COUNTIF(Base_Itens!$E$5:$E$1504,A616)</f>
        <v>1</v>
      </c>
      <c r="I616" t="str">
        <f t="shared" si="31"/>
        <v>OK</v>
      </c>
      <c r="J616" t="str">
        <f>Base_Itens!E593</f>
        <v>2018-Q12-2</v>
      </c>
      <c r="K616" t="str">
        <f>Base_Itens!G593</f>
        <v>09 — Expectativas, Novos Clássicos e Novos Keynesianos</v>
      </c>
      <c r="L616">
        <f>COUNTIFS(Base_Itens!$E$5:$E$1504,J616,Base_Itens!$G$5:$G$1504,K616)</f>
        <v>1</v>
      </c>
    </row>
    <row r="617" spans="1:12">
      <c r="A617" t="s">
        <v>2758</v>
      </c>
      <c r="B617">
        <v>2019</v>
      </c>
      <c r="C617" t="s">
        <v>82</v>
      </c>
      <c r="D617">
        <v>1</v>
      </c>
      <c r="E617">
        <v>1</v>
      </c>
      <c r="F617">
        <f>SUMIF(Base_Itens!$E$5:$E$1504,A617,Base_Itens!$I$5:$I$1504)</f>
        <v>1</v>
      </c>
      <c r="G617">
        <f t="shared" si="32"/>
        <v>0</v>
      </c>
      <c r="H617">
        <f>COUNTIF(Base_Itens!$E$5:$E$1504,A617)</f>
        <v>1</v>
      </c>
      <c r="I617" t="str">
        <f t="shared" si="31"/>
        <v>OK</v>
      </c>
      <c r="J617" t="str">
        <f>Base_Itens!E594</f>
        <v>2018-Q12-3</v>
      </c>
      <c r="K617" t="str">
        <f>Base_Itens!G594</f>
        <v>09 — Expectativas, Novos Clássicos e Novos Keynesianos</v>
      </c>
      <c r="L617">
        <f>COUNTIFS(Base_Itens!$E$5:$E$1504,J617,Base_Itens!$G$5:$G$1504,K617)</f>
        <v>1</v>
      </c>
    </row>
    <row r="618" spans="1:12">
      <c r="A618" t="s">
        <v>2759</v>
      </c>
      <c r="B618">
        <v>2019</v>
      </c>
      <c r="C618" t="s">
        <v>82</v>
      </c>
      <c r="D618">
        <v>1</v>
      </c>
      <c r="E618">
        <v>1</v>
      </c>
      <c r="F618">
        <f>SUMIF(Base_Itens!$E$5:$E$1504,A618,Base_Itens!$I$5:$I$1504)</f>
        <v>1</v>
      </c>
      <c r="G618">
        <f t="shared" si="32"/>
        <v>0</v>
      </c>
      <c r="H618">
        <f>COUNTIF(Base_Itens!$E$5:$E$1504,A618)</f>
        <v>1</v>
      </c>
      <c r="I618" t="str">
        <f t="shared" si="31"/>
        <v>OK</v>
      </c>
      <c r="J618" t="str">
        <f>Base_Itens!E595</f>
        <v>2018-Q12-4</v>
      </c>
      <c r="K618" t="str">
        <f>Base_Itens!G595</f>
        <v>07a — Paridades</v>
      </c>
      <c r="L618">
        <f>COUNTIFS(Base_Itens!$E$5:$E$1504,J618,Base_Itens!$G$5:$G$1504,K618)</f>
        <v>1</v>
      </c>
    </row>
    <row r="619" spans="1:12">
      <c r="A619" t="s">
        <v>2760</v>
      </c>
      <c r="B619">
        <v>2019</v>
      </c>
      <c r="C619" t="s">
        <v>82</v>
      </c>
      <c r="D619">
        <v>1</v>
      </c>
      <c r="E619">
        <v>1</v>
      </c>
      <c r="F619">
        <f>SUMIF(Base_Itens!$E$5:$E$1504,A619,Base_Itens!$I$5:$I$1504)</f>
        <v>1</v>
      </c>
      <c r="G619">
        <f t="shared" si="32"/>
        <v>0</v>
      </c>
      <c r="H619">
        <f>COUNTIF(Base_Itens!$E$5:$E$1504,A619)</f>
        <v>1</v>
      </c>
      <c r="I619" t="str">
        <f t="shared" si="31"/>
        <v>OK</v>
      </c>
      <c r="J619" t="str">
        <f>Base_Itens!E596</f>
        <v>2018-Q13-ABERTA</v>
      </c>
      <c r="K619" t="str">
        <f>Base_Itens!G596</f>
        <v>07a — Paridades</v>
      </c>
      <c r="L619">
        <f>COUNTIFS(Base_Itens!$E$5:$E$1504,J619,Base_Itens!$G$5:$G$1504,K619)</f>
        <v>1</v>
      </c>
    </row>
    <row r="620" spans="1:12">
      <c r="A620" t="s">
        <v>2761</v>
      </c>
      <c r="B620">
        <v>2019</v>
      </c>
      <c r="C620" t="s">
        <v>82</v>
      </c>
      <c r="D620">
        <v>1</v>
      </c>
      <c r="E620">
        <v>1</v>
      </c>
      <c r="F620">
        <f>SUMIF(Base_Itens!$E$5:$E$1504,A620,Base_Itens!$I$5:$I$1504)</f>
        <v>1</v>
      </c>
      <c r="G620">
        <f t="shared" si="32"/>
        <v>0</v>
      </c>
      <c r="H620">
        <f>COUNTIF(Base_Itens!$E$5:$E$1504,A620)</f>
        <v>1</v>
      </c>
      <c r="I620" t="str">
        <f t="shared" si="31"/>
        <v>OK</v>
      </c>
      <c r="J620" t="str">
        <f>Base_Itens!E597</f>
        <v>2018-Q14-ABERTA</v>
      </c>
      <c r="K620" t="str">
        <f>Base_Itens!G597</f>
        <v>06 — IS-LM-BP</v>
      </c>
      <c r="L620">
        <f>COUNTIFS(Base_Itens!$E$5:$E$1504,J620,Base_Itens!$G$5:$G$1504,K620)</f>
        <v>1</v>
      </c>
    </row>
    <row r="621" spans="1:12">
      <c r="A621" t="s">
        <v>2762</v>
      </c>
      <c r="B621">
        <v>2019</v>
      </c>
      <c r="C621" t="s">
        <v>82</v>
      </c>
      <c r="D621">
        <v>1</v>
      </c>
      <c r="E621">
        <v>1</v>
      </c>
      <c r="F621">
        <f>SUMIF(Base_Itens!$E$5:$E$1504,A621,Base_Itens!$I$5:$I$1504)</f>
        <v>1</v>
      </c>
      <c r="G621">
        <f t="shared" si="32"/>
        <v>0</v>
      </c>
      <c r="H621">
        <f>COUNTIF(Base_Itens!$E$5:$E$1504,A621)</f>
        <v>1</v>
      </c>
      <c r="I621" t="str">
        <f t="shared" si="31"/>
        <v>OK</v>
      </c>
      <c r="J621" t="str">
        <f>Base_Itens!E598</f>
        <v>2018-Q15-ABERTA</v>
      </c>
      <c r="K621" t="str">
        <f>Base_Itens!G598</f>
        <v>14 — Dívida Pública e Senhoriagem</v>
      </c>
      <c r="L621">
        <f>COUNTIFS(Base_Itens!$E$5:$E$1504,J621,Base_Itens!$G$5:$G$1504,K621)</f>
        <v>1</v>
      </c>
    </row>
    <row r="622" spans="1:12">
      <c r="A622" t="s">
        <v>2763</v>
      </c>
      <c r="B622">
        <v>2019</v>
      </c>
      <c r="C622" t="s">
        <v>82</v>
      </c>
      <c r="D622">
        <v>1</v>
      </c>
      <c r="E622">
        <v>1</v>
      </c>
      <c r="F622">
        <f>SUMIF(Base_Itens!$E$5:$E$1504,A622,Base_Itens!$I$5:$I$1504)</f>
        <v>1</v>
      </c>
      <c r="G622">
        <f t="shared" si="32"/>
        <v>0</v>
      </c>
      <c r="H622">
        <f>COUNTIF(Base_Itens!$E$5:$E$1504,A622)</f>
        <v>1</v>
      </c>
      <c r="I622" t="str">
        <f t="shared" si="31"/>
        <v>OK</v>
      </c>
      <c r="J622" t="str">
        <f>Base_Itens!E599</f>
        <v>2019-Q1-0</v>
      </c>
      <c r="K622" t="str">
        <f>Base_Itens!G599</f>
        <v>01 — Contas Nacionais</v>
      </c>
      <c r="L622">
        <f>COUNTIFS(Base_Itens!$E$5:$E$1504,J622,Base_Itens!$G$5:$G$1504,K622)</f>
        <v>1</v>
      </c>
    </row>
    <row r="623" spans="1:12">
      <c r="A623" t="s">
        <v>2764</v>
      </c>
      <c r="B623">
        <v>2019</v>
      </c>
      <c r="C623" t="s">
        <v>82</v>
      </c>
      <c r="D623">
        <v>1</v>
      </c>
      <c r="E623">
        <v>1</v>
      </c>
      <c r="F623">
        <f>SUMIF(Base_Itens!$E$5:$E$1504,A623,Base_Itens!$I$5:$I$1504)</f>
        <v>1</v>
      </c>
      <c r="G623">
        <f t="shared" si="32"/>
        <v>0</v>
      </c>
      <c r="H623">
        <f>COUNTIF(Base_Itens!$E$5:$E$1504,A623)</f>
        <v>1</v>
      </c>
      <c r="I623" t="str">
        <f t="shared" si="31"/>
        <v>OK</v>
      </c>
      <c r="J623" t="str">
        <f>Base_Itens!E200</f>
        <v>2012-Q13-2</v>
      </c>
      <c r="K623" t="str">
        <f>Base_Itens!G600</f>
        <v>01 — Contas Nacionais</v>
      </c>
      <c r="L623">
        <f>COUNTIFS(Base_Itens!$E$5:$E$1504,J623,Base_Itens!$G$5:$G$1504,K623)</f>
        <v>0</v>
      </c>
    </row>
    <row r="624" spans="1:12">
      <c r="A624" t="s">
        <v>2765</v>
      </c>
      <c r="B624">
        <v>2019</v>
      </c>
      <c r="C624" t="s">
        <v>82</v>
      </c>
      <c r="D624">
        <v>1</v>
      </c>
      <c r="E624">
        <v>1</v>
      </c>
      <c r="F624">
        <f>SUMIF(Base_Itens!$E$5:$E$1504,A624,Base_Itens!$I$5:$I$1504)</f>
        <v>1</v>
      </c>
      <c r="G624">
        <f t="shared" si="32"/>
        <v>0</v>
      </c>
      <c r="H624">
        <f>COUNTIF(Base_Itens!$E$5:$E$1504,A624)</f>
        <v>1</v>
      </c>
      <c r="I624" t="str">
        <f t="shared" si="31"/>
        <v>OK</v>
      </c>
      <c r="J624" t="str">
        <f>Base_Itens!E201</f>
        <v>2012-Q13-3</v>
      </c>
      <c r="K624" t="str">
        <f>Base_Itens!G601</f>
        <v>01 — Contas Nacionais</v>
      </c>
      <c r="L624">
        <f>COUNTIFS(Base_Itens!$E$5:$E$1504,J624,Base_Itens!$G$5:$G$1504,K624)</f>
        <v>0</v>
      </c>
    </row>
    <row r="625" spans="1:12">
      <c r="A625" t="s">
        <v>2766</v>
      </c>
      <c r="B625">
        <v>2019</v>
      </c>
      <c r="C625" t="s">
        <v>82</v>
      </c>
      <c r="D625">
        <v>1</v>
      </c>
      <c r="E625">
        <v>1</v>
      </c>
      <c r="F625">
        <f>SUMIF(Base_Itens!$E$5:$E$1504,A625,Base_Itens!$I$5:$I$1504)</f>
        <v>1</v>
      </c>
      <c r="G625">
        <f t="shared" si="32"/>
        <v>0</v>
      </c>
      <c r="H625">
        <f>COUNTIF(Base_Itens!$E$5:$E$1504,A625)</f>
        <v>1</v>
      </c>
      <c r="I625" t="str">
        <f t="shared" si="31"/>
        <v>OK</v>
      </c>
      <c r="J625" t="str">
        <f>Base_Itens!E202</f>
        <v>2012-Q13-4</v>
      </c>
      <c r="K625" t="str">
        <f>Base_Itens!G602</f>
        <v>01 — Contas Nacionais</v>
      </c>
      <c r="L625">
        <f>COUNTIFS(Base_Itens!$E$5:$E$1504,J625,Base_Itens!$G$5:$G$1504,K625)</f>
        <v>0</v>
      </c>
    </row>
    <row r="626" spans="1:12">
      <c r="A626" t="s">
        <v>2767</v>
      </c>
      <c r="B626">
        <v>2019</v>
      </c>
      <c r="C626" t="s">
        <v>82</v>
      </c>
      <c r="D626">
        <v>1</v>
      </c>
      <c r="E626">
        <v>1</v>
      </c>
      <c r="F626">
        <f>SUMIF(Base_Itens!$E$5:$E$1504,A626,Base_Itens!$I$5:$I$1504)</f>
        <v>1</v>
      </c>
      <c r="G626">
        <f t="shared" si="32"/>
        <v>0</v>
      </c>
      <c r="H626">
        <f>COUNTIF(Base_Itens!$E$5:$E$1504,A626)</f>
        <v>1</v>
      </c>
      <c r="I626" t="str">
        <f t="shared" si="31"/>
        <v>OK</v>
      </c>
      <c r="J626" t="str">
        <f>Base_Itens!E203</f>
        <v>2012-Q14-ABERTA</v>
      </c>
      <c r="K626" t="str">
        <f>Base_Itens!G603</f>
        <v>02 — Balanço de Pagamentos</v>
      </c>
      <c r="L626">
        <f>COUNTIFS(Base_Itens!$E$5:$E$1504,J626,Base_Itens!$G$5:$G$1504,K626)</f>
        <v>0</v>
      </c>
    </row>
    <row r="627" spans="1:12">
      <c r="A627" t="s">
        <v>2768</v>
      </c>
      <c r="B627">
        <v>2019</v>
      </c>
      <c r="C627" t="s">
        <v>82</v>
      </c>
      <c r="D627">
        <v>1</v>
      </c>
      <c r="E627">
        <v>1</v>
      </c>
      <c r="F627">
        <f>SUMIF(Base_Itens!$E$5:$E$1504,A627,Base_Itens!$I$5:$I$1504)</f>
        <v>1</v>
      </c>
      <c r="G627">
        <f t="shared" si="32"/>
        <v>0</v>
      </c>
      <c r="H627">
        <f>COUNTIF(Base_Itens!$E$5:$E$1504,A627)</f>
        <v>1</v>
      </c>
      <c r="I627" t="str">
        <f t="shared" si="31"/>
        <v>OK</v>
      </c>
      <c r="J627" t="str">
        <f>Base_Itens!E204</f>
        <v>2012-Q15-ABERTA</v>
      </c>
      <c r="K627" t="str">
        <f>Base_Itens!G604</f>
        <v>12 — Consumo</v>
      </c>
      <c r="L627">
        <f>COUNTIFS(Base_Itens!$E$5:$E$1504,J627,Base_Itens!$G$5:$G$1504,K627)</f>
        <v>0</v>
      </c>
    </row>
    <row r="628" spans="1:12">
      <c r="A628" t="s">
        <v>2769</v>
      </c>
      <c r="B628">
        <v>2019</v>
      </c>
      <c r="C628" t="s">
        <v>82</v>
      </c>
      <c r="D628">
        <v>1</v>
      </c>
      <c r="E628">
        <v>1</v>
      </c>
      <c r="F628">
        <f>SUMIF(Base_Itens!$E$5:$E$1504,A628,Base_Itens!$I$5:$I$1504)</f>
        <v>1</v>
      </c>
      <c r="G628">
        <f t="shared" si="32"/>
        <v>0</v>
      </c>
      <c r="H628">
        <f>COUNTIF(Base_Itens!$E$5:$E$1504,A628)</f>
        <v>1</v>
      </c>
      <c r="I628" t="str">
        <f t="shared" si="31"/>
        <v>OK</v>
      </c>
      <c r="J628" t="str">
        <f>Base_Itens!E205</f>
        <v>2013-Q1-0</v>
      </c>
      <c r="K628" t="str">
        <f>Base_Itens!G605</f>
        <v>12 — Consumo</v>
      </c>
      <c r="L628">
        <f>COUNTIFS(Base_Itens!$E$5:$E$1504,J628,Base_Itens!$G$5:$G$1504,K628)</f>
        <v>0</v>
      </c>
    </row>
    <row r="629" spans="1:12">
      <c r="A629" t="s">
        <v>2770</v>
      </c>
      <c r="B629">
        <v>2019</v>
      </c>
      <c r="C629" t="s">
        <v>82</v>
      </c>
      <c r="D629">
        <v>1</v>
      </c>
      <c r="E629">
        <v>1</v>
      </c>
      <c r="F629">
        <f>SUMIF(Base_Itens!$E$5:$E$1504,A629,Base_Itens!$I$5:$I$1504)</f>
        <v>1</v>
      </c>
      <c r="G629">
        <f t="shared" si="32"/>
        <v>0</v>
      </c>
      <c r="H629">
        <f>COUNTIF(Base_Itens!$E$5:$E$1504,A629)</f>
        <v>1</v>
      </c>
      <c r="I629" t="str">
        <f t="shared" si="31"/>
        <v>OK</v>
      </c>
      <c r="J629" t="str">
        <f>Base_Itens!E206</f>
        <v>2013-Q1-1</v>
      </c>
      <c r="K629" t="str">
        <f>Base_Itens!G606</f>
        <v>14 — Dívida Pública e Senhoriagem</v>
      </c>
      <c r="L629">
        <f>COUNTIFS(Base_Itens!$E$5:$E$1504,J629,Base_Itens!$G$5:$G$1504,K629)</f>
        <v>0</v>
      </c>
    </row>
    <row r="630" spans="1:12">
      <c r="A630" t="s">
        <v>2771</v>
      </c>
      <c r="B630">
        <v>2019</v>
      </c>
      <c r="C630" t="s">
        <v>82</v>
      </c>
      <c r="D630">
        <v>1</v>
      </c>
      <c r="E630">
        <v>1</v>
      </c>
      <c r="F630">
        <f>SUMIF(Base_Itens!$E$5:$E$1504,A630,Base_Itens!$I$5:$I$1504)</f>
        <v>1</v>
      </c>
      <c r="G630">
        <f t="shared" si="32"/>
        <v>0</v>
      </c>
      <c r="H630">
        <f>COUNTIF(Base_Itens!$E$5:$E$1504,A630)</f>
        <v>1</v>
      </c>
      <c r="I630" t="str">
        <f t="shared" si="31"/>
        <v>OK</v>
      </c>
      <c r="J630" t="str">
        <f>Base_Itens!E207</f>
        <v>2013-Q1-2</v>
      </c>
      <c r="K630" t="str">
        <f>Base_Itens!G607</f>
        <v>14 — Dívida Pública e Senhoriagem</v>
      </c>
      <c r="L630">
        <f>COUNTIFS(Base_Itens!$E$5:$E$1504,J630,Base_Itens!$G$5:$G$1504,K630)</f>
        <v>0</v>
      </c>
    </row>
    <row r="631" spans="1:12">
      <c r="A631" t="s">
        <v>2772</v>
      </c>
      <c r="B631">
        <v>2019</v>
      </c>
      <c r="C631" t="s">
        <v>82</v>
      </c>
      <c r="D631">
        <v>1</v>
      </c>
      <c r="E631">
        <v>1</v>
      </c>
      <c r="F631">
        <f>SUMIF(Base_Itens!$E$5:$E$1504,A631,Base_Itens!$I$5:$I$1504)</f>
        <v>1</v>
      </c>
      <c r="G631">
        <f t="shared" si="32"/>
        <v>0</v>
      </c>
      <c r="H631">
        <f>COUNTIF(Base_Itens!$E$5:$E$1504,A631)</f>
        <v>1</v>
      </c>
      <c r="I631" t="str">
        <f t="shared" si="31"/>
        <v>OK</v>
      </c>
      <c r="J631" t="str">
        <f>Base_Itens!E208</f>
        <v>2013-Q1-3</v>
      </c>
      <c r="K631" t="str">
        <f>Base_Itens!G608</f>
        <v>14 — Dívida Pública e Senhoriagem</v>
      </c>
      <c r="L631">
        <f>COUNTIFS(Base_Itens!$E$5:$E$1504,J631,Base_Itens!$G$5:$G$1504,K631)</f>
        <v>0</v>
      </c>
    </row>
    <row r="632" spans="1:12">
      <c r="A632" t="s">
        <v>2773</v>
      </c>
      <c r="B632">
        <v>2019</v>
      </c>
      <c r="C632" t="s">
        <v>82</v>
      </c>
      <c r="D632">
        <v>1</v>
      </c>
      <c r="E632">
        <v>1</v>
      </c>
      <c r="F632">
        <f>SUMIF(Base_Itens!$E$5:$E$1504,A632,Base_Itens!$I$5:$I$1504)</f>
        <v>1</v>
      </c>
      <c r="G632">
        <f t="shared" si="32"/>
        <v>0</v>
      </c>
      <c r="H632">
        <f>COUNTIF(Base_Itens!$E$5:$E$1504,A632)</f>
        <v>1</v>
      </c>
      <c r="I632" t="str">
        <f t="shared" ref="I632:I663" si="33">IF(AND(G632=0,H632=E232),"OK","REVER")</f>
        <v>OK</v>
      </c>
      <c r="J632" t="str">
        <f>Base_Itens!E209</f>
        <v>2013-Q1-4</v>
      </c>
      <c r="K632" t="str">
        <f>Base_Itens!G609</f>
        <v>06 — IS-LM-BP</v>
      </c>
      <c r="L632">
        <f>COUNTIFS(Base_Itens!$E$5:$E$1504,J632,Base_Itens!$G$5:$G$1504,K632)</f>
        <v>0</v>
      </c>
    </row>
    <row r="633" spans="1:12">
      <c r="A633" t="s">
        <v>2774</v>
      </c>
      <c r="B633">
        <v>2019</v>
      </c>
      <c r="C633" t="s">
        <v>82</v>
      </c>
      <c r="D633">
        <v>1</v>
      </c>
      <c r="E633">
        <v>1</v>
      </c>
      <c r="F633">
        <f>SUMIF(Base_Itens!$E$5:$E$1504,A633,Base_Itens!$I$5:$I$1504)</f>
        <v>1</v>
      </c>
      <c r="G633">
        <f t="shared" si="32"/>
        <v>0</v>
      </c>
      <c r="H633">
        <f>COUNTIF(Base_Itens!$E$5:$E$1504,A633)</f>
        <v>1</v>
      </c>
      <c r="I633" t="str">
        <f t="shared" si="33"/>
        <v>OK</v>
      </c>
      <c r="J633" t="str">
        <f>Base_Itens!E210</f>
        <v>2013-Q2-0</v>
      </c>
      <c r="K633" t="str">
        <f>Base_Itens!G610</f>
        <v>06 — IS-LM-BP</v>
      </c>
      <c r="L633">
        <f>COUNTIFS(Base_Itens!$E$5:$E$1504,J633,Base_Itens!$G$5:$G$1504,K633)</f>
        <v>0</v>
      </c>
    </row>
    <row r="634" spans="1:12">
      <c r="A634" t="s">
        <v>2775</v>
      </c>
      <c r="B634">
        <v>2019</v>
      </c>
      <c r="C634" t="s">
        <v>82</v>
      </c>
      <c r="D634">
        <v>1</v>
      </c>
      <c r="E634">
        <v>1</v>
      </c>
      <c r="F634">
        <f>SUMIF(Base_Itens!$E$5:$E$1504,A634,Base_Itens!$I$5:$I$1504)</f>
        <v>1</v>
      </c>
      <c r="G634">
        <f t="shared" si="32"/>
        <v>0</v>
      </c>
      <c r="H634">
        <f>COUNTIF(Base_Itens!$E$5:$E$1504,A634)</f>
        <v>1</v>
      </c>
      <c r="I634" t="str">
        <f t="shared" si="33"/>
        <v>OK</v>
      </c>
      <c r="J634" t="str">
        <f>Base_Itens!E211</f>
        <v>2013-Q2-1</v>
      </c>
      <c r="K634" t="str">
        <f>Base_Itens!G611</f>
        <v>06 — IS-LM-BP</v>
      </c>
      <c r="L634">
        <f>COUNTIFS(Base_Itens!$E$5:$E$1504,J634,Base_Itens!$G$5:$G$1504,K634)</f>
        <v>0</v>
      </c>
    </row>
    <row r="635" spans="1:12">
      <c r="A635" t="s">
        <v>2776</v>
      </c>
      <c r="B635">
        <v>2019</v>
      </c>
      <c r="C635" t="s">
        <v>82</v>
      </c>
      <c r="D635">
        <v>1</v>
      </c>
      <c r="E635">
        <v>2</v>
      </c>
      <c r="F635">
        <f>SUMIF(Base_Itens!$E$5:$E$1504,A635,Base_Itens!$I$5:$I$1504)</f>
        <v>1</v>
      </c>
      <c r="G635">
        <f t="shared" si="32"/>
        <v>0</v>
      </c>
      <c r="H635">
        <f>COUNTIF(Base_Itens!$E$5:$E$1504,A635)</f>
        <v>2</v>
      </c>
      <c r="I635" t="str">
        <f t="shared" si="33"/>
        <v>REVER</v>
      </c>
      <c r="J635" t="str">
        <f>Base_Itens!E212</f>
        <v>2013-Q2-2</v>
      </c>
      <c r="K635" t="str">
        <f>Base_Itens!G612</f>
        <v>06 — IS-LM-BP</v>
      </c>
      <c r="L635">
        <f>COUNTIFS(Base_Itens!$E$5:$E$1504,J635,Base_Itens!$G$5:$G$1504,K635)</f>
        <v>0</v>
      </c>
    </row>
    <row r="636" spans="1:12">
      <c r="A636" t="s">
        <v>2777</v>
      </c>
      <c r="B636">
        <v>2019</v>
      </c>
      <c r="C636" t="s">
        <v>82</v>
      </c>
      <c r="D636">
        <v>1</v>
      </c>
      <c r="E636">
        <v>1</v>
      </c>
      <c r="F636">
        <f>SUMIF(Base_Itens!$E$5:$E$1504,A636,Base_Itens!$I$5:$I$1504)</f>
        <v>1</v>
      </c>
      <c r="G636">
        <f t="shared" si="32"/>
        <v>0</v>
      </c>
      <c r="H636">
        <f>COUNTIF(Base_Itens!$E$5:$E$1504,A636)</f>
        <v>1</v>
      </c>
      <c r="I636" t="str">
        <f t="shared" si="33"/>
        <v>OK</v>
      </c>
      <c r="J636" t="str">
        <f>Base_Itens!E213</f>
        <v>2013-Q2-3</v>
      </c>
      <c r="K636" t="str">
        <f>Base_Itens!G613</f>
        <v>06 — IS-LM-BP</v>
      </c>
      <c r="L636">
        <f>COUNTIFS(Base_Itens!$E$5:$E$1504,J636,Base_Itens!$G$5:$G$1504,K636)</f>
        <v>0</v>
      </c>
    </row>
    <row r="637" spans="1:12">
      <c r="A637" t="s">
        <v>2778</v>
      </c>
      <c r="B637">
        <v>2019</v>
      </c>
      <c r="C637" t="s">
        <v>82</v>
      </c>
      <c r="D637">
        <v>1</v>
      </c>
      <c r="E637">
        <v>1</v>
      </c>
      <c r="F637">
        <f>SUMIF(Base_Itens!$E$5:$E$1504,A637,Base_Itens!$I$5:$I$1504)</f>
        <v>1</v>
      </c>
      <c r="G637">
        <f t="shared" si="32"/>
        <v>0</v>
      </c>
      <c r="H637">
        <f>COUNTIF(Base_Itens!$E$5:$E$1504,A637)</f>
        <v>1</v>
      </c>
      <c r="I637" t="str">
        <f t="shared" si="33"/>
        <v>OK</v>
      </c>
      <c r="J637" t="str">
        <f>Base_Itens!E214</f>
        <v>2013-Q2-4</v>
      </c>
      <c r="K637" t="str">
        <f>Base_Itens!G614</f>
        <v>05 — IS-LM</v>
      </c>
      <c r="L637">
        <f>COUNTIFS(Base_Itens!$E$5:$E$1504,J637,Base_Itens!$G$5:$G$1504,K637)</f>
        <v>0</v>
      </c>
    </row>
    <row r="638" spans="1:12">
      <c r="A638" t="s">
        <v>2779</v>
      </c>
      <c r="B638">
        <v>2019</v>
      </c>
      <c r="C638" t="s">
        <v>82</v>
      </c>
      <c r="D638">
        <v>1</v>
      </c>
      <c r="E638">
        <v>1</v>
      </c>
      <c r="F638">
        <f>SUMIF(Base_Itens!$E$5:$E$1504,A638,Base_Itens!$I$5:$I$1504)</f>
        <v>1</v>
      </c>
      <c r="G638">
        <f t="shared" si="32"/>
        <v>0</v>
      </c>
      <c r="H638">
        <f>COUNTIF(Base_Itens!$E$5:$E$1504,A638)</f>
        <v>1</v>
      </c>
      <c r="I638" t="str">
        <f t="shared" si="33"/>
        <v>OK</v>
      </c>
      <c r="J638" t="str">
        <f>Base_Itens!E215</f>
        <v>2013-Q3-0</v>
      </c>
      <c r="K638" t="str">
        <f>Base_Itens!G615</f>
        <v>09 — Expectativas, Novos Clássicos e Novos Keynesianos</v>
      </c>
      <c r="L638">
        <f>COUNTIFS(Base_Itens!$E$5:$E$1504,J638,Base_Itens!$G$5:$G$1504,K638)</f>
        <v>0</v>
      </c>
    </row>
    <row r="639" spans="1:12">
      <c r="A639" t="s">
        <v>2780</v>
      </c>
      <c r="B639">
        <v>2019</v>
      </c>
      <c r="C639" t="s">
        <v>82</v>
      </c>
      <c r="D639">
        <v>1</v>
      </c>
      <c r="E639">
        <v>1</v>
      </c>
      <c r="F639">
        <f>SUMIF(Base_Itens!$E$5:$E$1504,A639,Base_Itens!$I$5:$I$1504)</f>
        <v>1</v>
      </c>
      <c r="G639">
        <f t="shared" si="32"/>
        <v>0</v>
      </c>
      <c r="H639">
        <f>COUNTIF(Base_Itens!$E$5:$E$1504,A639)</f>
        <v>1</v>
      </c>
      <c r="I639" t="str">
        <f t="shared" si="33"/>
        <v>OK</v>
      </c>
      <c r="J639" t="str">
        <f>Base_Itens!E216</f>
        <v>2013-Q3-1</v>
      </c>
      <c r="K639" t="str">
        <f>Base_Itens!G616</f>
        <v>09 — Expectativas, Novos Clássicos e Novos Keynesianos</v>
      </c>
      <c r="L639">
        <f>COUNTIFS(Base_Itens!$E$5:$E$1504,J639,Base_Itens!$G$5:$G$1504,K639)</f>
        <v>0</v>
      </c>
    </row>
    <row r="640" spans="1:12">
      <c r="A640" t="s">
        <v>2781</v>
      </c>
      <c r="B640">
        <v>2019</v>
      </c>
      <c r="C640" t="s">
        <v>82</v>
      </c>
      <c r="D640">
        <v>1</v>
      </c>
      <c r="E640">
        <v>1</v>
      </c>
      <c r="F640">
        <f>SUMIF(Base_Itens!$E$5:$E$1504,A640,Base_Itens!$I$5:$I$1504)</f>
        <v>1</v>
      </c>
      <c r="G640">
        <f t="shared" si="32"/>
        <v>0</v>
      </c>
      <c r="H640">
        <f>COUNTIF(Base_Itens!$E$5:$E$1504,A640)</f>
        <v>1</v>
      </c>
      <c r="I640" t="str">
        <f t="shared" si="33"/>
        <v>OK</v>
      </c>
      <c r="J640" t="str">
        <f>Base_Itens!E217</f>
        <v>2013-Q3-2</v>
      </c>
      <c r="K640" t="str">
        <f>Base_Itens!G617</f>
        <v>08 — Curva de Phillips</v>
      </c>
      <c r="L640">
        <f>COUNTIFS(Base_Itens!$E$5:$E$1504,J640,Base_Itens!$G$5:$G$1504,K640)</f>
        <v>0</v>
      </c>
    </row>
    <row r="641" spans="1:12">
      <c r="A641" t="s">
        <v>2782</v>
      </c>
      <c r="B641">
        <v>2019</v>
      </c>
      <c r="C641" t="s">
        <v>82</v>
      </c>
      <c r="D641">
        <v>1</v>
      </c>
      <c r="E641">
        <v>1</v>
      </c>
      <c r="F641">
        <f>SUMIF(Base_Itens!$E$5:$E$1504,A641,Base_Itens!$I$5:$I$1504)</f>
        <v>1</v>
      </c>
      <c r="G641">
        <f t="shared" si="32"/>
        <v>0</v>
      </c>
      <c r="H641">
        <f>COUNTIF(Base_Itens!$E$5:$E$1504,A641)</f>
        <v>1</v>
      </c>
      <c r="I641" t="str">
        <f t="shared" si="33"/>
        <v>OK</v>
      </c>
      <c r="J641" t="str">
        <f>Base_Itens!E218</f>
        <v>2013-Q3-3</v>
      </c>
      <c r="K641" t="str">
        <f>Base_Itens!G618</f>
        <v>08 — Curva de Phillips</v>
      </c>
      <c r="L641">
        <f>COUNTIFS(Base_Itens!$E$5:$E$1504,J641,Base_Itens!$G$5:$G$1504,K641)</f>
        <v>0</v>
      </c>
    </row>
    <row r="642" spans="1:12">
      <c r="A642" t="s">
        <v>2783</v>
      </c>
      <c r="B642">
        <v>2019</v>
      </c>
      <c r="C642" t="s">
        <v>82</v>
      </c>
      <c r="D642">
        <v>1</v>
      </c>
      <c r="E642">
        <v>1</v>
      </c>
      <c r="F642">
        <f>SUMIF(Base_Itens!$E$5:$E$1504,A642,Base_Itens!$I$5:$I$1504)</f>
        <v>1</v>
      </c>
      <c r="G642">
        <f t="shared" si="32"/>
        <v>0</v>
      </c>
      <c r="H642">
        <f>COUNTIF(Base_Itens!$E$5:$E$1504,A642)</f>
        <v>1</v>
      </c>
      <c r="I642" t="str">
        <f t="shared" si="33"/>
        <v>OK</v>
      </c>
      <c r="J642" t="str">
        <f>Base_Itens!E219</f>
        <v>2013-Q3-4</v>
      </c>
      <c r="K642" t="str">
        <f>Base_Itens!G619</f>
        <v>11 — Crescimento Econômico</v>
      </c>
      <c r="L642">
        <f>COUNTIFS(Base_Itens!$E$5:$E$1504,J642,Base_Itens!$G$5:$G$1504,K642)</f>
        <v>0</v>
      </c>
    </row>
    <row r="643" spans="1:12">
      <c r="A643" t="s">
        <v>2784</v>
      </c>
      <c r="B643">
        <v>2019</v>
      </c>
      <c r="C643" t="s">
        <v>82</v>
      </c>
      <c r="D643">
        <v>1</v>
      </c>
      <c r="E643">
        <v>1</v>
      </c>
      <c r="F643">
        <f>SUMIF(Base_Itens!$E$5:$E$1504,A643,Base_Itens!$I$5:$I$1504)</f>
        <v>1</v>
      </c>
      <c r="G643">
        <f t="shared" si="32"/>
        <v>0</v>
      </c>
      <c r="H643">
        <f>COUNTIF(Base_Itens!$E$5:$E$1504,A643)</f>
        <v>1</v>
      </c>
      <c r="I643" t="str">
        <f t="shared" si="33"/>
        <v>OK</v>
      </c>
      <c r="J643" t="str">
        <f>Base_Itens!E220</f>
        <v>2013-Q4-0</v>
      </c>
      <c r="K643" t="str">
        <f>Base_Itens!G620</f>
        <v>11 — Crescimento Econômico</v>
      </c>
      <c r="L643">
        <f>COUNTIFS(Base_Itens!$E$5:$E$1504,J643,Base_Itens!$G$5:$G$1504,K643)</f>
        <v>0</v>
      </c>
    </row>
    <row r="644" spans="1:12">
      <c r="A644" t="s">
        <v>2785</v>
      </c>
      <c r="B644">
        <v>2019</v>
      </c>
      <c r="C644" t="s">
        <v>82</v>
      </c>
      <c r="D644">
        <v>1</v>
      </c>
      <c r="E644">
        <v>1</v>
      </c>
      <c r="F644">
        <f>SUMIF(Base_Itens!$E$5:$E$1504,A644,Base_Itens!$I$5:$I$1504)</f>
        <v>1</v>
      </c>
      <c r="G644">
        <f t="shared" si="32"/>
        <v>0</v>
      </c>
      <c r="H644">
        <f>COUNTIF(Base_Itens!$E$5:$E$1504,A644)</f>
        <v>1</v>
      </c>
      <c r="I644" t="str">
        <f t="shared" si="33"/>
        <v>OK</v>
      </c>
      <c r="J644" t="str">
        <f>Base_Itens!E221</f>
        <v>2013-Q4-1</v>
      </c>
      <c r="K644" t="str">
        <f>Base_Itens!G621</f>
        <v>11 — Crescimento Econômico</v>
      </c>
      <c r="L644">
        <f>COUNTIFS(Base_Itens!$E$5:$E$1504,J644,Base_Itens!$G$5:$G$1504,K644)</f>
        <v>0</v>
      </c>
    </row>
    <row r="645" spans="1:12">
      <c r="A645" t="s">
        <v>2786</v>
      </c>
      <c r="B645">
        <v>2019</v>
      </c>
      <c r="C645" t="s">
        <v>82</v>
      </c>
      <c r="D645">
        <v>1</v>
      </c>
      <c r="E645">
        <v>1</v>
      </c>
      <c r="F645">
        <f>SUMIF(Base_Itens!$E$5:$E$1504,A645,Base_Itens!$I$5:$I$1504)</f>
        <v>1</v>
      </c>
      <c r="G645">
        <f t="shared" si="32"/>
        <v>0</v>
      </c>
      <c r="H645">
        <f>COUNTIF(Base_Itens!$E$5:$E$1504,A645)</f>
        <v>1</v>
      </c>
      <c r="I645" t="str">
        <f t="shared" si="33"/>
        <v>OK</v>
      </c>
      <c r="J645" t="str">
        <f>Base_Itens!E222</f>
        <v>2013-Q4-2</v>
      </c>
      <c r="K645" t="str">
        <f>Base_Itens!G622</f>
        <v>11 — Crescimento Econômico</v>
      </c>
      <c r="L645">
        <f>COUNTIFS(Base_Itens!$E$5:$E$1504,J645,Base_Itens!$G$5:$G$1504,K645)</f>
        <v>0</v>
      </c>
    </row>
    <row r="646" spans="1:12">
      <c r="A646" t="s">
        <v>2787</v>
      </c>
      <c r="B646">
        <v>2019</v>
      </c>
      <c r="C646" t="s">
        <v>82</v>
      </c>
      <c r="D646">
        <v>1</v>
      </c>
      <c r="E646">
        <v>1</v>
      </c>
      <c r="F646">
        <f>SUMIF(Base_Itens!$E$5:$E$1504,A646,Base_Itens!$I$5:$I$1504)</f>
        <v>1</v>
      </c>
      <c r="G646">
        <f t="shared" si="32"/>
        <v>0</v>
      </c>
      <c r="H646">
        <f>COUNTIF(Base_Itens!$E$5:$E$1504,A646)</f>
        <v>1</v>
      </c>
      <c r="I646" t="str">
        <f t="shared" si="33"/>
        <v>OK</v>
      </c>
      <c r="J646" t="str">
        <f>Base_Itens!E223</f>
        <v>2013-Q4-3</v>
      </c>
      <c r="K646" t="str">
        <f>Base_Itens!G623</f>
        <v>11 — Crescimento Econômico</v>
      </c>
      <c r="L646">
        <f>COUNTIFS(Base_Itens!$E$5:$E$1504,J646,Base_Itens!$G$5:$G$1504,K646)</f>
        <v>0</v>
      </c>
    </row>
    <row r="647" spans="1:12">
      <c r="A647" t="s">
        <v>2788</v>
      </c>
      <c r="B647">
        <v>2019</v>
      </c>
      <c r="C647" t="s">
        <v>82</v>
      </c>
      <c r="D647">
        <v>1</v>
      </c>
      <c r="E647">
        <v>1</v>
      </c>
      <c r="F647">
        <f>SUMIF(Base_Itens!$E$5:$E$1504,A647,Base_Itens!$I$5:$I$1504)</f>
        <v>1</v>
      </c>
      <c r="G647">
        <f t="shared" si="32"/>
        <v>0</v>
      </c>
      <c r="H647">
        <f>COUNTIF(Base_Itens!$E$5:$E$1504,A647)</f>
        <v>1</v>
      </c>
      <c r="I647" t="str">
        <f t="shared" si="33"/>
        <v>REVER</v>
      </c>
      <c r="J647" t="str">
        <f>Base_Itens!E224</f>
        <v>2013-Q4-4</v>
      </c>
      <c r="K647" t="str">
        <f>Base_Itens!G624</f>
        <v>07b — OA-DA</v>
      </c>
      <c r="L647">
        <f>COUNTIFS(Base_Itens!$E$5:$E$1504,J647,Base_Itens!$G$5:$G$1504,K647)</f>
        <v>0</v>
      </c>
    </row>
    <row r="648" spans="1:12">
      <c r="A648" t="s">
        <v>2789</v>
      </c>
      <c r="B648">
        <v>2019</v>
      </c>
      <c r="C648" t="s">
        <v>82</v>
      </c>
      <c r="D648">
        <v>1</v>
      </c>
      <c r="E648">
        <v>1</v>
      </c>
      <c r="F648">
        <f>SUMIF(Base_Itens!$E$5:$E$1504,A648,Base_Itens!$I$5:$I$1504)</f>
        <v>1</v>
      </c>
      <c r="G648">
        <f t="shared" si="32"/>
        <v>0</v>
      </c>
      <c r="H648">
        <f>COUNTIF(Base_Itens!$E$5:$E$1504,A648)</f>
        <v>1</v>
      </c>
      <c r="I648" t="str">
        <f t="shared" si="33"/>
        <v>OK</v>
      </c>
      <c r="J648" t="str">
        <f>Base_Itens!E225</f>
        <v>2013-Q5-0</v>
      </c>
      <c r="K648" t="str">
        <f>Base_Itens!G625</f>
        <v>07a — Paridades</v>
      </c>
      <c r="L648">
        <f>COUNTIFS(Base_Itens!$E$5:$E$1504,J648,Base_Itens!$G$5:$G$1504,K648)</f>
        <v>0</v>
      </c>
    </row>
    <row r="649" spans="1:12">
      <c r="A649" t="s">
        <v>2790</v>
      </c>
      <c r="B649">
        <v>2019</v>
      </c>
      <c r="C649" t="s">
        <v>82</v>
      </c>
      <c r="D649">
        <v>1</v>
      </c>
      <c r="E649">
        <v>1</v>
      </c>
      <c r="F649">
        <f>SUMIF(Base_Itens!$E$5:$E$1504,A649,Base_Itens!$I$5:$I$1504)</f>
        <v>1</v>
      </c>
      <c r="G649">
        <f t="shared" si="32"/>
        <v>0</v>
      </c>
      <c r="H649">
        <f>COUNTIF(Base_Itens!$E$5:$E$1504,A649)</f>
        <v>1</v>
      </c>
      <c r="I649" t="str">
        <f t="shared" si="33"/>
        <v>OK</v>
      </c>
      <c r="J649" t="str">
        <f>Base_Itens!E226</f>
        <v>2013-Q5-1</v>
      </c>
      <c r="K649" t="str">
        <f>Base_Itens!G626</f>
        <v>07a — Paridades</v>
      </c>
      <c r="L649">
        <f>COUNTIFS(Base_Itens!$E$5:$E$1504,J649,Base_Itens!$G$5:$G$1504,K649)</f>
        <v>0</v>
      </c>
    </row>
    <row r="650" spans="1:12">
      <c r="A650" t="s">
        <v>2791</v>
      </c>
      <c r="B650">
        <v>2019</v>
      </c>
      <c r="C650" t="s">
        <v>82</v>
      </c>
      <c r="D650">
        <v>1</v>
      </c>
      <c r="E650">
        <v>1</v>
      </c>
      <c r="F650">
        <f>SUMIF(Base_Itens!$E$5:$E$1504,A650,Base_Itens!$I$5:$I$1504)</f>
        <v>1</v>
      </c>
      <c r="G650">
        <f t="shared" si="32"/>
        <v>0</v>
      </c>
      <c r="H650">
        <f>COUNTIF(Base_Itens!$E$5:$E$1504,A650)</f>
        <v>1</v>
      </c>
      <c r="I650" t="str">
        <f t="shared" si="33"/>
        <v>OK</v>
      </c>
      <c r="J650" t="str">
        <f>Base_Itens!E227</f>
        <v>2013-Q5-2</v>
      </c>
      <c r="K650" t="str">
        <f>Base_Itens!G627</f>
        <v>07a — Paridades</v>
      </c>
      <c r="L650">
        <f>COUNTIFS(Base_Itens!$E$5:$E$1504,J650,Base_Itens!$G$5:$G$1504,K650)</f>
        <v>0</v>
      </c>
    </row>
    <row r="651" spans="1:12">
      <c r="A651" t="s">
        <v>2792</v>
      </c>
      <c r="B651">
        <v>2019</v>
      </c>
      <c r="C651" t="s">
        <v>82</v>
      </c>
      <c r="D651">
        <v>1</v>
      </c>
      <c r="E651">
        <v>1</v>
      </c>
      <c r="F651">
        <f>SUMIF(Base_Itens!$E$5:$E$1504,A651,Base_Itens!$I$5:$I$1504)</f>
        <v>1</v>
      </c>
      <c r="G651">
        <f t="shared" si="32"/>
        <v>0</v>
      </c>
      <c r="H651">
        <f>COUNTIF(Base_Itens!$E$5:$E$1504,A651)</f>
        <v>1</v>
      </c>
      <c r="I651" t="str">
        <f t="shared" si="33"/>
        <v>OK</v>
      </c>
      <c r="J651" t="str">
        <f>Base_Itens!E228</f>
        <v>2013-Q5-3</v>
      </c>
      <c r="K651" t="str">
        <f>Base_Itens!G628</f>
        <v>07a — Paridades</v>
      </c>
      <c r="L651">
        <f>COUNTIFS(Base_Itens!$E$5:$E$1504,J651,Base_Itens!$G$5:$G$1504,K651)</f>
        <v>0</v>
      </c>
    </row>
    <row r="652" spans="1:12">
      <c r="A652" t="s">
        <v>2793</v>
      </c>
      <c r="B652">
        <v>2019</v>
      </c>
      <c r="C652" t="s">
        <v>82</v>
      </c>
      <c r="D652">
        <v>1</v>
      </c>
      <c r="E652">
        <v>1</v>
      </c>
      <c r="F652">
        <f>SUMIF(Base_Itens!$E$5:$E$1504,A652,Base_Itens!$I$5:$I$1504)</f>
        <v>1</v>
      </c>
      <c r="G652">
        <f t="shared" si="32"/>
        <v>0</v>
      </c>
      <c r="H652">
        <f>COUNTIF(Base_Itens!$E$5:$E$1504,A652)</f>
        <v>1</v>
      </c>
      <c r="I652" t="str">
        <f t="shared" si="33"/>
        <v>OK</v>
      </c>
      <c r="J652" t="str">
        <f>Base_Itens!E229</f>
        <v>2013-Q5-4</v>
      </c>
      <c r="K652" t="str">
        <f>Base_Itens!G629</f>
        <v>13 — Investimento</v>
      </c>
      <c r="L652">
        <f>COUNTIFS(Base_Itens!$E$5:$E$1504,J652,Base_Itens!$G$5:$G$1504,K652)</f>
        <v>0</v>
      </c>
    </row>
    <row r="653" spans="1:12">
      <c r="A653" t="s">
        <v>2794</v>
      </c>
      <c r="B653">
        <v>2019</v>
      </c>
      <c r="C653" t="s">
        <v>82</v>
      </c>
      <c r="D653">
        <v>1</v>
      </c>
      <c r="E653">
        <v>1</v>
      </c>
      <c r="F653">
        <f>SUMIF(Base_Itens!$E$5:$E$1504,A653,Base_Itens!$I$5:$I$1504)</f>
        <v>1</v>
      </c>
      <c r="G653">
        <f t="shared" si="32"/>
        <v>0</v>
      </c>
      <c r="H653">
        <f>COUNTIF(Base_Itens!$E$5:$E$1504,A653)</f>
        <v>1</v>
      </c>
      <c r="I653" t="str">
        <f t="shared" si="33"/>
        <v>OK</v>
      </c>
      <c r="J653" t="str">
        <f>Base_Itens!E230</f>
        <v>2013-Q6-0</v>
      </c>
      <c r="K653" t="str">
        <f>Base_Itens!G630</f>
        <v>07b — OA-DA</v>
      </c>
      <c r="L653">
        <f>COUNTIFS(Base_Itens!$E$5:$E$1504,J653,Base_Itens!$G$5:$G$1504,K653)</f>
        <v>0</v>
      </c>
    </row>
    <row r="654" spans="1:12">
      <c r="A654" t="s">
        <v>2795</v>
      </c>
      <c r="B654">
        <v>2019</v>
      </c>
      <c r="C654" t="s">
        <v>82</v>
      </c>
      <c r="D654">
        <v>1</v>
      </c>
      <c r="E654">
        <v>1</v>
      </c>
      <c r="F654">
        <f>SUMIF(Base_Itens!$E$5:$E$1504,A654,Base_Itens!$I$5:$I$1504)</f>
        <v>1</v>
      </c>
      <c r="G654">
        <f t="shared" si="32"/>
        <v>0</v>
      </c>
      <c r="H654">
        <f>COUNTIF(Base_Itens!$E$5:$E$1504,A654)</f>
        <v>1</v>
      </c>
      <c r="I654" t="str">
        <f t="shared" si="33"/>
        <v>OK</v>
      </c>
      <c r="J654" t="str">
        <f>Base_Itens!E231</f>
        <v>2013-Q6-1</v>
      </c>
      <c r="K654" t="str">
        <f>Base_Itens!G631</f>
        <v>05 — IS-LM</v>
      </c>
      <c r="L654">
        <f>COUNTIFS(Base_Itens!$E$5:$E$1504,J654,Base_Itens!$G$5:$G$1504,K654)</f>
        <v>0</v>
      </c>
    </row>
    <row r="655" spans="1:12">
      <c r="A655" t="s">
        <v>2796</v>
      </c>
      <c r="B655">
        <v>2019</v>
      </c>
      <c r="C655" t="s">
        <v>82</v>
      </c>
      <c r="D655">
        <v>1</v>
      </c>
      <c r="E655">
        <v>2</v>
      </c>
      <c r="F655">
        <f>SUMIF(Base_Itens!$E$5:$E$1504,A655,Base_Itens!$I$5:$I$1504)</f>
        <v>1</v>
      </c>
      <c r="G655">
        <f t="shared" si="32"/>
        <v>0</v>
      </c>
      <c r="H655">
        <f>COUNTIF(Base_Itens!$E$5:$E$1504,A655)</f>
        <v>2</v>
      </c>
      <c r="I655" t="str">
        <f t="shared" si="33"/>
        <v>REVER</v>
      </c>
      <c r="J655" t="str">
        <f>Base_Itens!E232</f>
        <v>2013-Q6-1</v>
      </c>
      <c r="K655" t="str">
        <f>Base_Itens!G632</f>
        <v>09 — Expectativas, Novos Clássicos e Novos Keynesianos</v>
      </c>
      <c r="L655">
        <f>COUNTIFS(Base_Itens!$E$5:$E$1504,J655,Base_Itens!$G$5:$G$1504,K655)</f>
        <v>0</v>
      </c>
    </row>
    <row r="656" spans="1:12">
      <c r="A656" t="s">
        <v>2797</v>
      </c>
      <c r="B656">
        <v>2019</v>
      </c>
      <c r="C656" t="s">
        <v>82</v>
      </c>
      <c r="D656">
        <v>1</v>
      </c>
      <c r="E656">
        <v>1</v>
      </c>
      <c r="F656">
        <f>SUMIF(Base_Itens!$E$5:$E$1504,A656,Base_Itens!$I$5:$I$1504)</f>
        <v>1</v>
      </c>
      <c r="G656">
        <f t="shared" si="32"/>
        <v>0</v>
      </c>
      <c r="H656">
        <f>COUNTIF(Base_Itens!$E$5:$E$1504,A656)</f>
        <v>1</v>
      </c>
      <c r="I656" t="str">
        <f t="shared" si="33"/>
        <v>OK</v>
      </c>
      <c r="J656" t="str">
        <f>Base_Itens!E233</f>
        <v>2013-Q6-2</v>
      </c>
      <c r="K656" t="str">
        <f>Base_Itens!G633</f>
        <v>09 — Expectativas, Novos Clássicos e Novos Keynesianos</v>
      </c>
      <c r="L656">
        <f>COUNTIFS(Base_Itens!$E$5:$E$1504,J656,Base_Itens!$G$5:$G$1504,K656)</f>
        <v>0</v>
      </c>
    </row>
    <row r="657" spans="1:12">
      <c r="A657" t="s">
        <v>2798</v>
      </c>
      <c r="B657">
        <v>2019</v>
      </c>
      <c r="C657" t="s">
        <v>82</v>
      </c>
      <c r="D657">
        <v>1</v>
      </c>
      <c r="E657">
        <v>1</v>
      </c>
      <c r="F657">
        <f>SUMIF(Base_Itens!$E$5:$E$1504,A657,Base_Itens!$I$5:$I$1504)</f>
        <v>1</v>
      </c>
      <c r="G657">
        <f t="shared" si="32"/>
        <v>0</v>
      </c>
      <c r="H657">
        <f>COUNTIF(Base_Itens!$E$5:$E$1504,A657)</f>
        <v>1</v>
      </c>
      <c r="I657" t="str">
        <f t="shared" si="33"/>
        <v>OK</v>
      </c>
      <c r="J657" t="str">
        <f>Base_Itens!E234</f>
        <v>2013-Q6-3</v>
      </c>
      <c r="K657" t="str">
        <f>Base_Itens!G634</f>
        <v>12 — Consumo</v>
      </c>
      <c r="L657">
        <f>COUNTIFS(Base_Itens!$E$5:$E$1504,J657,Base_Itens!$G$5:$G$1504,K657)</f>
        <v>0</v>
      </c>
    </row>
    <row r="658" spans="1:12">
      <c r="A658" t="s">
        <v>2799</v>
      </c>
      <c r="B658">
        <v>2019</v>
      </c>
      <c r="C658" t="s">
        <v>82</v>
      </c>
      <c r="D658">
        <v>1</v>
      </c>
      <c r="E658">
        <v>1</v>
      </c>
      <c r="F658">
        <f>SUMIF(Base_Itens!$E$5:$E$1504,A658,Base_Itens!$I$5:$I$1504)</f>
        <v>1</v>
      </c>
      <c r="G658">
        <f t="shared" si="32"/>
        <v>0</v>
      </c>
      <c r="H658">
        <f>COUNTIF(Base_Itens!$E$5:$E$1504,A658)</f>
        <v>1</v>
      </c>
      <c r="I658" t="str">
        <f t="shared" si="33"/>
        <v>OK</v>
      </c>
      <c r="J658" t="str">
        <f>Base_Itens!E235</f>
        <v>2013-Q6-4</v>
      </c>
      <c r="K658" t="str">
        <f>Base_Itens!G635</f>
        <v>06 — IS-LM-BP</v>
      </c>
      <c r="L658">
        <f>COUNTIFS(Base_Itens!$E$5:$E$1504,J658,Base_Itens!$G$5:$G$1504,K658)</f>
        <v>0</v>
      </c>
    </row>
    <row r="659" spans="1:12">
      <c r="A659" t="s">
        <v>2800</v>
      </c>
      <c r="B659">
        <v>2019</v>
      </c>
      <c r="C659" t="s">
        <v>82</v>
      </c>
      <c r="D659">
        <v>1</v>
      </c>
      <c r="E659">
        <v>1</v>
      </c>
      <c r="F659">
        <f>SUMIF(Base_Itens!$E$5:$E$1504,A659,Base_Itens!$I$5:$I$1504)</f>
        <v>1</v>
      </c>
      <c r="G659">
        <f t="shared" si="32"/>
        <v>0</v>
      </c>
      <c r="H659">
        <f>COUNTIF(Base_Itens!$E$5:$E$1504,A659)</f>
        <v>1</v>
      </c>
      <c r="I659" t="str">
        <f t="shared" si="33"/>
        <v>OK</v>
      </c>
      <c r="J659" t="str">
        <f>Base_Itens!E236</f>
        <v>2013-Q7-0</v>
      </c>
      <c r="K659" t="str">
        <f>Base_Itens!G636</f>
        <v>06 — IS-LM-BP</v>
      </c>
      <c r="L659">
        <f>COUNTIFS(Base_Itens!$E$5:$E$1504,J659,Base_Itens!$G$5:$G$1504,K659)</f>
        <v>0</v>
      </c>
    </row>
    <row r="660" spans="1:12">
      <c r="A660" t="s">
        <v>2801</v>
      </c>
      <c r="B660">
        <v>2019</v>
      </c>
      <c r="C660" t="s">
        <v>82</v>
      </c>
      <c r="D660">
        <v>1</v>
      </c>
      <c r="E660">
        <v>1</v>
      </c>
      <c r="F660">
        <f>SUMIF(Base_Itens!$E$5:$E$1504,A660,Base_Itens!$I$5:$I$1504)</f>
        <v>1</v>
      </c>
      <c r="G660">
        <f t="shared" si="32"/>
        <v>0</v>
      </c>
      <c r="H660">
        <f>COUNTIF(Base_Itens!$E$5:$E$1504,A660)</f>
        <v>1</v>
      </c>
      <c r="I660" t="str">
        <f t="shared" si="33"/>
        <v>OK</v>
      </c>
      <c r="J660" t="str">
        <f>Base_Itens!E237</f>
        <v>2013-Q7-1</v>
      </c>
      <c r="K660" t="str">
        <f>Base_Itens!G637</f>
        <v>06 — IS-LM-BP</v>
      </c>
      <c r="L660">
        <f>COUNTIFS(Base_Itens!$E$5:$E$1504,J660,Base_Itens!$G$5:$G$1504,K660)</f>
        <v>0</v>
      </c>
    </row>
    <row r="661" spans="1:12">
      <c r="A661" t="s">
        <v>2802</v>
      </c>
      <c r="B661">
        <v>2019</v>
      </c>
      <c r="C661" t="s">
        <v>82</v>
      </c>
      <c r="D661">
        <v>1</v>
      </c>
      <c r="E661">
        <v>1</v>
      </c>
      <c r="F661">
        <f>SUMIF(Base_Itens!$E$5:$E$1504,A661,Base_Itens!$I$5:$I$1504)</f>
        <v>1</v>
      </c>
      <c r="G661">
        <f t="shared" si="32"/>
        <v>0</v>
      </c>
      <c r="H661">
        <f>COUNTIF(Base_Itens!$E$5:$E$1504,A661)</f>
        <v>1</v>
      </c>
      <c r="I661" t="str">
        <f t="shared" si="33"/>
        <v>OK</v>
      </c>
      <c r="J661" t="str">
        <f>Base_Itens!E238</f>
        <v>2013-Q7-2</v>
      </c>
      <c r="K661" t="str">
        <f>Base_Itens!G638</f>
        <v>06 — IS-LM-BP</v>
      </c>
      <c r="L661">
        <f>COUNTIFS(Base_Itens!$E$5:$E$1504,J661,Base_Itens!$G$5:$G$1504,K661)</f>
        <v>0</v>
      </c>
    </row>
    <row r="662" spans="1:12">
      <c r="A662" t="s">
        <v>2803</v>
      </c>
      <c r="B662">
        <v>2019</v>
      </c>
      <c r="C662" t="s">
        <v>82</v>
      </c>
      <c r="D662">
        <v>1</v>
      </c>
      <c r="E662">
        <v>1</v>
      </c>
      <c r="F662">
        <f>SUMIF(Base_Itens!$E$5:$E$1504,A662,Base_Itens!$I$5:$I$1504)</f>
        <v>1</v>
      </c>
      <c r="G662">
        <f t="shared" si="32"/>
        <v>0</v>
      </c>
      <c r="H662">
        <f>COUNTIF(Base_Itens!$E$5:$E$1504,A662)</f>
        <v>1</v>
      </c>
      <c r="I662" t="str">
        <f t="shared" si="33"/>
        <v>OK</v>
      </c>
      <c r="J662" t="str">
        <f>Base_Itens!E239</f>
        <v>2013-Q7-3</v>
      </c>
      <c r="K662" t="str">
        <f>Base_Itens!G639</f>
        <v>06 — IS-LM-BP</v>
      </c>
      <c r="L662">
        <f>COUNTIFS(Base_Itens!$E$5:$E$1504,J662,Base_Itens!$G$5:$G$1504,K662)</f>
        <v>0</v>
      </c>
    </row>
    <row r="663" spans="1:12">
      <c r="A663" t="s">
        <v>2804</v>
      </c>
      <c r="B663">
        <v>2019</v>
      </c>
      <c r="C663" t="s">
        <v>2153</v>
      </c>
      <c r="D663">
        <v>5</v>
      </c>
      <c r="E663">
        <v>1</v>
      </c>
      <c r="F663">
        <f>SUMIF(Base_Itens!$E$5:$E$1504,A663,Base_Itens!$I$5:$I$1504)</f>
        <v>5</v>
      </c>
      <c r="G663">
        <f t="shared" si="32"/>
        <v>0</v>
      </c>
      <c r="H663">
        <f>COUNTIF(Base_Itens!$E$5:$E$1504,A663)</f>
        <v>1</v>
      </c>
      <c r="I663" t="str">
        <f t="shared" si="33"/>
        <v>OK</v>
      </c>
      <c r="J663" t="str">
        <f>Base_Itens!E240</f>
        <v>2013-Q7-4</v>
      </c>
      <c r="K663" t="str">
        <f>Base_Itens!G640</f>
        <v>11 — Crescimento Econômico</v>
      </c>
      <c r="L663">
        <f>COUNTIFS(Base_Itens!$E$5:$E$1504,J663,Base_Itens!$G$5:$G$1504,K663)</f>
        <v>0</v>
      </c>
    </row>
    <row r="664" spans="1:12">
      <c r="A664" t="s">
        <v>2805</v>
      </c>
      <c r="B664">
        <v>2019</v>
      </c>
      <c r="C664" t="s">
        <v>2153</v>
      </c>
      <c r="D664">
        <v>5</v>
      </c>
      <c r="E664">
        <v>2</v>
      </c>
      <c r="F664">
        <f>SUMIF(Base_Itens!$E$5:$E$1504,A664,Base_Itens!$I$5:$I$1504)</f>
        <v>5</v>
      </c>
      <c r="G664">
        <f t="shared" si="32"/>
        <v>0</v>
      </c>
      <c r="H664">
        <f>COUNTIF(Base_Itens!$E$5:$E$1504,A664)</f>
        <v>2</v>
      </c>
      <c r="I664" t="str">
        <f t="shared" ref="I664:I695" si="34">IF(AND(G664=0,H664=E264),"OK","REVER")</f>
        <v>REVER</v>
      </c>
      <c r="J664" t="str">
        <f>Base_Itens!E241</f>
        <v>2013-Q8-0</v>
      </c>
      <c r="K664" t="str">
        <f>Base_Itens!G641</f>
        <v>11 — Crescimento Econômico</v>
      </c>
      <c r="L664">
        <f>COUNTIFS(Base_Itens!$E$5:$E$1504,J664,Base_Itens!$G$5:$G$1504,K664)</f>
        <v>0</v>
      </c>
    </row>
    <row r="665" spans="1:12">
      <c r="A665" t="s">
        <v>2806</v>
      </c>
      <c r="B665">
        <v>2019</v>
      </c>
      <c r="C665" t="s">
        <v>2153</v>
      </c>
      <c r="D665">
        <v>5</v>
      </c>
      <c r="E665">
        <v>1</v>
      </c>
      <c r="F665">
        <f>SUMIF(Base_Itens!$E$5:$E$1504,A665,Base_Itens!$I$5:$I$1504)</f>
        <v>5</v>
      </c>
      <c r="G665">
        <f t="shared" si="32"/>
        <v>0</v>
      </c>
      <c r="H665">
        <f>COUNTIF(Base_Itens!$E$5:$E$1504,A665)</f>
        <v>1</v>
      </c>
      <c r="I665" t="str">
        <f t="shared" si="34"/>
        <v>OK</v>
      </c>
      <c r="J665" t="str">
        <f>Base_Itens!E242</f>
        <v>2013-Q8-1</v>
      </c>
      <c r="K665" t="str">
        <f>Base_Itens!G642</f>
        <v>11 — Crescimento Econômico</v>
      </c>
      <c r="L665">
        <f>COUNTIFS(Base_Itens!$E$5:$E$1504,J665,Base_Itens!$G$5:$G$1504,K665)</f>
        <v>0</v>
      </c>
    </row>
    <row r="666" spans="1:12">
      <c r="A666" t="s">
        <v>2807</v>
      </c>
      <c r="B666">
        <v>2020</v>
      </c>
      <c r="C666" t="s">
        <v>82</v>
      </c>
      <c r="D666">
        <v>1</v>
      </c>
      <c r="E666">
        <v>1</v>
      </c>
      <c r="F666">
        <f>SUMIF(Base_Itens!$E$5:$E$1504,A666,Base_Itens!$I$5:$I$1504)</f>
        <v>1</v>
      </c>
      <c r="G666">
        <f t="shared" si="32"/>
        <v>0</v>
      </c>
      <c r="H666">
        <f>COUNTIF(Base_Itens!$E$5:$E$1504,A666)</f>
        <v>1</v>
      </c>
      <c r="I666" t="str">
        <f t="shared" si="34"/>
        <v>OK</v>
      </c>
      <c r="J666" t="str">
        <f>Base_Itens!E243</f>
        <v>2013-Q8-2</v>
      </c>
      <c r="K666" t="str">
        <f>Base_Itens!G643</f>
        <v>11 — Crescimento Econômico</v>
      </c>
      <c r="L666">
        <f>COUNTIFS(Base_Itens!$E$5:$E$1504,J666,Base_Itens!$G$5:$G$1504,K666)</f>
        <v>0</v>
      </c>
    </row>
    <row r="667" spans="1:12">
      <c r="A667" t="s">
        <v>2808</v>
      </c>
      <c r="B667">
        <v>2020</v>
      </c>
      <c r="C667" t="s">
        <v>82</v>
      </c>
      <c r="D667">
        <v>1</v>
      </c>
      <c r="E667">
        <v>1</v>
      </c>
      <c r="F667">
        <f>SUMIF(Base_Itens!$E$5:$E$1504,A667,Base_Itens!$I$5:$I$1504)</f>
        <v>1</v>
      </c>
      <c r="G667">
        <f t="shared" si="32"/>
        <v>0</v>
      </c>
      <c r="H667">
        <f>COUNTIF(Base_Itens!$E$5:$E$1504,A667)</f>
        <v>1</v>
      </c>
      <c r="I667" t="str">
        <f t="shared" si="34"/>
        <v>OK</v>
      </c>
      <c r="J667" t="str">
        <f>Base_Itens!E244</f>
        <v>2013-Q8-3</v>
      </c>
      <c r="K667" t="str">
        <f>Base_Itens!G644</f>
        <v>11 — Crescimento Econômico</v>
      </c>
      <c r="L667">
        <f>COUNTIFS(Base_Itens!$E$5:$E$1504,J667,Base_Itens!$G$5:$G$1504,K667)</f>
        <v>0</v>
      </c>
    </row>
    <row r="668" spans="1:12">
      <c r="A668" t="s">
        <v>2809</v>
      </c>
      <c r="B668">
        <v>2020</v>
      </c>
      <c r="C668" t="s">
        <v>82</v>
      </c>
      <c r="D668">
        <v>1</v>
      </c>
      <c r="E668">
        <v>1</v>
      </c>
      <c r="F668">
        <f>SUMIF(Base_Itens!$E$5:$E$1504,A668,Base_Itens!$I$5:$I$1504)</f>
        <v>1</v>
      </c>
      <c r="G668">
        <f t="shared" ref="G668:G731" si="35">F668-D668</f>
        <v>0</v>
      </c>
      <c r="H668">
        <f>COUNTIF(Base_Itens!$E$5:$E$1504,A668)</f>
        <v>1</v>
      </c>
      <c r="I668" t="str">
        <f t="shared" si="34"/>
        <v>OK</v>
      </c>
      <c r="J668" t="str">
        <f>Base_Itens!E245</f>
        <v>2013-Q8-4</v>
      </c>
      <c r="K668" t="str">
        <f>Base_Itens!G645</f>
        <v>12 — Consumo</v>
      </c>
      <c r="L668">
        <f>COUNTIFS(Base_Itens!$E$5:$E$1504,J668,Base_Itens!$G$5:$G$1504,K668)</f>
        <v>0</v>
      </c>
    </row>
    <row r="669" spans="1:12">
      <c r="A669" t="s">
        <v>2810</v>
      </c>
      <c r="B669">
        <v>2020</v>
      </c>
      <c r="C669" t="s">
        <v>82</v>
      </c>
      <c r="D669">
        <v>1</v>
      </c>
      <c r="E669">
        <v>1</v>
      </c>
      <c r="F669">
        <f>SUMIF(Base_Itens!$E$5:$E$1504,A669,Base_Itens!$I$5:$I$1504)</f>
        <v>1</v>
      </c>
      <c r="G669">
        <f t="shared" si="35"/>
        <v>0</v>
      </c>
      <c r="H669">
        <f>COUNTIF(Base_Itens!$E$5:$E$1504,A669)</f>
        <v>1</v>
      </c>
      <c r="I669" t="str">
        <f t="shared" si="34"/>
        <v>OK</v>
      </c>
      <c r="J669" t="str">
        <f>Base_Itens!E246</f>
        <v>2013-Q9-0</v>
      </c>
      <c r="K669" t="str">
        <f>Base_Itens!G646</f>
        <v>12 — Consumo</v>
      </c>
      <c r="L669">
        <f>COUNTIFS(Base_Itens!$E$5:$E$1504,J669,Base_Itens!$G$5:$G$1504,K669)</f>
        <v>0</v>
      </c>
    </row>
    <row r="670" spans="1:12">
      <c r="A670" t="s">
        <v>2811</v>
      </c>
      <c r="B670">
        <v>2020</v>
      </c>
      <c r="C670" t="s">
        <v>82</v>
      </c>
      <c r="D670">
        <v>1</v>
      </c>
      <c r="E670">
        <v>1</v>
      </c>
      <c r="F670">
        <f>SUMIF(Base_Itens!$E$5:$E$1504,A670,Base_Itens!$I$5:$I$1504)</f>
        <v>1</v>
      </c>
      <c r="G670">
        <f t="shared" si="35"/>
        <v>0</v>
      </c>
      <c r="H670">
        <f>COUNTIF(Base_Itens!$E$5:$E$1504,A670)</f>
        <v>1</v>
      </c>
      <c r="I670" t="str">
        <f t="shared" si="34"/>
        <v>OK</v>
      </c>
      <c r="J670" t="str">
        <f>Base_Itens!E247</f>
        <v>2013-Q9-1</v>
      </c>
      <c r="K670" t="str">
        <f>Base_Itens!G647</f>
        <v>12 — Consumo</v>
      </c>
      <c r="L670">
        <f>COUNTIFS(Base_Itens!$E$5:$E$1504,J670,Base_Itens!$G$5:$G$1504,K670)</f>
        <v>0</v>
      </c>
    </row>
    <row r="671" spans="1:12">
      <c r="A671" t="s">
        <v>2812</v>
      </c>
      <c r="B671">
        <v>2020</v>
      </c>
      <c r="C671" t="s">
        <v>82</v>
      </c>
      <c r="D671">
        <v>1</v>
      </c>
      <c r="E671">
        <v>1</v>
      </c>
      <c r="F671">
        <f>SUMIF(Base_Itens!$E$5:$E$1504,A671,Base_Itens!$I$5:$I$1504)</f>
        <v>1</v>
      </c>
      <c r="G671">
        <f t="shared" si="35"/>
        <v>0</v>
      </c>
      <c r="H671">
        <f>COUNTIF(Base_Itens!$E$5:$E$1504,A671)</f>
        <v>1</v>
      </c>
      <c r="I671" t="str">
        <f t="shared" si="34"/>
        <v>OK</v>
      </c>
      <c r="J671" t="str">
        <f>Base_Itens!E248</f>
        <v>2013-Q9-2</v>
      </c>
      <c r="K671" t="str">
        <f>Base_Itens!G648</f>
        <v>12 — Consumo</v>
      </c>
      <c r="L671">
        <f>COUNTIFS(Base_Itens!$E$5:$E$1504,J671,Base_Itens!$G$5:$G$1504,K671)</f>
        <v>0</v>
      </c>
    </row>
    <row r="672" spans="1:12">
      <c r="A672" t="s">
        <v>2813</v>
      </c>
      <c r="B672">
        <v>2020</v>
      </c>
      <c r="C672" t="s">
        <v>82</v>
      </c>
      <c r="D672">
        <v>1</v>
      </c>
      <c r="E672">
        <v>1</v>
      </c>
      <c r="F672">
        <f>SUMIF(Base_Itens!$E$5:$E$1504,A672,Base_Itens!$I$5:$I$1504)</f>
        <v>1</v>
      </c>
      <c r="G672">
        <f t="shared" si="35"/>
        <v>0</v>
      </c>
      <c r="H672">
        <f>COUNTIF(Base_Itens!$E$5:$E$1504,A672)</f>
        <v>1</v>
      </c>
      <c r="I672" t="str">
        <f t="shared" si="34"/>
        <v>OK</v>
      </c>
      <c r="J672" t="str">
        <f>Base_Itens!E249</f>
        <v>2013-Q9-3</v>
      </c>
      <c r="K672" t="str">
        <f>Base_Itens!G649</f>
        <v>12 — Consumo</v>
      </c>
      <c r="L672">
        <f>COUNTIFS(Base_Itens!$E$5:$E$1504,J672,Base_Itens!$G$5:$G$1504,K672)</f>
        <v>0</v>
      </c>
    </row>
    <row r="673" spans="1:12">
      <c r="A673" t="s">
        <v>2814</v>
      </c>
      <c r="B673">
        <v>2020</v>
      </c>
      <c r="C673" t="s">
        <v>82</v>
      </c>
      <c r="D673">
        <v>1</v>
      </c>
      <c r="E673">
        <v>1</v>
      </c>
      <c r="F673">
        <f>SUMIF(Base_Itens!$E$5:$E$1504,A673,Base_Itens!$I$5:$I$1504)</f>
        <v>1</v>
      </c>
      <c r="G673">
        <f t="shared" si="35"/>
        <v>0</v>
      </c>
      <c r="H673">
        <f>COUNTIF(Base_Itens!$E$5:$E$1504,A673)</f>
        <v>1</v>
      </c>
      <c r="I673" t="str">
        <f t="shared" si="34"/>
        <v>OK</v>
      </c>
      <c r="J673" t="str">
        <f>Base_Itens!E250</f>
        <v>2013-Q9-4</v>
      </c>
      <c r="K673" t="str">
        <f>Base_Itens!G650</f>
        <v>02 — Balanço de Pagamentos</v>
      </c>
      <c r="L673">
        <f>COUNTIFS(Base_Itens!$E$5:$E$1504,J673,Base_Itens!$G$5:$G$1504,K673)</f>
        <v>0</v>
      </c>
    </row>
    <row r="674" spans="1:12">
      <c r="A674" t="s">
        <v>2815</v>
      </c>
      <c r="B674">
        <v>2020</v>
      </c>
      <c r="C674" t="s">
        <v>82</v>
      </c>
      <c r="D674">
        <v>1</v>
      </c>
      <c r="E674">
        <v>1</v>
      </c>
      <c r="F674">
        <f>SUMIF(Base_Itens!$E$5:$E$1504,A674,Base_Itens!$I$5:$I$1504)</f>
        <v>1</v>
      </c>
      <c r="G674">
        <f t="shared" si="35"/>
        <v>0</v>
      </c>
      <c r="H674">
        <f>COUNTIF(Base_Itens!$E$5:$E$1504,A674)</f>
        <v>1</v>
      </c>
      <c r="I674" t="str">
        <f t="shared" si="34"/>
        <v>OK</v>
      </c>
      <c r="J674" t="str">
        <f>Base_Itens!E251</f>
        <v>2013-Q10-0</v>
      </c>
      <c r="K674" t="str">
        <f>Base_Itens!G651</f>
        <v>02 — Balanço de Pagamentos</v>
      </c>
      <c r="L674">
        <f>COUNTIFS(Base_Itens!$E$5:$E$1504,J674,Base_Itens!$G$5:$G$1504,K674)</f>
        <v>0</v>
      </c>
    </row>
    <row r="675" spans="1:12">
      <c r="A675" t="s">
        <v>2816</v>
      </c>
      <c r="B675">
        <v>2020</v>
      </c>
      <c r="C675" t="s">
        <v>82</v>
      </c>
      <c r="D675">
        <v>1</v>
      </c>
      <c r="E675">
        <v>1</v>
      </c>
      <c r="F675">
        <f>SUMIF(Base_Itens!$E$5:$E$1504,A675,Base_Itens!$I$5:$I$1504)</f>
        <v>1</v>
      </c>
      <c r="G675">
        <f t="shared" si="35"/>
        <v>0</v>
      </c>
      <c r="H675">
        <f>COUNTIF(Base_Itens!$E$5:$E$1504,A675)</f>
        <v>1</v>
      </c>
      <c r="I675" t="str">
        <f t="shared" si="34"/>
        <v>OK</v>
      </c>
      <c r="J675" t="str">
        <f>Base_Itens!E252</f>
        <v>2013-Q10-1</v>
      </c>
      <c r="K675" t="str">
        <f>Base_Itens!G652</f>
        <v>01 — Contas Nacionais</v>
      </c>
      <c r="L675">
        <f>COUNTIFS(Base_Itens!$E$5:$E$1504,J675,Base_Itens!$G$5:$G$1504,K675)</f>
        <v>0</v>
      </c>
    </row>
    <row r="676" spans="1:12">
      <c r="A676" t="s">
        <v>2817</v>
      </c>
      <c r="B676">
        <v>2020</v>
      </c>
      <c r="C676" t="s">
        <v>82</v>
      </c>
      <c r="D676">
        <v>1</v>
      </c>
      <c r="E676">
        <v>1</v>
      </c>
      <c r="F676">
        <f>SUMIF(Base_Itens!$E$5:$E$1504,A676,Base_Itens!$I$5:$I$1504)</f>
        <v>1</v>
      </c>
      <c r="G676">
        <f t="shared" si="35"/>
        <v>0</v>
      </c>
      <c r="H676">
        <f>COUNTIF(Base_Itens!$E$5:$E$1504,A676)</f>
        <v>1</v>
      </c>
      <c r="I676" t="str">
        <f t="shared" si="34"/>
        <v>OK</v>
      </c>
      <c r="J676" t="str">
        <f>Base_Itens!E253</f>
        <v>2013-Q10-2</v>
      </c>
      <c r="K676" t="str">
        <f>Base_Itens!G653</f>
        <v>02 — Balanço de Pagamentos</v>
      </c>
      <c r="L676">
        <f>COUNTIFS(Base_Itens!$E$5:$E$1504,J676,Base_Itens!$G$5:$G$1504,K676)</f>
        <v>0</v>
      </c>
    </row>
    <row r="677" spans="1:12">
      <c r="A677" t="s">
        <v>2818</v>
      </c>
      <c r="B677">
        <v>2020</v>
      </c>
      <c r="C677" t="s">
        <v>82</v>
      </c>
      <c r="D677">
        <v>1</v>
      </c>
      <c r="E677">
        <v>1</v>
      </c>
      <c r="F677">
        <f>SUMIF(Base_Itens!$E$5:$E$1504,A677,Base_Itens!$I$5:$I$1504)</f>
        <v>1</v>
      </c>
      <c r="G677">
        <f t="shared" si="35"/>
        <v>0</v>
      </c>
      <c r="H677">
        <f>COUNTIF(Base_Itens!$E$5:$E$1504,A677)</f>
        <v>1</v>
      </c>
      <c r="I677" t="str">
        <f t="shared" si="34"/>
        <v>OK</v>
      </c>
      <c r="J677" t="str">
        <f>Base_Itens!E254</f>
        <v>2013-Q10-3</v>
      </c>
      <c r="K677" t="str">
        <f>Base_Itens!G654</f>
        <v>02 — Balanço de Pagamentos</v>
      </c>
      <c r="L677">
        <f>COUNTIFS(Base_Itens!$E$5:$E$1504,J677,Base_Itens!$G$5:$G$1504,K677)</f>
        <v>0</v>
      </c>
    </row>
    <row r="678" spans="1:12">
      <c r="A678" t="s">
        <v>2819</v>
      </c>
      <c r="B678">
        <v>2020</v>
      </c>
      <c r="C678" t="s">
        <v>82</v>
      </c>
      <c r="D678">
        <v>1</v>
      </c>
      <c r="E678">
        <v>1</v>
      </c>
      <c r="F678">
        <f>SUMIF(Base_Itens!$E$5:$E$1504,A678,Base_Itens!$I$5:$I$1504)</f>
        <v>1</v>
      </c>
      <c r="G678">
        <f t="shared" si="35"/>
        <v>0</v>
      </c>
      <c r="H678">
        <f>COUNTIF(Base_Itens!$E$5:$E$1504,A678)</f>
        <v>1</v>
      </c>
      <c r="I678" t="str">
        <f t="shared" si="34"/>
        <v>REVER</v>
      </c>
      <c r="J678" t="str">
        <f>Base_Itens!E255</f>
        <v>2013-Q10-4</v>
      </c>
      <c r="K678" t="str">
        <f>Base_Itens!G655</f>
        <v>02 — Balanço de Pagamentos</v>
      </c>
      <c r="L678">
        <f>COUNTIFS(Base_Itens!$E$5:$E$1504,J678,Base_Itens!$G$5:$G$1504,K678)</f>
        <v>0</v>
      </c>
    </row>
    <row r="679" spans="1:12">
      <c r="A679" t="s">
        <v>2820</v>
      </c>
      <c r="B679">
        <v>2020</v>
      </c>
      <c r="C679" t="s">
        <v>82</v>
      </c>
      <c r="D679">
        <v>1</v>
      </c>
      <c r="E679">
        <v>1</v>
      </c>
      <c r="F679">
        <f>SUMIF(Base_Itens!$E$5:$E$1504,A679,Base_Itens!$I$5:$I$1504)</f>
        <v>1</v>
      </c>
      <c r="G679">
        <f t="shared" si="35"/>
        <v>0</v>
      </c>
      <c r="H679">
        <f>COUNTIF(Base_Itens!$E$5:$E$1504,A679)</f>
        <v>1</v>
      </c>
      <c r="I679" t="str">
        <f t="shared" si="34"/>
        <v>OK</v>
      </c>
      <c r="J679" t="str">
        <f>Base_Itens!E256</f>
        <v>2013-Q11-0</v>
      </c>
      <c r="K679" t="str">
        <f>Base_Itens!G656</f>
        <v>09 — Expectativas, Novos Clássicos e Novos Keynesianos</v>
      </c>
      <c r="L679">
        <f>COUNTIFS(Base_Itens!$E$5:$E$1504,J679,Base_Itens!$G$5:$G$1504,K679)</f>
        <v>1</v>
      </c>
    </row>
    <row r="680" spans="1:12">
      <c r="A680" t="s">
        <v>2821</v>
      </c>
      <c r="B680">
        <v>2020</v>
      </c>
      <c r="C680" t="s">
        <v>82</v>
      </c>
      <c r="D680">
        <v>1</v>
      </c>
      <c r="E680">
        <v>1</v>
      </c>
      <c r="F680">
        <f>SUMIF(Base_Itens!$E$5:$E$1504,A680,Base_Itens!$I$5:$I$1504)</f>
        <v>1</v>
      </c>
      <c r="G680">
        <f t="shared" si="35"/>
        <v>0</v>
      </c>
      <c r="H680">
        <f>COUNTIF(Base_Itens!$E$5:$E$1504,A680)</f>
        <v>1</v>
      </c>
      <c r="I680" t="str">
        <f t="shared" si="34"/>
        <v>REVER</v>
      </c>
      <c r="J680" t="str">
        <f>Base_Itens!E257</f>
        <v>2013-Q11-1</v>
      </c>
      <c r="K680" t="str">
        <f>Base_Itens!G657</f>
        <v>09 — Expectativas, Novos Clássicos e Novos Keynesianos</v>
      </c>
      <c r="L680">
        <f>COUNTIFS(Base_Itens!$E$5:$E$1504,J680,Base_Itens!$G$5:$G$1504,K680)</f>
        <v>0</v>
      </c>
    </row>
    <row r="681" spans="1:12">
      <c r="A681" t="s">
        <v>2822</v>
      </c>
      <c r="B681">
        <v>2020</v>
      </c>
      <c r="C681" t="s">
        <v>82</v>
      </c>
      <c r="D681">
        <v>1</v>
      </c>
      <c r="E681">
        <v>1</v>
      </c>
      <c r="F681">
        <f>SUMIF(Base_Itens!$E$5:$E$1504,A681,Base_Itens!$I$5:$I$1504)</f>
        <v>1</v>
      </c>
      <c r="G681">
        <f t="shared" si="35"/>
        <v>0</v>
      </c>
      <c r="H681">
        <f>COUNTIF(Base_Itens!$E$5:$E$1504,A681)</f>
        <v>1</v>
      </c>
      <c r="I681" t="str">
        <f t="shared" si="34"/>
        <v>OK</v>
      </c>
      <c r="J681" t="str">
        <f>Base_Itens!E258</f>
        <v>2013-Q11-2</v>
      </c>
      <c r="K681" t="str">
        <f>Base_Itens!G658</f>
        <v>09 — Expectativas, Novos Clássicos e Novos Keynesianos</v>
      </c>
      <c r="L681">
        <f>COUNTIFS(Base_Itens!$E$5:$E$1504,J681,Base_Itens!$G$5:$G$1504,K681)</f>
        <v>1</v>
      </c>
    </row>
    <row r="682" spans="1:12">
      <c r="A682" t="s">
        <v>2823</v>
      </c>
      <c r="B682">
        <v>2020</v>
      </c>
      <c r="C682" t="s">
        <v>82</v>
      </c>
      <c r="D682">
        <v>1</v>
      </c>
      <c r="E682">
        <v>1</v>
      </c>
      <c r="F682">
        <f>SUMIF(Base_Itens!$E$5:$E$1504,A682,Base_Itens!$I$5:$I$1504)</f>
        <v>1</v>
      </c>
      <c r="G682">
        <f t="shared" si="35"/>
        <v>0</v>
      </c>
      <c r="H682">
        <f>COUNTIF(Base_Itens!$E$5:$E$1504,A682)</f>
        <v>1</v>
      </c>
      <c r="I682" t="str">
        <f t="shared" si="34"/>
        <v>OK</v>
      </c>
      <c r="J682" t="str">
        <f>Base_Itens!E259</f>
        <v>2013-Q11-3</v>
      </c>
      <c r="K682" t="str">
        <f>Base_Itens!G659</f>
        <v>09 — Expectativas, Novos Clássicos e Novos Keynesianos</v>
      </c>
      <c r="L682">
        <f>COUNTIFS(Base_Itens!$E$5:$E$1504,J682,Base_Itens!$G$5:$G$1504,K682)</f>
        <v>1</v>
      </c>
    </row>
    <row r="683" spans="1:12">
      <c r="A683" t="s">
        <v>2824</v>
      </c>
      <c r="B683">
        <v>2020</v>
      </c>
      <c r="C683" t="s">
        <v>82</v>
      </c>
      <c r="D683">
        <v>1</v>
      </c>
      <c r="E683">
        <v>1</v>
      </c>
      <c r="F683">
        <f>SUMIF(Base_Itens!$E$5:$E$1504,A683,Base_Itens!$I$5:$I$1504)</f>
        <v>1</v>
      </c>
      <c r="G683">
        <f t="shared" si="35"/>
        <v>0</v>
      </c>
      <c r="H683">
        <f>COUNTIF(Base_Itens!$E$5:$E$1504,A683)</f>
        <v>1</v>
      </c>
      <c r="I683" t="str">
        <f t="shared" si="34"/>
        <v>OK</v>
      </c>
      <c r="J683" t="str">
        <f>Base_Itens!E260</f>
        <v>2013-Q11-4</v>
      </c>
      <c r="K683" t="str">
        <f>Base_Itens!G660</f>
        <v>09 — Expectativas, Novos Clássicos e Novos Keynesianos</v>
      </c>
      <c r="L683">
        <f>COUNTIFS(Base_Itens!$E$5:$E$1504,J683,Base_Itens!$G$5:$G$1504,K683)</f>
        <v>0</v>
      </c>
    </row>
    <row r="684" spans="1:12">
      <c r="A684" t="s">
        <v>2825</v>
      </c>
      <c r="B684">
        <v>2020</v>
      </c>
      <c r="C684" t="s">
        <v>82</v>
      </c>
      <c r="D684">
        <v>1</v>
      </c>
      <c r="E684">
        <v>1</v>
      </c>
      <c r="F684">
        <f>SUMIF(Base_Itens!$E$5:$E$1504,A684,Base_Itens!$I$5:$I$1504)</f>
        <v>1</v>
      </c>
      <c r="G684">
        <f t="shared" si="35"/>
        <v>0</v>
      </c>
      <c r="H684">
        <f>COUNTIF(Base_Itens!$E$5:$E$1504,A684)</f>
        <v>1</v>
      </c>
      <c r="I684" t="str">
        <f t="shared" si="34"/>
        <v>OK</v>
      </c>
      <c r="J684" t="str">
        <f>Base_Itens!E261</f>
        <v>2013-Q12-0</v>
      </c>
      <c r="K684" t="str">
        <f>Base_Itens!G661</f>
        <v>05 — IS-LM</v>
      </c>
      <c r="L684">
        <f>COUNTIFS(Base_Itens!$E$5:$E$1504,J684,Base_Itens!$G$5:$G$1504,K684)</f>
        <v>0</v>
      </c>
    </row>
    <row r="685" spans="1:12">
      <c r="A685" t="s">
        <v>2826</v>
      </c>
      <c r="B685">
        <v>2020</v>
      </c>
      <c r="C685" t="s">
        <v>82</v>
      </c>
      <c r="D685">
        <v>1</v>
      </c>
      <c r="E685">
        <v>1</v>
      </c>
      <c r="F685">
        <f>SUMIF(Base_Itens!$E$5:$E$1504,A685,Base_Itens!$I$5:$I$1504)</f>
        <v>1</v>
      </c>
      <c r="G685">
        <f t="shared" si="35"/>
        <v>0</v>
      </c>
      <c r="H685">
        <f>COUNTIF(Base_Itens!$E$5:$E$1504,A685)</f>
        <v>1</v>
      </c>
      <c r="I685" t="str">
        <f t="shared" si="34"/>
        <v>OK</v>
      </c>
      <c r="J685" t="str">
        <f>Base_Itens!E262</f>
        <v>2013-Q12-1</v>
      </c>
      <c r="K685" t="str">
        <f>Base_Itens!G662</f>
        <v>03 — Sistema Monetário</v>
      </c>
      <c r="L685">
        <f>COUNTIFS(Base_Itens!$E$5:$E$1504,J685,Base_Itens!$G$5:$G$1504,K685)</f>
        <v>0</v>
      </c>
    </row>
    <row r="686" spans="1:12">
      <c r="A686" t="s">
        <v>2827</v>
      </c>
      <c r="B686">
        <v>2020</v>
      </c>
      <c r="C686" t="s">
        <v>82</v>
      </c>
      <c r="D686">
        <v>1</v>
      </c>
      <c r="E686">
        <v>1</v>
      </c>
      <c r="F686">
        <f>SUMIF(Base_Itens!$E$5:$E$1504,A686,Base_Itens!$I$5:$I$1504)</f>
        <v>1</v>
      </c>
      <c r="G686">
        <f t="shared" si="35"/>
        <v>0</v>
      </c>
      <c r="H686">
        <f>COUNTIF(Base_Itens!$E$5:$E$1504,A686)</f>
        <v>1</v>
      </c>
      <c r="I686" t="str">
        <f t="shared" si="34"/>
        <v>OK</v>
      </c>
      <c r="J686" t="str">
        <f>Base_Itens!E263</f>
        <v>2013-Q12-2</v>
      </c>
      <c r="K686" t="str">
        <f>Base_Itens!G663</f>
        <v>04 — Demanda por Moeda</v>
      </c>
      <c r="L686">
        <f>COUNTIFS(Base_Itens!$E$5:$E$1504,J686,Base_Itens!$G$5:$G$1504,K686)</f>
        <v>0</v>
      </c>
    </row>
    <row r="687" spans="1:12">
      <c r="A687" t="s">
        <v>2828</v>
      </c>
      <c r="B687">
        <v>2020</v>
      </c>
      <c r="C687" t="s">
        <v>82</v>
      </c>
      <c r="D687">
        <v>1</v>
      </c>
      <c r="E687">
        <v>1</v>
      </c>
      <c r="F687">
        <f>SUMIF(Base_Itens!$E$5:$E$1504,A687,Base_Itens!$I$5:$I$1504)</f>
        <v>1</v>
      </c>
      <c r="G687">
        <f t="shared" si="35"/>
        <v>0</v>
      </c>
      <c r="H687">
        <f>COUNTIF(Base_Itens!$E$5:$E$1504,A687)</f>
        <v>1</v>
      </c>
      <c r="I687" t="str">
        <f t="shared" si="34"/>
        <v>OK</v>
      </c>
      <c r="J687" t="str">
        <f>Base_Itens!E264</f>
        <v>2013-Q12-2</v>
      </c>
      <c r="K687" t="str">
        <f>Base_Itens!G664</f>
        <v>07a — Paridades</v>
      </c>
      <c r="L687">
        <f>COUNTIFS(Base_Itens!$E$5:$E$1504,J687,Base_Itens!$G$5:$G$1504,K687)</f>
        <v>0</v>
      </c>
    </row>
    <row r="688" spans="1:12">
      <c r="A688" t="s">
        <v>2829</v>
      </c>
      <c r="B688">
        <v>2020</v>
      </c>
      <c r="C688" t="s">
        <v>82</v>
      </c>
      <c r="D688">
        <v>1</v>
      </c>
      <c r="E688">
        <v>1</v>
      </c>
      <c r="F688">
        <f>SUMIF(Base_Itens!$E$5:$E$1504,A688,Base_Itens!$I$5:$I$1504)</f>
        <v>1</v>
      </c>
      <c r="G688">
        <f t="shared" si="35"/>
        <v>0</v>
      </c>
      <c r="H688">
        <f>COUNTIF(Base_Itens!$E$5:$E$1504,A688)</f>
        <v>1</v>
      </c>
      <c r="I688" t="str">
        <f t="shared" si="34"/>
        <v>OK</v>
      </c>
      <c r="J688" t="str">
        <f>Base_Itens!E265</f>
        <v>2013-Q12-3</v>
      </c>
      <c r="K688" t="str">
        <f>Base_Itens!G665</f>
        <v>02 — Balanço de Pagamentos</v>
      </c>
      <c r="L688">
        <f>COUNTIFS(Base_Itens!$E$5:$E$1504,J688,Base_Itens!$G$5:$G$1504,K688)</f>
        <v>1</v>
      </c>
    </row>
    <row r="689" spans="1:12">
      <c r="A689" t="s">
        <v>2830</v>
      </c>
      <c r="B689">
        <v>2020</v>
      </c>
      <c r="C689" t="s">
        <v>82</v>
      </c>
      <c r="D689">
        <v>1</v>
      </c>
      <c r="E689">
        <v>1</v>
      </c>
      <c r="F689">
        <f>SUMIF(Base_Itens!$E$5:$E$1504,A689,Base_Itens!$I$5:$I$1504)</f>
        <v>1</v>
      </c>
      <c r="G689">
        <f t="shared" si="35"/>
        <v>0</v>
      </c>
      <c r="H689">
        <f>COUNTIF(Base_Itens!$E$5:$E$1504,A689)</f>
        <v>1</v>
      </c>
      <c r="I689" t="str">
        <f t="shared" si="34"/>
        <v>OK</v>
      </c>
      <c r="J689" t="str">
        <f>Base_Itens!E266</f>
        <v>2013-Q12-4</v>
      </c>
      <c r="K689" t="str">
        <f>Base_Itens!G666</f>
        <v>02 — Balanço de Pagamentos</v>
      </c>
      <c r="L689">
        <f>COUNTIFS(Base_Itens!$E$5:$E$1504,J689,Base_Itens!$G$5:$G$1504,K689)</f>
        <v>1</v>
      </c>
    </row>
    <row r="690" spans="1:12">
      <c r="A690" t="s">
        <v>2831</v>
      </c>
      <c r="B690">
        <v>2020</v>
      </c>
      <c r="C690" t="s">
        <v>82</v>
      </c>
      <c r="D690">
        <v>1</v>
      </c>
      <c r="E690">
        <v>1</v>
      </c>
      <c r="F690">
        <f>SUMIF(Base_Itens!$E$5:$E$1504,A690,Base_Itens!$I$5:$I$1504)</f>
        <v>1</v>
      </c>
      <c r="G690">
        <f t="shared" si="35"/>
        <v>0</v>
      </c>
      <c r="H690">
        <f>COUNTIF(Base_Itens!$E$5:$E$1504,A690)</f>
        <v>1</v>
      </c>
      <c r="I690" t="str">
        <f t="shared" si="34"/>
        <v>OK</v>
      </c>
      <c r="J690" t="str">
        <f>Base_Itens!E267</f>
        <v>2013-Q12-4</v>
      </c>
      <c r="K690" t="str">
        <f>Base_Itens!G667</f>
        <v>02 — Balanço de Pagamentos</v>
      </c>
      <c r="L690">
        <f>COUNTIFS(Base_Itens!$E$5:$E$1504,J690,Base_Itens!$G$5:$G$1504,K690)</f>
        <v>1</v>
      </c>
    </row>
    <row r="691" spans="1:12">
      <c r="A691" t="s">
        <v>2832</v>
      </c>
      <c r="B691">
        <v>2020</v>
      </c>
      <c r="C691" t="s">
        <v>82</v>
      </c>
      <c r="D691">
        <v>1</v>
      </c>
      <c r="E691">
        <v>1</v>
      </c>
      <c r="F691">
        <f>SUMIF(Base_Itens!$E$5:$E$1504,A691,Base_Itens!$I$5:$I$1504)</f>
        <v>1</v>
      </c>
      <c r="G691">
        <f t="shared" si="35"/>
        <v>0</v>
      </c>
      <c r="H691">
        <f>COUNTIF(Base_Itens!$E$5:$E$1504,A691)</f>
        <v>1</v>
      </c>
      <c r="I691" t="str">
        <f t="shared" si="34"/>
        <v>OK</v>
      </c>
      <c r="J691" t="str">
        <f>Base_Itens!E268</f>
        <v>2013-Q13-0</v>
      </c>
      <c r="K691" t="str">
        <f>Base_Itens!G668</f>
        <v>02 — Balanço de Pagamentos</v>
      </c>
      <c r="L691">
        <f>COUNTIFS(Base_Itens!$E$5:$E$1504,J691,Base_Itens!$G$5:$G$1504,K691)</f>
        <v>0</v>
      </c>
    </row>
    <row r="692" spans="1:12">
      <c r="A692" t="s">
        <v>2833</v>
      </c>
      <c r="B692">
        <v>2020</v>
      </c>
      <c r="C692" t="s">
        <v>82</v>
      </c>
      <c r="D692">
        <v>1</v>
      </c>
      <c r="E692">
        <v>1</v>
      </c>
      <c r="F692">
        <f>SUMIF(Base_Itens!$E$5:$E$1504,A692,Base_Itens!$I$5:$I$1504)</f>
        <v>1</v>
      </c>
      <c r="G692">
        <f t="shared" si="35"/>
        <v>0</v>
      </c>
      <c r="H692">
        <f>COUNTIF(Base_Itens!$E$5:$E$1504,A692)</f>
        <v>1</v>
      </c>
      <c r="I692" t="str">
        <f t="shared" si="34"/>
        <v>OK</v>
      </c>
      <c r="J692" t="str">
        <f>Base_Itens!E269</f>
        <v>2013-Q13-1</v>
      </c>
      <c r="K692" t="str">
        <f>Base_Itens!G669</f>
        <v>02 — Balanço de Pagamentos</v>
      </c>
      <c r="L692">
        <f>COUNTIFS(Base_Itens!$E$5:$E$1504,J692,Base_Itens!$G$5:$G$1504,K692)</f>
        <v>0</v>
      </c>
    </row>
    <row r="693" spans="1:12">
      <c r="A693" t="s">
        <v>2834</v>
      </c>
      <c r="B693">
        <v>2020</v>
      </c>
      <c r="C693" t="s">
        <v>82</v>
      </c>
      <c r="D693">
        <v>1</v>
      </c>
      <c r="E693">
        <v>1</v>
      </c>
      <c r="F693">
        <f>SUMIF(Base_Itens!$E$5:$E$1504,A693,Base_Itens!$I$5:$I$1504)</f>
        <v>1</v>
      </c>
      <c r="G693">
        <f t="shared" si="35"/>
        <v>0</v>
      </c>
      <c r="H693">
        <f>COUNTIF(Base_Itens!$E$5:$E$1504,A693)</f>
        <v>1</v>
      </c>
      <c r="I693" t="str">
        <f t="shared" si="34"/>
        <v>OK</v>
      </c>
      <c r="J693" t="str">
        <f>Base_Itens!E270</f>
        <v>2013-Q13-2</v>
      </c>
      <c r="K693" t="str">
        <f>Base_Itens!G670</f>
        <v>09 — Expectativas, Novos Clássicos e Novos Keynesianos</v>
      </c>
      <c r="L693">
        <f>COUNTIFS(Base_Itens!$E$5:$E$1504,J693,Base_Itens!$G$5:$G$1504,K693)</f>
        <v>0</v>
      </c>
    </row>
    <row r="694" spans="1:12">
      <c r="A694" t="s">
        <v>2835</v>
      </c>
      <c r="B694">
        <v>2020</v>
      </c>
      <c r="C694" t="s">
        <v>82</v>
      </c>
      <c r="D694">
        <v>1</v>
      </c>
      <c r="E694">
        <v>1</v>
      </c>
      <c r="F694">
        <f>SUMIF(Base_Itens!$E$5:$E$1504,A694,Base_Itens!$I$5:$I$1504)</f>
        <v>1</v>
      </c>
      <c r="G694">
        <f t="shared" si="35"/>
        <v>0</v>
      </c>
      <c r="H694">
        <f>COUNTIF(Base_Itens!$E$5:$E$1504,A694)</f>
        <v>1</v>
      </c>
      <c r="I694" t="str">
        <f t="shared" si="34"/>
        <v>OK</v>
      </c>
      <c r="J694" t="str">
        <f>Base_Itens!E271</f>
        <v>2013-Q13-3</v>
      </c>
      <c r="K694" t="str">
        <f>Base_Itens!G671</f>
        <v>03 — Sistema Monetário</v>
      </c>
      <c r="L694">
        <f>COUNTIFS(Base_Itens!$E$5:$E$1504,J694,Base_Itens!$G$5:$G$1504,K694)</f>
        <v>0</v>
      </c>
    </row>
    <row r="695" spans="1:12">
      <c r="A695" t="s">
        <v>2836</v>
      </c>
      <c r="B695">
        <v>2020</v>
      </c>
      <c r="C695" t="s">
        <v>82</v>
      </c>
      <c r="D695">
        <v>1</v>
      </c>
      <c r="E695">
        <v>1</v>
      </c>
      <c r="F695">
        <f>SUMIF(Base_Itens!$E$5:$E$1504,A695,Base_Itens!$I$5:$I$1504)</f>
        <v>1</v>
      </c>
      <c r="G695">
        <f t="shared" si="35"/>
        <v>0</v>
      </c>
      <c r="H695">
        <f>COUNTIF(Base_Itens!$E$5:$E$1504,A695)</f>
        <v>1</v>
      </c>
      <c r="I695" t="str">
        <f t="shared" si="34"/>
        <v>OK</v>
      </c>
      <c r="J695" t="str">
        <f>Base_Itens!E272</f>
        <v>2013-Q13-4</v>
      </c>
      <c r="K695" t="str">
        <f>Base_Itens!G672</f>
        <v>03 — Sistema Monetário</v>
      </c>
      <c r="L695">
        <f>COUNTIFS(Base_Itens!$E$5:$E$1504,J695,Base_Itens!$G$5:$G$1504,K695)</f>
        <v>0</v>
      </c>
    </row>
    <row r="696" spans="1:12">
      <c r="A696" t="s">
        <v>2837</v>
      </c>
      <c r="B696">
        <v>2020</v>
      </c>
      <c r="C696" t="s">
        <v>82</v>
      </c>
      <c r="D696">
        <v>1</v>
      </c>
      <c r="E696">
        <v>1</v>
      </c>
      <c r="F696">
        <f>SUMIF(Base_Itens!$E$5:$E$1504,A696,Base_Itens!$I$5:$I$1504)</f>
        <v>1</v>
      </c>
      <c r="G696">
        <f t="shared" si="35"/>
        <v>0</v>
      </c>
      <c r="H696">
        <f>COUNTIF(Base_Itens!$E$5:$E$1504,A696)</f>
        <v>1</v>
      </c>
      <c r="I696" t="str">
        <f t="shared" ref="I696:I699" si="36">IF(AND(G696=0,H696=E296),"OK","REVER")</f>
        <v>OK</v>
      </c>
      <c r="J696" t="str">
        <f>Base_Itens!E273</f>
        <v>2013-Q14-ABERTA</v>
      </c>
      <c r="K696" t="str">
        <f>Base_Itens!G673</f>
        <v>03 — Sistema Monetário</v>
      </c>
      <c r="L696">
        <f>COUNTIFS(Base_Itens!$E$5:$E$1504,J696,Base_Itens!$G$5:$G$1504,K696)</f>
        <v>0</v>
      </c>
    </row>
    <row r="697" spans="1:12">
      <c r="A697" t="s">
        <v>2838</v>
      </c>
      <c r="B697">
        <v>2020</v>
      </c>
      <c r="C697" t="s">
        <v>82</v>
      </c>
      <c r="D697">
        <v>1</v>
      </c>
      <c r="E697">
        <v>1</v>
      </c>
      <c r="F697">
        <f>SUMIF(Base_Itens!$E$5:$E$1504,A697,Base_Itens!$I$5:$I$1504)</f>
        <v>1</v>
      </c>
      <c r="G697">
        <f t="shared" si="35"/>
        <v>0</v>
      </c>
      <c r="H697">
        <f>COUNTIF(Base_Itens!$E$5:$E$1504,A697)</f>
        <v>1</v>
      </c>
      <c r="I697" t="str">
        <f t="shared" si="36"/>
        <v>OK</v>
      </c>
      <c r="J697" t="str">
        <f>Base_Itens!E274</f>
        <v>2013-Q15-0</v>
      </c>
      <c r="K697" t="str">
        <f>Base_Itens!G674</f>
        <v>03 — Sistema Monetário</v>
      </c>
      <c r="L697">
        <f>COUNTIFS(Base_Itens!$E$5:$E$1504,J697,Base_Itens!$G$5:$G$1504,K697)</f>
        <v>0</v>
      </c>
    </row>
    <row r="698" spans="1:12">
      <c r="A698" t="s">
        <v>2839</v>
      </c>
      <c r="B698">
        <v>2020</v>
      </c>
      <c r="C698" t="s">
        <v>82</v>
      </c>
      <c r="D698">
        <v>1</v>
      </c>
      <c r="E698">
        <v>1</v>
      </c>
      <c r="F698">
        <f>SUMIF(Base_Itens!$E$5:$E$1504,A698,Base_Itens!$I$5:$I$1504)</f>
        <v>1</v>
      </c>
      <c r="G698">
        <f t="shared" si="35"/>
        <v>0</v>
      </c>
      <c r="H698">
        <f>COUNTIF(Base_Itens!$E$5:$E$1504,A698)</f>
        <v>1</v>
      </c>
      <c r="I698" t="str">
        <f t="shared" si="36"/>
        <v>OK</v>
      </c>
      <c r="J698" t="str">
        <f>Base_Itens!E275</f>
        <v>2013-Q15-1</v>
      </c>
      <c r="K698" t="str">
        <f>Base_Itens!G675</f>
        <v>01 — Contas Nacionais</v>
      </c>
      <c r="L698">
        <f>COUNTIFS(Base_Itens!$E$5:$E$1504,J698,Base_Itens!$G$5:$G$1504,K698)</f>
        <v>0</v>
      </c>
    </row>
    <row r="699" spans="1:12">
      <c r="A699" t="s">
        <v>2840</v>
      </c>
      <c r="B699">
        <v>2020</v>
      </c>
      <c r="C699" t="s">
        <v>82</v>
      </c>
      <c r="D699">
        <v>1</v>
      </c>
      <c r="E699">
        <v>2</v>
      </c>
      <c r="F699">
        <f>SUMIF(Base_Itens!$E$5:$E$1504,A699,Base_Itens!$I$5:$I$1504)</f>
        <v>1</v>
      </c>
      <c r="G699">
        <f t="shared" si="35"/>
        <v>0</v>
      </c>
      <c r="H699">
        <f>COUNTIF(Base_Itens!$E$5:$E$1504,A699)</f>
        <v>2</v>
      </c>
      <c r="I699" t="str">
        <f t="shared" si="36"/>
        <v>REVER</v>
      </c>
      <c r="J699" t="str">
        <f>Base_Itens!E276</f>
        <v>2013-Q15-2</v>
      </c>
      <c r="K699" t="str">
        <f>Base_Itens!G676</f>
        <v>01 — Contas Nacionais</v>
      </c>
      <c r="L699">
        <f>COUNTIFS(Base_Itens!$E$5:$E$1504,J699,Base_Itens!$G$5:$G$1504,K699)</f>
        <v>1</v>
      </c>
    </row>
    <row r="700" spans="1:12">
      <c r="A700" t="s">
        <v>2841</v>
      </c>
      <c r="B700">
        <v>2020</v>
      </c>
      <c r="C700" t="s">
        <v>82</v>
      </c>
      <c r="D700">
        <v>1</v>
      </c>
      <c r="E700">
        <v>1</v>
      </c>
      <c r="F700">
        <f>SUMIF(Base_Itens!$E$5:$E$1504,A700,Base_Itens!$I$5:$I$1504)</f>
        <v>1</v>
      </c>
      <c r="G700">
        <f t="shared" si="35"/>
        <v>0</v>
      </c>
      <c r="H700">
        <f>COUNTIF(Base_Itens!$E$5:$E$1504,A700)</f>
        <v>1</v>
      </c>
      <c r="I700" t="str">
        <f t="shared" ref="I700:I763" si="37">IF(AND(G700=0,H700=E700),"OK","REVER")</f>
        <v>OK</v>
      </c>
      <c r="J700" t="str">
        <f>Base_Itens!E277</f>
        <v>2013-Q15-3</v>
      </c>
      <c r="K700" t="str">
        <f>Base_Itens!G677</f>
        <v>01 — Contas Nacionais</v>
      </c>
      <c r="L700">
        <f>COUNTIFS(Base_Itens!$E$5:$E$1504,J700,Base_Itens!$G$5:$G$1504,K700)</f>
        <v>0</v>
      </c>
    </row>
    <row r="701" spans="1:12">
      <c r="A701" t="s">
        <v>2842</v>
      </c>
      <c r="B701">
        <v>2020</v>
      </c>
      <c r="C701" t="s">
        <v>82</v>
      </c>
      <c r="D701">
        <v>1</v>
      </c>
      <c r="E701">
        <v>1</v>
      </c>
      <c r="F701">
        <f>SUMIF(Base_Itens!$E$5:$E$1504,A701,Base_Itens!$I$5:$I$1504)</f>
        <v>1</v>
      </c>
      <c r="G701">
        <f t="shared" si="35"/>
        <v>0</v>
      </c>
      <c r="H701">
        <f>COUNTIF(Base_Itens!$E$5:$E$1504,A701)</f>
        <v>1</v>
      </c>
      <c r="I701" t="str">
        <f t="shared" si="37"/>
        <v>OK</v>
      </c>
      <c r="J701" t="str">
        <f>Base_Itens!E278</f>
        <v>2013-Q15-4</v>
      </c>
      <c r="K701" t="str">
        <f>Base_Itens!G678</f>
        <v>01 — Contas Nacionais</v>
      </c>
      <c r="L701">
        <f>COUNTIFS(Base_Itens!$E$5:$E$1504,J701,Base_Itens!$G$5:$G$1504,K701)</f>
        <v>0</v>
      </c>
    </row>
    <row r="702" spans="1:12">
      <c r="A702" t="s">
        <v>2843</v>
      </c>
      <c r="B702">
        <v>2020</v>
      </c>
      <c r="C702" t="s">
        <v>82</v>
      </c>
      <c r="D702">
        <v>1</v>
      </c>
      <c r="E702">
        <v>1</v>
      </c>
      <c r="F702">
        <f>SUMIF(Base_Itens!$E$5:$E$1504,A702,Base_Itens!$I$5:$I$1504)</f>
        <v>1</v>
      </c>
      <c r="G702">
        <f t="shared" si="35"/>
        <v>0</v>
      </c>
      <c r="H702">
        <f>COUNTIF(Base_Itens!$E$5:$E$1504,A702)</f>
        <v>1</v>
      </c>
      <c r="I702" t="str">
        <f t="shared" si="37"/>
        <v>OK</v>
      </c>
      <c r="J702" t="str">
        <f>Base_Itens!E279</f>
        <v>2014-Q1-0</v>
      </c>
      <c r="K702" t="str">
        <f>Base_Itens!G679</f>
        <v>01 — Contas Nacionais</v>
      </c>
      <c r="L702">
        <f>COUNTIFS(Base_Itens!$E$5:$E$1504,J702,Base_Itens!$G$5:$G$1504,K702)</f>
        <v>1</v>
      </c>
    </row>
    <row r="703" spans="1:12">
      <c r="A703" t="s">
        <v>2844</v>
      </c>
      <c r="B703">
        <v>2020</v>
      </c>
      <c r="C703" t="s">
        <v>82</v>
      </c>
      <c r="D703">
        <v>1</v>
      </c>
      <c r="E703">
        <v>1</v>
      </c>
      <c r="F703">
        <f>SUMIF(Base_Itens!$E$5:$E$1504,A703,Base_Itens!$I$5:$I$1504)</f>
        <v>1</v>
      </c>
      <c r="G703">
        <f t="shared" si="35"/>
        <v>0</v>
      </c>
      <c r="H703">
        <f>COUNTIF(Base_Itens!$E$5:$E$1504,A703)</f>
        <v>1</v>
      </c>
      <c r="I703" t="str">
        <f t="shared" si="37"/>
        <v>OK</v>
      </c>
      <c r="J703" t="str">
        <f>Base_Itens!E280</f>
        <v>2014-Q1-1</v>
      </c>
      <c r="K703" t="str">
        <f>Base_Itens!G680</f>
        <v>03 — Sistema Monetário</v>
      </c>
      <c r="L703">
        <f>COUNTIFS(Base_Itens!$E$5:$E$1504,J703,Base_Itens!$G$5:$G$1504,K703)</f>
        <v>0</v>
      </c>
    </row>
    <row r="704" spans="1:12">
      <c r="A704" t="s">
        <v>2845</v>
      </c>
      <c r="B704">
        <v>2020</v>
      </c>
      <c r="C704" t="s">
        <v>82</v>
      </c>
      <c r="D704">
        <v>1</v>
      </c>
      <c r="E704">
        <v>1</v>
      </c>
      <c r="F704">
        <f>SUMIF(Base_Itens!$E$5:$E$1504,A704,Base_Itens!$I$5:$I$1504)</f>
        <v>1</v>
      </c>
      <c r="G704">
        <f t="shared" si="35"/>
        <v>0</v>
      </c>
      <c r="H704">
        <f>COUNTIF(Base_Itens!$E$5:$E$1504,A704)</f>
        <v>1</v>
      </c>
      <c r="I704" t="str">
        <f t="shared" si="37"/>
        <v>OK</v>
      </c>
      <c r="J704" t="str">
        <f>Base_Itens!E281</f>
        <v>2014-Q1-2</v>
      </c>
      <c r="K704" t="str">
        <f>Base_Itens!G681</f>
        <v>03 — Sistema Monetário</v>
      </c>
      <c r="L704">
        <f>COUNTIFS(Base_Itens!$E$5:$E$1504,J704,Base_Itens!$G$5:$G$1504,K704)</f>
        <v>0</v>
      </c>
    </row>
    <row r="705" spans="1:12">
      <c r="A705" t="s">
        <v>2846</v>
      </c>
      <c r="B705">
        <v>2020</v>
      </c>
      <c r="C705" t="s">
        <v>82</v>
      </c>
      <c r="D705">
        <v>1</v>
      </c>
      <c r="E705">
        <v>1</v>
      </c>
      <c r="F705">
        <f>SUMIF(Base_Itens!$E$5:$E$1504,A705,Base_Itens!$I$5:$I$1504)</f>
        <v>1</v>
      </c>
      <c r="G705">
        <f t="shared" si="35"/>
        <v>0</v>
      </c>
      <c r="H705">
        <f>COUNTIF(Base_Itens!$E$5:$E$1504,A705)</f>
        <v>1</v>
      </c>
      <c r="I705" t="str">
        <f t="shared" si="37"/>
        <v>OK</v>
      </c>
      <c r="J705" t="str">
        <f>Base_Itens!E282</f>
        <v>2014-Q1-3</v>
      </c>
      <c r="K705" t="str">
        <f>Base_Itens!G682</f>
        <v>03 — Sistema Monetário</v>
      </c>
      <c r="L705">
        <f>COUNTIFS(Base_Itens!$E$5:$E$1504,J705,Base_Itens!$G$5:$G$1504,K705)</f>
        <v>0</v>
      </c>
    </row>
    <row r="706" spans="1:12">
      <c r="A706" t="s">
        <v>2847</v>
      </c>
      <c r="B706">
        <v>2020</v>
      </c>
      <c r="C706" t="s">
        <v>82</v>
      </c>
      <c r="D706">
        <v>1</v>
      </c>
      <c r="E706">
        <v>1</v>
      </c>
      <c r="F706">
        <f>SUMIF(Base_Itens!$E$5:$E$1504,A706,Base_Itens!$I$5:$I$1504)</f>
        <v>1</v>
      </c>
      <c r="G706">
        <f t="shared" si="35"/>
        <v>0</v>
      </c>
      <c r="H706">
        <f>COUNTIF(Base_Itens!$E$5:$E$1504,A706)</f>
        <v>1</v>
      </c>
      <c r="I706" t="str">
        <f t="shared" si="37"/>
        <v>OK</v>
      </c>
      <c r="J706" t="str">
        <f>Base_Itens!E283</f>
        <v>2014-Q1-4</v>
      </c>
      <c r="K706" t="str">
        <f>Base_Itens!G683</f>
        <v>03 — Sistema Monetário</v>
      </c>
      <c r="L706">
        <f>COUNTIFS(Base_Itens!$E$5:$E$1504,J706,Base_Itens!$G$5:$G$1504,K706)</f>
        <v>0</v>
      </c>
    </row>
    <row r="707" spans="1:12">
      <c r="A707" t="s">
        <v>2848</v>
      </c>
      <c r="B707">
        <v>2020</v>
      </c>
      <c r="C707" t="s">
        <v>82</v>
      </c>
      <c r="D707">
        <v>1</v>
      </c>
      <c r="E707">
        <v>1</v>
      </c>
      <c r="F707">
        <f>SUMIF(Base_Itens!$E$5:$E$1504,A707,Base_Itens!$I$5:$I$1504)</f>
        <v>1</v>
      </c>
      <c r="G707">
        <f t="shared" si="35"/>
        <v>0</v>
      </c>
      <c r="H707">
        <f>COUNTIF(Base_Itens!$E$5:$E$1504,A707)</f>
        <v>1</v>
      </c>
      <c r="I707" t="str">
        <f t="shared" si="37"/>
        <v>OK</v>
      </c>
      <c r="J707" t="str">
        <f>Base_Itens!E284</f>
        <v>2014-Q2-0</v>
      </c>
      <c r="K707" t="str">
        <f>Base_Itens!G684</f>
        <v>03 — Sistema Monetário</v>
      </c>
      <c r="L707">
        <f>COUNTIFS(Base_Itens!$E$5:$E$1504,J707,Base_Itens!$G$5:$G$1504,K707)</f>
        <v>0</v>
      </c>
    </row>
    <row r="708" spans="1:12">
      <c r="A708" t="s">
        <v>2849</v>
      </c>
      <c r="B708">
        <v>2020</v>
      </c>
      <c r="C708" t="s">
        <v>82</v>
      </c>
      <c r="D708">
        <v>1</v>
      </c>
      <c r="E708">
        <v>1</v>
      </c>
      <c r="F708">
        <f>SUMIF(Base_Itens!$E$5:$E$1504,A708,Base_Itens!$I$5:$I$1504)</f>
        <v>1</v>
      </c>
      <c r="G708">
        <f t="shared" si="35"/>
        <v>0</v>
      </c>
      <c r="H708">
        <f>COUNTIF(Base_Itens!$E$5:$E$1504,A708)</f>
        <v>1</v>
      </c>
      <c r="I708" t="str">
        <f t="shared" si="37"/>
        <v>OK</v>
      </c>
      <c r="J708" t="str">
        <f>Base_Itens!E285</f>
        <v>2014-Q2-1</v>
      </c>
      <c r="K708" t="str">
        <f>Base_Itens!G685</f>
        <v>11 — Crescimento Econômico</v>
      </c>
      <c r="L708">
        <f>COUNTIFS(Base_Itens!$E$5:$E$1504,J708,Base_Itens!$G$5:$G$1504,K708)</f>
        <v>0</v>
      </c>
    </row>
    <row r="709" spans="1:12">
      <c r="A709" t="s">
        <v>2850</v>
      </c>
      <c r="B709">
        <v>2020</v>
      </c>
      <c r="C709" t="s">
        <v>82</v>
      </c>
      <c r="D709">
        <v>1</v>
      </c>
      <c r="E709">
        <v>1</v>
      </c>
      <c r="F709">
        <f>SUMIF(Base_Itens!$E$5:$E$1504,A709,Base_Itens!$I$5:$I$1504)</f>
        <v>1</v>
      </c>
      <c r="G709">
        <f t="shared" si="35"/>
        <v>0</v>
      </c>
      <c r="H709">
        <f>COUNTIF(Base_Itens!$E$5:$E$1504,A709)</f>
        <v>1</v>
      </c>
      <c r="I709" t="str">
        <f t="shared" si="37"/>
        <v>OK</v>
      </c>
      <c r="J709" t="str">
        <f>Base_Itens!E286</f>
        <v>2014-Q2-2</v>
      </c>
      <c r="K709" t="str">
        <f>Base_Itens!G686</f>
        <v>11 — Crescimento Econômico</v>
      </c>
      <c r="L709">
        <f>COUNTIFS(Base_Itens!$E$5:$E$1504,J709,Base_Itens!$G$5:$G$1504,K709)</f>
        <v>0</v>
      </c>
    </row>
    <row r="710" spans="1:12">
      <c r="A710" t="s">
        <v>2851</v>
      </c>
      <c r="B710">
        <v>2020</v>
      </c>
      <c r="C710" t="s">
        <v>82</v>
      </c>
      <c r="D710">
        <v>1</v>
      </c>
      <c r="E710">
        <v>1</v>
      </c>
      <c r="F710">
        <f>SUMIF(Base_Itens!$E$5:$E$1504,A710,Base_Itens!$I$5:$I$1504)</f>
        <v>1</v>
      </c>
      <c r="G710">
        <f t="shared" si="35"/>
        <v>0</v>
      </c>
      <c r="H710">
        <f>COUNTIF(Base_Itens!$E$5:$E$1504,A710)</f>
        <v>1</v>
      </c>
      <c r="I710" t="str">
        <f t="shared" si="37"/>
        <v>OK</v>
      </c>
      <c r="J710" t="str">
        <f>Base_Itens!E287</f>
        <v>2014-Q2-3</v>
      </c>
      <c r="K710" t="str">
        <f>Base_Itens!G687</f>
        <v>11 — Crescimento Econômico</v>
      </c>
      <c r="L710">
        <f>COUNTIFS(Base_Itens!$E$5:$E$1504,J710,Base_Itens!$G$5:$G$1504,K710)</f>
        <v>0</v>
      </c>
    </row>
    <row r="711" spans="1:12">
      <c r="A711" t="s">
        <v>2852</v>
      </c>
      <c r="B711">
        <v>2020</v>
      </c>
      <c r="C711" t="s">
        <v>82</v>
      </c>
      <c r="D711">
        <v>1</v>
      </c>
      <c r="E711">
        <v>1</v>
      </c>
      <c r="F711">
        <f>SUMIF(Base_Itens!$E$5:$E$1504,A711,Base_Itens!$I$5:$I$1504)</f>
        <v>1</v>
      </c>
      <c r="G711">
        <f t="shared" si="35"/>
        <v>0</v>
      </c>
      <c r="H711">
        <f>COUNTIF(Base_Itens!$E$5:$E$1504,A711)</f>
        <v>1</v>
      </c>
      <c r="I711" t="str">
        <f t="shared" si="37"/>
        <v>OK</v>
      </c>
      <c r="J711" t="str">
        <f>Base_Itens!E288</f>
        <v>2014-Q2-4</v>
      </c>
      <c r="K711" t="str">
        <f>Base_Itens!G688</f>
        <v>11 — Crescimento Econômico</v>
      </c>
      <c r="L711">
        <f>COUNTIFS(Base_Itens!$E$5:$E$1504,J711,Base_Itens!$G$5:$G$1504,K711)</f>
        <v>0</v>
      </c>
    </row>
    <row r="712" spans="1:12">
      <c r="A712" t="s">
        <v>2853</v>
      </c>
      <c r="B712">
        <v>2020</v>
      </c>
      <c r="C712" t="s">
        <v>82</v>
      </c>
      <c r="D712">
        <v>1</v>
      </c>
      <c r="E712">
        <v>1</v>
      </c>
      <c r="F712">
        <f>SUMIF(Base_Itens!$E$5:$E$1504,A712,Base_Itens!$I$5:$I$1504)</f>
        <v>1</v>
      </c>
      <c r="G712">
        <f t="shared" si="35"/>
        <v>0</v>
      </c>
      <c r="H712">
        <f>COUNTIF(Base_Itens!$E$5:$E$1504,A712)</f>
        <v>1</v>
      </c>
      <c r="I712" t="str">
        <f t="shared" si="37"/>
        <v>OK</v>
      </c>
      <c r="J712" t="str">
        <f>Base_Itens!E289</f>
        <v>2014-Q3-0</v>
      </c>
      <c r="K712" t="str">
        <f>Base_Itens!G689</f>
        <v>11 — Crescimento Econômico</v>
      </c>
      <c r="L712">
        <f>COUNTIFS(Base_Itens!$E$5:$E$1504,J712,Base_Itens!$G$5:$G$1504,K712)</f>
        <v>0</v>
      </c>
    </row>
    <row r="713" spans="1:12">
      <c r="A713" t="s">
        <v>2854</v>
      </c>
      <c r="B713">
        <v>2020</v>
      </c>
      <c r="C713" t="s">
        <v>82</v>
      </c>
      <c r="D713">
        <v>1</v>
      </c>
      <c r="E713">
        <v>1</v>
      </c>
      <c r="F713">
        <f>SUMIF(Base_Itens!$E$5:$E$1504,A713,Base_Itens!$I$5:$I$1504)</f>
        <v>1</v>
      </c>
      <c r="G713">
        <f t="shared" si="35"/>
        <v>0</v>
      </c>
      <c r="H713">
        <f>COUNTIF(Base_Itens!$E$5:$E$1504,A713)</f>
        <v>1</v>
      </c>
      <c r="I713" t="str">
        <f t="shared" si="37"/>
        <v>OK</v>
      </c>
      <c r="J713" t="str">
        <f>Base_Itens!E290</f>
        <v>2014-Q3-1</v>
      </c>
      <c r="K713" t="str">
        <f>Base_Itens!G690</f>
        <v>07a — Paridades</v>
      </c>
      <c r="L713">
        <f>COUNTIFS(Base_Itens!$E$5:$E$1504,J713,Base_Itens!$G$5:$G$1504,K713)</f>
        <v>0</v>
      </c>
    </row>
    <row r="714" spans="1:12">
      <c r="A714" t="s">
        <v>2855</v>
      </c>
      <c r="B714">
        <v>2020</v>
      </c>
      <c r="C714" t="s">
        <v>82</v>
      </c>
      <c r="D714">
        <v>1</v>
      </c>
      <c r="E714">
        <v>1</v>
      </c>
      <c r="F714">
        <f>SUMIF(Base_Itens!$E$5:$E$1504,A714,Base_Itens!$I$5:$I$1504)</f>
        <v>1</v>
      </c>
      <c r="G714">
        <f t="shared" si="35"/>
        <v>0</v>
      </c>
      <c r="H714">
        <f>COUNTIF(Base_Itens!$E$5:$E$1504,A714)</f>
        <v>1</v>
      </c>
      <c r="I714" t="str">
        <f t="shared" si="37"/>
        <v>OK</v>
      </c>
      <c r="J714" t="str">
        <f>Base_Itens!E291</f>
        <v>2014-Q3-2</v>
      </c>
      <c r="K714" t="str">
        <f>Base_Itens!G691</f>
        <v>07a — Paridades</v>
      </c>
      <c r="L714">
        <f>COUNTIFS(Base_Itens!$E$5:$E$1504,J714,Base_Itens!$G$5:$G$1504,K714)</f>
        <v>0</v>
      </c>
    </row>
    <row r="715" spans="1:12">
      <c r="A715" t="s">
        <v>2856</v>
      </c>
      <c r="B715">
        <v>2020</v>
      </c>
      <c r="C715" t="s">
        <v>82</v>
      </c>
      <c r="D715">
        <v>1</v>
      </c>
      <c r="E715">
        <v>1</v>
      </c>
      <c r="F715">
        <f>SUMIF(Base_Itens!$E$5:$E$1504,A715,Base_Itens!$I$5:$I$1504)</f>
        <v>1</v>
      </c>
      <c r="G715">
        <f t="shared" si="35"/>
        <v>0</v>
      </c>
      <c r="H715">
        <f>COUNTIF(Base_Itens!$E$5:$E$1504,A715)</f>
        <v>1</v>
      </c>
      <c r="I715" t="str">
        <f t="shared" si="37"/>
        <v>OK</v>
      </c>
      <c r="J715" t="str">
        <f>Base_Itens!E292</f>
        <v>2014-Q3-3</v>
      </c>
      <c r="K715" t="str">
        <f>Base_Itens!G692</f>
        <v>07a — Paridades</v>
      </c>
      <c r="L715">
        <f>COUNTIFS(Base_Itens!$E$5:$E$1504,J715,Base_Itens!$G$5:$G$1504,K715)</f>
        <v>0</v>
      </c>
    </row>
    <row r="716" spans="1:12">
      <c r="A716" t="s">
        <v>2857</v>
      </c>
      <c r="B716">
        <v>2020</v>
      </c>
      <c r="C716" t="s">
        <v>82</v>
      </c>
      <c r="D716">
        <v>1</v>
      </c>
      <c r="E716">
        <v>1</v>
      </c>
      <c r="F716">
        <f>SUMIF(Base_Itens!$E$5:$E$1504,A716,Base_Itens!$I$5:$I$1504)</f>
        <v>1</v>
      </c>
      <c r="G716">
        <f t="shared" si="35"/>
        <v>0</v>
      </c>
      <c r="H716">
        <f>COUNTIF(Base_Itens!$E$5:$E$1504,A716)</f>
        <v>1</v>
      </c>
      <c r="I716" t="str">
        <f t="shared" si="37"/>
        <v>OK</v>
      </c>
      <c r="J716" t="str">
        <f>Base_Itens!E293</f>
        <v>2014-Q3-4</v>
      </c>
      <c r="K716" t="str">
        <f>Base_Itens!G693</f>
        <v>07a — Paridades</v>
      </c>
      <c r="L716">
        <f>COUNTIFS(Base_Itens!$E$5:$E$1504,J716,Base_Itens!$G$5:$G$1504,K716)</f>
        <v>0</v>
      </c>
    </row>
    <row r="717" spans="1:12">
      <c r="A717" t="s">
        <v>2858</v>
      </c>
      <c r="B717">
        <v>2020</v>
      </c>
      <c r="C717" t="s">
        <v>82</v>
      </c>
      <c r="D717">
        <v>1</v>
      </c>
      <c r="E717">
        <v>1</v>
      </c>
      <c r="F717">
        <f>SUMIF(Base_Itens!$E$5:$E$1504,A717,Base_Itens!$I$5:$I$1504)</f>
        <v>1</v>
      </c>
      <c r="G717">
        <f t="shared" si="35"/>
        <v>0</v>
      </c>
      <c r="H717">
        <f>COUNTIF(Base_Itens!$E$5:$E$1504,A717)</f>
        <v>1</v>
      </c>
      <c r="I717" t="str">
        <f t="shared" si="37"/>
        <v>OK</v>
      </c>
      <c r="J717" t="str">
        <f>Base_Itens!E294</f>
        <v>2014-Q4-0</v>
      </c>
      <c r="K717" t="str">
        <f>Base_Itens!G694</f>
        <v>07a — Paridades</v>
      </c>
      <c r="L717">
        <f>COUNTIFS(Base_Itens!$E$5:$E$1504,J717,Base_Itens!$G$5:$G$1504,K717)</f>
        <v>0</v>
      </c>
    </row>
    <row r="718" spans="1:12">
      <c r="A718" t="s">
        <v>2859</v>
      </c>
      <c r="B718">
        <v>2020</v>
      </c>
      <c r="C718" t="s">
        <v>82</v>
      </c>
      <c r="D718">
        <v>1</v>
      </c>
      <c r="E718">
        <v>1</v>
      </c>
      <c r="F718">
        <f>SUMIF(Base_Itens!$E$5:$E$1504,A718,Base_Itens!$I$5:$I$1504)</f>
        <v>1</v>
      </c>
      <c r="G718">
        <f t="shared" si="35"/>
        <v>0</v>
      </c>
      <c r="H718">
        <f>COUNTIF(Base_Itens!$E$5:$E$1504,A718)</f>
        <v>1</v>
      </c>
      <c r="I718" t="str">
        <f t="shared" si="37"/>
        <v>OK</v>
      </c>
      <c r="J718" t="str">
        <f>Base_Itens!E295</f>
        <v>2014-Q4-1</v>
      </c>
      <c r="K718" t="str">
        <f>Base_Itens!G695</f>
        <v>12 — Consumo</v>
      </c>
      <c r="L718">
        <f>COUNTIFS(Base_Itens!$E$5:$E$1504,J718,Base_Itens!$G$5:$G$1504,K718)</f>
        <v>0</v>
      </c>
    </row>
    <row r="719" spans="1:12">
      <c r="A719" t="s">
        <v>2860</v>
      </c>
      <c r="B719">
        <v>2020</v>
      </c>
      <c r="C719" t="s">
        <v>82</v>
      </c>
      <c r="D719">
        <v>1</v>
      </c>
      <c r="E719">
        <v>1</v>
      </c>
      <c r="F719">
        <f>SUMIF(Base_Itens!$E$5:$E$1504,A719,Base_Itens!$I$5:$I$1504)</f>
        <v>1</v>
      </c>
      <c r="G719">
        <f t="shared" si="35"/>
        <v>0</v>
      </c>
      <c r="H719">
        <f>COUNTIF(Base_Itens!$E$5:$E$1504,A719)</f>
        <v>1</v>
      </c>
      <c r="I719" t="str">
        <f t="shared" si="37"/>
        <v>OK</v>
      </c>
      <c r="J719" t="str">
        <f>Base_Itens!E296</f>
        <v>2014-Q4-2</v>
      </c>
      <c r="K719" t="str">
        <f>Base_Itens!G696</f>
        <v>13 — Investimento</v>
      </c>
      <c r="L719">
        <f>COUNTIFS(Base_Itens!$E$5:$E$1504,J719,Base_Itens!$G$5:$G$1504,K719)</f>
        <v>0</v>
      </c>
    </row>
    <row r="720" spans="1:12">
      <c r="A720" t="s">
        <v>2861</v>
      </c>
      <c r="B720">
        <v>2020</v>
      </c>
      <c r="C720" t="s">
        <v>82</v>
      </c>
      <c r="D720">
        <v>1</v>
      </c>
      <c r="E720">
        <v>1</v>
      </c>
      <c r="F720">
        <f>SUMIF(Base_Itens!$E$5:$E$1504,A720,Base_Itens!$I$5:$I$1504)</f>
        <v>1</v>
      </c>
      <c r="G720">
        <f t="shared" si="35"/>
        <v>0</v>
      </c>
      <c r="H720">
        <f>COUNTIF(Base_Itens!$E$5:$E$1504,A720)</f>
        <v>1</v>
      </c>
      <c r="I720" t="str">
        <f t="shared" si="37"/>
        <v>OK</v>
      </c>
      <c r="J720" t="str">
        <f>Base_Itens!E297</f>
        <v>2014-Q4-3</v>
      </c>
      <c r="K720" t="str">
        <f>Base_Itens!G697</f>
        <v>13 — Investimento</v>
      </c>
      <c r="L720">
        <f>COUNTIFS(Base_Itens!$E$5:$E$1504,J720,Base_Itens!$G$5:$G$1504,K720)</f>
        <v>0</v>
      </c>
    </row>
    <row r="721" spans="1:12">
      <c r="A721" t="s">
        <v>2862</v>
      </c>
      <c r="B721">
        <v>2020</v>
      </c>
      <c r="C721" t="s">
        <v>82</v>
      </c>
      <c r="D721">
        <v>1</v>
      </c>
      <c r="E721">
        <v>1</v>
      </c>
      <c r="F721">
        <f>SUMIF(Base_Itens!$E$5:$E$1504,A721,Base_Itens!$I$5:$I$1504)</f>
        <v>1</v>
      </c>
      <c r="G721">
        <f t="shared" si="35"/>
        <v>0</v>
      </c>
      <c r="H721">
        <f>COUNTIF(Base_Itens!$E$5:$E$1504,A721)</f>
        <v>1</v>
      </c>
      <c r="I721" t="str">
        <f t="shared" si="37"/>
        <v>OK</v>
      </c>
      <c r="J721" t="str">
        <f>Base_Itens!E298</f>
        <v>2014-Q4-4</v>
      </c>
      <c r="K721" t="str">
        <f>Base_Itens!G698</f>
        <v>05 — IS-LM</v>
      </c>
      <c r="L721">
        <f>COUNTIFS(Base_Itens!$E$5:$E$1504,J721,Base_Itens!$G$5:$G$1504,K721)</f>
        <v>0</v>
      </c>
    </row>
    <row r="722" spans="1:12">
      <c r="A722" t="s">
        <v>2863</v>
      </c>
      <c r="B722">
        <v>2020</v>
      </c>
      <c r="C722" t="s">
        <v>82</v>
      </c>
      <c r="D722">
        <v>1</v>
      </c>
      <c r="E722">
        <v>1</v>
      </c>
      <c r="F722">
        <f>SUMIF(Base_Itens!$E$5:$E$1504,A722,Base_Itens!$I$5:$I$1504)</f>
        <v>1</v>
      </c>
      <c r="G722">
        <f t="shared" si="35"/>
        <v>0</v>
      </c>
      <c r="H722">
        <f>COUNTIF(Base_Itens!$E$5:$E$1504,A722)</f>
        <v>1</v>
      </c>
      <c r="I722" t="str">
        <f t="shared" si="37"/>
        <v>OK</v>
      </c>
      <c r="J722" t="str">
        <f>Base_Itens!E299</f>
        <v>2014-Q5-0</v>
      </c>
      <c r="K722" t="str">
        <f>Base_Itens!G699</f>
        <v>09 — Expectativas, Novos Clássicos e Novos Keynesianos</v>
      </c>
      <c r="L722">
        <f>COUNTIFS(Base_Itens!$E$5:$E$1504,J722,Base_Itens!$G$5:$G$1504,K722)</f>
        <v>1</v>
      </c>
    </row>
    <row r="723" spans="1:12">
      <c r="A723" t="s">
        <v>2864</v>
      </c>
      <c r="B723">
        <v>2020</v>
      </c>
      <c r="C723" t="s">
        <v>82</v>
      </c>
      <c r="D723">
        <v>1</v>
      </c>
      <c r="E723">
        <v>1</v>
      </c>
      <c r="F723">
        <f>SUMIF(Base_Itens!$E$5:$E$1504,A723,Base_Itens!$I$5:$I$1504)</f>
        <v>1</v>
      </c>
      <c r="G723">
        <f t="shared" si="35"/>
        <v>0</v>
      </c>
      <c r="H723">
        <f>COUNTIF(Base_Itens!$E$5:$E$1504,A723)</f>
        <v>1</v>
      </c>
      <c r="I723" t="str">
        <f t="shared" si="37"/>
        <v>OK</v>
      </c>
      <c r="J723" t="str">
        <f>Base_Itens!E700</f>
        <v>2020-Q7-4</v>
      </c>
      <c r="K723" t="str">
        <f>Base_Itens!G700</f>
        <v>12 — Consumo</v>
      </c>
      <c r="L723">
        <f>COUNTIFS(Base_Itens!$E$5:$E$1504,J723,Base_Itens!$G$5:$G$1504,K723)</f>
        <v>1</v>
      </c>
    </row>
    <row r="724" spans="1:12">
      <c r="A724" t="s">
        <v>2865</v>
      </c>
      <c r="B724">
        <v>2020</v>
      </c>
      <c r="C724" t="s">
        <v>82</v>
      </c>
      <c r="D724">
        <v>1</v>
      </c>
      <c r="E724">
        <v>1</v>
      </c>
      <c r="F724">
        <f>SUMIF(Base_Itens!$E$5:$E$1504,A724,Base_Itens!$I$5:$I$1504)</f>
        <v>1</v>
      </c>
      <c r="G724">
        <f t="shared" si="35"/>
        <v>0</v>
      </c>
      <c r="H724">
        <f>COUNTIF(Base_Itens!$E$5:$E$1504,A724)</f>
        <v>1</v>
      </c>
      <c r="I724" t="str">
        <f t="shared" si="37"/>
        <v>OK</v>
      </c>
      <c r="J724" t="str">
        <f>Base_Itens!E701</f>
        <v>2020-Q8-0</v>
      </c>
      <c r="K724" t="str">
        <f>Base_Itens!G701</f>
        <v>08 — Curva de Phillips</v>
      </c>
      <c r="L724">
        <f>COUNTIFS(Base_Itens!$E$5:$E$1504,J724,Base_Itens!$G$5:$G$1504,K724)</f>
        <v>1</v>
      </c>
    </row>
    <row r="725" spans="1:12">
      <c r="A725" t="s">
        <v>2866</v>
      </c>
      <c r="B725">
        <v>2020</v>
      </c>
      <c r="C725" t="s">
        <v>82</v>
      </c>
      <c r="D725">
        <v>1</v>
      </c>
      <c r="E725">
        <v>1</v>
      </c>
      <c r="F725">
        <f>SUMIF(Base_Itens!$E$5:$E$1504,A725,Base_Itens!$I$5:$I$1504)</f>
        <v>1</v>
      </c>
      <c r="G725">
        <f t="shared" si="35"/>
        <v>0</v>
      </c>
      <c r="H725">
        <f>COUNTIF(Base_Itens!$E$5:$E$1504,A725)</f>
        <v>1</v>
      </c>
      <c r="I725" t="str">
        <f t="shared" si="37"/>
        <v>OK</v>
      </c>
      <c r="J725" t="str">
        <f>Base_Itens!E702</f>
        <v>2020-Q8-1</v>
      </c>
      <c r="K725" t="str">
        <f>Base_Itens!G702</f>
        <v>09 — Expectativas, Novos Clássicos e Novos Keynesianos</v>
      </c>
      <c r="L725">
        <f>COUNTIFS(Base_Itens!$E$5:$E$1504,J725,Base_Itens!$G$5:$G$1504,K725)</f>
        <v>1</v>
      </c>
    </row>
    <row r="726" spans="1:12">
      <c r="A726" t="s">
        <v>2867</v>
      </c>
      <c r="B726">
        <v>2020</v>
      </c>
      <c r="C726" t="s">
        <v>2153</v>
      </c>
      <c r="D726">
        <v>5</v>
      </c>
      <c r="E726">
        <v>1</v>
      </c>
      <c r="F726">
        <f>SUMIF(Base_Itens!$E$5:$E$1504,A726,Base_Itens!$I$5:$I$1504)</f>
        <v>5</v>
      </c>
      <c r="G726">
        <f t="shared" si="35"/>
        <v>0</v>
      </c>
      <c r="H726">
        <f>COUNTIF(Base_Itens!$E$5:$E$1504,A726)</f>
        <v>1</v>
      </c>
      <c r="I726" t="str">
        <f t="shared" si="37"/>
        <v>OK</v>
      </c>
      <c r="J726" t="str">
        <f>Base_Itens!E703</f>
        <v>2020-Q8-2</v>
      </c>
      <c r="K726" t="str">
        <f>Base_Itens!G703</f>
        <v>10 — Ciclos Reais de Negócios (RBC)</v>
      </c>
      <c r="L726">
        <f>COUNTIFS(Base_Itens!$E$5:$E$1504,J726,Base_Itens!$G$5:$G$1504,K726)</f>
        <v>1</v>
      </c>
    </row>
    <row r="727" spans="1:12">
      <c r="A727" t="s">
        <v>2868</v>
      </c>
      <c r="B727">
        <v>2020</v>
      </c>
      <c r="C727" t="s">
        <v>2153</v>
      </c>
      <c r="D727">
        <v>5</v>
      </c>
      <c r="E727">
        <v>1</v>
      </c>
      <c r="F727">
        <f>SUMIF(Base_Itens!$E$5:$E$1504,A727,Base_Itens!$I$5:$I$1504)</f>
        <v>5</v>
      </c>
      <c r="G727">
        <f t="shared" si="35"/>
        <v>0</v>
      </c>
      <c r="H727">
        <f>COUNTIF(Base_Itens!$E$5:$E$1504,A727)</f>
        <v>1</v>
      </c>
      <c r="I727" t="str">
        <f t="shared" si="37"/>
        <v>OK</v>
      </c>
      <c r="J727" t="str">
        <f>Base_Itens!E704</f>
        <v>2020-Q8-3</v>
      </c>
      <c r="K727" t="str">
        <f>Base_Itens!G704</f>
        <v>09 — Expectativas, Novos Clássicos e Novos Keynesianos</v>
      </c>
      <c r="L727">
        <f>COUNTIFS(Base_Itens!$E$5:$E$1504,J727,Base_Itens!$G$5:$G$1504,K727)</f>
        <v>1</v>
      </c>
    </row>
    <row r="728" spans="1:12">
      <c r="A728" t="s">
        <v>2869</v>
      </c>
      <c r="B728">
        <v>2020</v>
      </c>
      <c r="C728" t="s">
        <v>2153</v>
      </c>
      <c r="D728">
        <v>5</v>
      </c>
      <c r="E728">
        <v>2</v>
      </c>
      <c r="F728">
        <f>SUMIF(Base_Itens!$E$5:$E$1504,A728,Base_Itens!$I$5:$I$1504)</f>
        <v>5</v>
      </c>
      <c r="G728">
        <f t="shared" si="35"/>
        <v>0</v>
      </c>
      <c r="H728">
        <f>COUNTIF(Base_Itens!$E$5:$E$1504,A728)</f>
        <v>2</v>
      </c>
      <c r="I728" t="str">
        <f t="shared" si="37"/>
        <v>OK</v>
      </c>
      <c r="J728" t="str">
        <f>Base_Itens!E705</f>
        <v>2020-Q8-4</v>
      </c>
      <c r="K728" t="str">
        <f>Base_Itens!G705</f>
        <v>10 — Ciclos Reais de Negócios (RBC)</v>
      </c>
      <c r="L728">
        <f>COUNTIFS(Base_Itens!$E$5:$E$1504,J728,Base_Itens!$G$5:$G$1504,K728)</f>
        <v>1</v>
      </c>
    </row>
    <row r="729" spans="1:12">
      <c r="A729" t="s">
        <v>2870</v>
      </c>
      <c r="B729">
        <v>2021</v>
      </c>
      <c r="C729" t="s">
        <v>82</v>
      </c>
      <c r="D729">
        <v>1</v>
      </c>
      <c r="E729">
        <v>1</v>
      </c>
      <c r="F729">
        <f>SUMIF(Base_Itens!$E$5:$E$1504,A729,Base_Itens!$I$5:$I$1504)</f>
        <v>1</v>
      </c>
      <c r="G729">
        <f t="shared" si="35"/>
        <v>0</v>
      </c>
      <c r="H729">
        <f>COUNTIF(Base_Itens!$E$5:$E$1504,A729)</f>
        <v>1</v>
      </c>
      <c r="I729" t="str">
        <f t="shared" si="37"/>
        <v>OK</v>
      </c>
      <c r="J729" t="str">
        <f>Base_Itens!E706</f>
        <v>2020-Q9-0</v>
      </c>
      <c r="K729" t="str">
        <f>Base_Itens!G706</f>
        <v>11 — Crescimento Econômico</v>
      </c>
      <c r="L729">
        <f>COUNTIFS(Base_Itens!$E$5:$E$1504,J729,Base_Itens!$G$5:$G$1504,K729)</f>
        <v>1</v>
      </c>
    </row>
    <row r="730" spans="1:12">
      <c r="A730" t="s">
        <v>2871</v>
      </c>
      <c r="B730">
        <v>2021</v>
      </c>
      <c r="C730" t="s">
        <v>82</v>
      </c>
      <c r="D730">
        <v>1</v>
      </c>
      <c r="E730">
        <v>1</v>
      </c>
      <c r="F730">
        <f>SUMIF(Base_Itens!$E$5:$E$1504,A730,Base_Itens!$I$5:$I$1504)</f>
        <v>1</v>
      </c>
      <c r="G730">
        <f t="shared" si="35"/>
        <v>0</v>
      </c>
      <c r="H730">
        <f>COUNTIF(Base_Itens!$E$5:$E$1504,A730)</f>
        <v>1</v>
      </c>
      <c r="I730" t="str">
        <f t="shared" si="37"/>
        <v>OK</v>
      </c>
      <c r="J730" t="str">
        <f>Base_Itens!E707</f>
        <v>2020-Q9-1</v>
      </c>
      <c r="K730" t="str">
        <f>Base_Itens!G707</f>
        <v>11 — Crescimento Econômico</v>
      </c>
      <c r="L730">
        <f>COUNTIFS(Base_Itens!$E$5:$E$1504,J730,Base_Itens!$G$5:$G$1504,K730)</f>
        <v>1</v>
      </c>
    </row>
    <row r="731" spans="1:12">
      <c r="A731" t="s">
        <v>2872</v>
      </c>
      <c r="B731">
        <v>2021</v>
      </c>
      <c r="C731" t="s">
        <v>82</v>
      </c>
      <c r="D731">
        <v>1</v>
      </c>
      <c r="E731">
        <v>1</v>
      </c>
      <c r="F731">
        <f>SUMIF(Base_Itens!$E$5:$E$1504,A731,Base_Itens!$I$5:$I$1504)</f>
        <v>1</v>
      </c>
      <c r="G731">
        <f t="shared" si="35"/>
        <v>0</v>
      </c>
      <c r="H731">
        <f>COUNTIF(Base_Itens!$E$5:$E$1504,A731)</f>
        <v>1</v>
      </c>
      <c r="I731" t="str">
        <f t="shared" si="37"/>
        <v>OK</v>
      </c>
      <c r="J731" t="str">
        <f>Base_Itens!E708</f>
        <v>2020-Q9-2</v>
      </c>
      <c r="K731" t="str">
        <f>Base_Itens!G708</f>
        <v>11 — Crescimento Econômico</v>
      </c>
      <c r="L731">
        <f>COUNTIFS(Base_Itens!$E$5:$E$1504,J731,Base_Itens!$G$5:$G$1504,K731)</f>
        <v>1</v>
      </c>
    </row>
    <row r="732" spans="1:12">
      <c r="A732" t="s">
        <v>2873</v>
      </c>
      <c r="B732">
        <v>2021</v>
      </c>
      <c r="C732" t="s">
        <v>82</v>
      </c>
      <c r="D732">
        <v>1</v>
      </c>
      <c r="E732">
        <v>1</v>
      </c>
      <c r="F732">
        <f>SUMIF(Base_Itens!$E$5:$E$1504,A732,Base_Itens!$I$5:$I$1504)</f>
        <v>1</v>
      </c>
      <c r="G732">
        <f t="shared" ref="G732:G795" si="38">F732-D732</f>
        <v>0</v>
      </c>
      <c r="H732">
        <f>COUNTIF(Base_Itens!$E$5:$E$1504,A732)</f>
        <v>1</v>
      </c>
      <c r="I732" t="str">
        <f t="shared" si="37"/>
        <v>OK</v>
      </c>
      <c r="J732" t="str">
        <f>Base_Itens!E709</f>
        <v>2020-Q9-3</v>
      </c>
      <c r="K732" t="str">
        <f>Base_Itens!G709</f>
        <v>11 — Crescimento Econômico</v>
      </c>
      <c r="L732">
        <f>COUNTIFS(Base_Itens!$E$5:$E$1504,J732,Base_Itens!$G$5:$G$1504,K732)</f>
        <v>1</v>
      </c>
    </row>
    <row r="733" spans="1:12">
      <c r="A733" t="s">
        <v>2874</v>
      </c>
      <c r="B733">
        <v>2021</v>
      </c>
      <c r="C733" t="s">
        <v>82</v>
      </c>
      <c r="D733">
        <v>1</v>
      </c>
      <c r="E733">
        <v>1</v>
      </c>
      <c r="F733">
        <f>SUMIF(Base_Itens!$E$5:$E$1504,A733,Base_Itens!$I$5:$I$1504)</f>
        <v>1</v>
      </c>
      <c r="G733">
        <f t="shared" si="38"/>
        <v>0</v>
      </c>
      <c r="H733">
        <f>COUNTIF(Base_Itens!$E$5:$E$1504,A733)</f>
        <v>1</v>
      </c>
      <c r="I733" t="str">
        <f t="shared" si="37"/>
        <v>OK</v>
      </c>
      <c r="J733" t="str">
        <f>Base_Itens!E710</f>
        <v>2020-Q9-4</v>
      </c>
      <c r="K733" t="str">
        <f>Base_Itens!G710</f>
        <v>11 — Crescimento Econômico</v>
      </c>
      <c r="L733">
        <f>COUNTIFS(Base_Itens!$E$5:$E$1504,J733,Base_Itens!$G$5:$G$1504,K733)</f>
        <v>1</v>
      </c>
    </row>
    <row r="734" spans="1:12">
      <c r="A734" t="s">
        <v>2875</v>
      </c>
      <c r="B734">
        <v>2021</v>
      </c>
      <c r="C734" t="s">
        <v>82</v>
      </c>
      <c r="D734">
        <v>1</v>
      </c>
      <c r="E734">
        <v>1</v>
      </c>
      <c r="F734">
        <f>SUMIF(Base_Itens!$E$5:$E$1504,A734,Base_Itens!$I$5:$I$1504)</f>
        <v>1</v>
      </c>
      <c r="G734">
        <f t="shared" si="38"/>
        <v>0</v>
      </c>
      <c r="H734">
        <f>COUNTIF(Base_Itens!$E$5:$E$1504,A734)</f>
        <v>1</v>
      </c>
      <c r="I734" t="str">
        <f t="shared" si="37"/>
        <v>OK</v>
      </c>
      <c r="J734" t="str">
        <f>Base_Itens!E711</f>
        <v>2020-Q10-0</v>
      </c>
      <c r="K734" t="str">
        <f>Base_Itens!G711</f>
        <v>06 — IS-LM-BP</v>
      </c>
      <c r="L734">
        <f>COUNTIFS(Base_Itens!$E$5:$E$1504,J734,Base_Itens!$G$5:$G$1504,K734)</f>
        <v>1</v>
      </c>
    </row>
    <row r="735" spans="1:12">
      <c r="A735" t="s">
        <v>2876</v>
      </c>
      <c r="B735">
        <v>2021</v>
      </c>
      <c r="C735" t="s">
        <v>82</v>
      </c>
      <c r="D735">
        <v>1</v>
      </c>
      <c r="E735">
        <v>1</v>
      </c>
      <c r="F735">
        <f>SUMIF(Base_Itens!$E$5:$E$1504,A735,Base_Itens!$I$5:$I$1504)</f>
        <v>1</v>
      </c>
      <c r="G735">
        <f t="shared" si="38"/>
        <v>0</v>
      </c>
      <c r="H735">
        <f>COUNTIF(Base_Itens!$E$5:$E$1504,A735)</f>
        <v>1</v>
      </c>
      <c r="I735" t="str">
        <f t="shared" si="37"/>
        <v>OK</v>
      </c>
      <c r="J735" t="str">
        <f>Base_Itens!E712</f>
        <v>2020-Q10-1</v>
      </c>
      <c r="K735" t="str">
        <f>Base_Itens!G712</f>
        <v>06 — IS-LM-BP</v>
      </c>
      <c r="L735">
        <f>COUNTIFS(Base_Itens!$E$5:$E$1504,J735,Base_Itens!$G$5:$G$1504,K735)</f>
        <v>1</v>
      </c>
    </row>
    <row r="736" spans="1:12">
      <c r="A736" t="s">
        <v>2877</v>
      </c>
      <c r="B736">
        <v>2021</v>
      </c>
      <c r="C736" t="s">
        <v>82</v>
      </c>
      <c r="D736">
        <v>1</v>
      </c>
      <c r="E736">
        <v>1</v>
      </c>
      <c r="F736">
        <f>SUMIF(Base_Itens!$E$5:$E$1504,A736,Base_Itens!$I$5:$I$1504)</f>
        <v>1</v>
      </c>
      <c r="G736">
        <f t="shared" si="38"/>
        <v>0</v>
      </c>
      <c r="H736">
        <f>COUNTIF(Base_Itens!$E$5:$E$1504,A736)</f>
        <v>1</v>
      </c>
      <c r="I736" t="str">
        <f t="shared" si="37"/>
        <v>OK</v>
      </c>
      <c r="J736" t="str">
        <f>Base_Itens!E713</f>
        <v>2020-Q10-2</v>
      </c>
      <c r="K736" t="str">
        <f>Base_Itens!G713</f>
        <v>06 — IS-LM-BP</v>
      </c>
      <c r="L736">
        <f>COUNTIFS(Base_Itens!$E$5:$E$1504,J736,Base_Itens!$G$5:$G$1504,K736)</f>
        <v>1</v>
      </c>
    </row>
    <row r="737" spans="1:12">
      <c r="A737" t="s">
        <v>2878</v>
      </c>
      <c r="B737">
        <v>2021</v>
      </c>
      <c r="C737" t="s">
        <v>82</v>
      </c>
      <c r="D737">
        <v>1</v>
      </c>
      <c r="E737">
        <v>1</v>
      </c>
      <c r="F737">
        <f>SUMIF(Base_Itens!$E$5:$E$1504,A737,Base_Itens!$I$5:$I$1504)</f>
        <v>1</v>
      </c>
      <c r="G737">
        <f t="shared" si="38"/>
        <v>0</v>
      </c>
      <c r="H737">
        <f>COUNTIF(Base_Itens!$E$5:$E$1504,A737)</f>
        <v>1</v>
      </c>
      <c r="I737" t="str">
        <f t="shared" si="37"/>
        <v>OK</v>
      </c>
      <c r="J737" t="str">
        <f>Base_Itens!E714</f>
        <v>2020-Q10-3</v>
      </c>
      <c r="K737" t="str">
        <f>Base_Itens!G714</f>
        <v>06 — IS-LM-BP</v>
      </c>
      <c r="L737">
        <f>COUNTIFS(Base_Itens!$E$5:$E$1504,J737,Base_Itens!$G$5:$G$1504,K737)</f>
        <v>1</v>
      </c>
    </row>
    <row r="738" spans="1:12">
      <c r="A738" t="s">
        <v>2879</v>
      </c>
      <c r="B738">
        <v>2021</v>
      </c>
      <c r="C738" t="s">
        <v>82</v>
      </c>
      <c r="D738">
        <v>1</v>
      </c>
      <c r="E738">
        <v>1</v>
      </c>
      <c r="F738">
        <f>SUMIF(Base_Itens!$E$5:$E$1504,A738,Base_Itens!$I$5:$I$1504)</f>
        <v>1</v>
      </c>
      <c r="G738">
        <f t="shared" si="38"/>
        <v>0</v>
      </c>
      <c r="H738">
        <f>COUNTIF(Base_Itens!$E$5:$E$1504,A738)</f>
        <v>1</v>
      </c>
      <c r="I738" t="str">
        <f t="shared" si="37"/>
        <v>OK</v>
      </c>
      <c r="J738" t="str">
        <f>Base_Itens!E715</f>
        <v>2020-Q10-4</v>
      </c>
      <c r="K738" t="str">
        <f>Base_Itens!G715</f>
        <v>06 — IS-LM-BP</v>
      </c>
      <c r="L738">
        <f>COUNTIFS(Base_Itens!$E$5:$E$1504,J738,Base_Itens!$G$5:$G$1504,K738)</f>
        <v>1</v>
      </c>
    </row>
    <row r="739" spans="1:12">
      <c r="A739" t="s">
        <v>2880</v>
      </c>
      <c r="B739">
        <v>2021</v>
      </c>
      <c r="C739" t="s">
        <v>82</v>
      </c>
      <c r="D739">
        <v>1</v>
      </c>
      <c r="E739">
        <v>2</v>
      </c>
      <c r="F739">
        <f>SUMIF(Base_Itens!$E$5:$E$1504,A739,Base_Itens!$I$5:$I$1504)</f>
        <v>1</v>
      </c>
      <c r="G739">
        <f t="shared" si="38"/>
        <v>0</v>
      </c>
      <c r="H739">
        <f>COUNTIF(Base_Itens!$E$5:$E$1504,A739)</f>
        <v>2</v>
      </c>
      <c r="I739" t="str">
        <f t="shared" si="37"/>
        <v>OK</v>
      </c>
      <c r="J739" t="str">
        <f>Base_Itens!E716</f>
        <v>2020-Q11-0</v>
      </c>
      <c r="K739" t="str">
        <f>Base_Itens!G716</f>
        <v>01 — Contas Nacionais</v>
      </c>
      <c r="L739">
        <f>COUNTIFS(Base_Itens!$E$5:$E$1504,J739,Base_Itens!$G$5:$G$1504,K739)</f>
        <v>1</v>
      </c>
    </row>
    <row r="740" spans="1:12">
      <c r="A740" t="s">
        <v>2881</v>
      </c>
      <c r="B740">
        <v>2021</v>
      </c>
      <c r="C740" t="s">
        <v>82</v>
      </c>
      <c r="D740">
        <v>1</v>
      </c>
      <c r="E740">
        <v>2</v>
      </c>
      <c r="F740">
        <f>SUMIF(Base_Itens!$E$5:$E$1504,A740,Base_Itens!$I$5:$I$1504)</f>
        <v>1</v>
      </c>
      <c r="G740">
        <f t="shared" si="38"/>
        <v>0</v>
      </c>
      <c r="H740">
        <f>COUNTIF(Base_Itens!$E$5:$E$1504,A740)</f>
        <v>2</v>
      </c>
      <c r="I740" t="str">
        <f t="shared" si="37"/>
        <v>OK</v>
      </c>
      <c r="J740" t="str">
        <f>Base_Itens!E717</f>
        <v>2020-Q11-1</v>
      </c>
      <c r="K740" t="str">
        <f>Base_Itens!G717</f>
        <v>01 — Contas Nacionais</v>
      </c>
      <c r="L740">
        <f>COUNTIFS(Base_Itens!$E$5:$E$1504,J740,Base_Itens!$G$5:$G$1504,K740)</f>
        <v>1</v>
      </c>
    </row>
    <row r="741" spans="1:12">
      <c r="A741" t="s">
        <v>2882</v>
      </c>
      <c r="B741">
        <v>2021</v>
      </c>
      <c r="C741" t="s">
        <v>82</v>
      </c>
      <c r="D741">
        <v>1</v>
      </c>
      <c r="E741">
        <v>2</v>
      </c>
      <c r="F741">
        <f>SUMIF(Base_Itens!$E$5:$E$1504,A741,Base_Itens!$I$5:$I$1504)</f>
        <v>1</v>
      </c>
      <c r="G741">
        <f t="shared" si="38"/>
        <v>0</v>
      </c>
      <c r="H741">
        <f>COUNTIF(Base_Itens!$E$5:$E$1504,A741)</f>
        <v>2</v>
      </c>
      <c r="I741" t="str">
        <f t="shared" si="37"/>
        <v>OK</v>
      </c>
      <c r="J741" t="str">
        <f>Base_Itens!E718</f>
        <v>2020-Q11-2</v>
      </c>
      <c r="K741" t="str">
        <f>Base_Itens!G718</f>
        <v>01 — Contas Nacionais</v>
      </c>
      <c r="L741">
        <f>COUNTIFS(Base_Itens!$E$5:$E$1504,J741,Base_Itens!$G$5:$G$1504,K741)</f>
        <v>1</v>
      </c>
    </row>
    <row r="742" spans="1:12">
      <c r="A742" t="s">
        <v>2883</v>
      </c>
      <c r="B742">
        <v>2021</v>
      </c>
      <c r="C742" t="s">
        <v>82</v>
      </c>
      <c r="D742">
        <v>1</v>
      </c>
      <c r="E742">
        <v>2</v>
      </c>
      <c r="F742">
        <f>SUMIF(Base_Itens!$E$5:$E$1504,A742,Base_Itens!$I$5:$I$1504)</f>
        <v>1</v>
      </c>
      <c r="G742">
        <f t="shared" si="38"/>
        <v>0</v>
      </c>
      <c r="H742">
        <f>COUNTIF(Base_Itens!$E$5:$E$1504,A742)</f>
        <v>2</v>
      </c>
      <c r="I742" t="str">
        <f t="shared" si="37"/>
        <v>OK</v>
      </c>
      <c r="J742" t="str">
        <f>Base_Itens!E719</f>
        <v>2020-Q11-3</v>
      </c>
      <c r="K742" t="str">
        <f>Base_Itens!G719</f>
        <v>01 — Contas Nacionais</v>
      </c>
      <c r="L742">
        <f>COUNTIFS(Base_Itens!$E$5:$E$1504,J742,Base_Itens!$G$5:$G$1504,K742)</f>
        <v>1</v>
      </c>
    </row>
    <row r="743" spans="1:12">
      <c r="A743" t="s">
        <v>2884</v>
      </c>
      <c r="B743">
        <v>2021</v>
      </c>
      <c r="C743" t="s">
        <v>82</v>
      </c>
      <c r="D743">
        <v>1</v>
      </c>
      <c r="E743">
        <v>2</v>
      </c>
      <c r="F743">
        <f>SUMIF(Base_Itens!$E$5:$E$1504,A743,Base_Itens!$I$5:$I$1504)</f>
        <v>1</v>
      </c>
      <c r="G743">
        <f t="shared" si="38"/>
        <v>0</v>
      </c>
      <c r="H743">
        <f>COUNTIF(Base_Itens!$E$5:$E$1504,A743)</f>
        <v>2</v>
      </c>
      <c r="I743" t="str">
        <f t="shared" si="37"/>
        <v>OK</v>
      </c>
      <c r="J743" t="str">
        <f>Base_Itens!E720</f>
        <v>2020-Q11-4</v>
      </c>
      <c r="K743" t="str">
        <f>Base_Itens!G720</f>
        <v>E2 — Demanda de Bens e Complementaridade</v>
      </c>
      <c r="L743">
        <f>COUNTIFS(Base_Itens!$E$5:$E$1504,J743,Base_Itens!$G$5:$G$1504,K743)</f>
        <v>1</v>
      </c>
    </row>
    <row r="744" spans="1:12">
      <c r="A744" t="s">
        <v>2885</v>
      </c>
      <c r="B744">
        <v>2021</v>
      </c>
      <c r="C744" t="s">
        <v>82</v>
      </c>
      <c r="D744">
        <v>1</v>
      </c>
      <c r="E744">
        <v>1</v>
      </c>
      <c r="F744">
        <f>SUMIF(Base_Itens!$E$5:$E$1504,A744,Base_Itens!$I$5:$I$1504)</f>
        <v>1</v>
      </c>
      <c r="G744">
        <f t="shared" si="38"/>
        <v>0</v>
      </c>
      <c r="H744">
        <f>COUNTIF(Base_Itens!$E$5:$E$1504,A744)</f>
        <v>1</v>
      </c>
      <c r="I744" t="str">
        <f t="shared" si="37"/>
        <v>OK</v>
      </c>
      <c r="J744" t="str">
        <f>Base_Itens!E721</f>
        <v>2020-Q12-0</v>
      </c>
      <c r="K744" t="str">
        <f>Base_Itens!G721</f>
        <v>08 — Curva de Phillips</v>
      </c>
      <c r="L744">
        <f>COUNTIFS(Base_Itens!$E$5:$E$1504,J744,Base_Itens!$G$5:$G$1504,K744)</f>
        <v>1</v>
      </c>
    </row>
    <row r="745" spans="1:12">
      <c r="A745" t="s">
        <v>2886</v>
      </c>
      <c r="B745">
        <v>2021</v>
      </c>
      <c r="C745" t="s">
        <v>82</v>
      </c>
      <c r="D745">
        <v>1</v>
      </c>
      <c r="E745">
        <v>1</v>
      </c>
      <c r="F745">
        <f>SUMIF(Base_Itens!$E$5:$E$1504,A745,Base_Itens!$I$5:$I$1504)</f>
        <v>1</v>
      </c>
      <c r="G745">
        <f t="shared" si="38"/>
        <v>0</v>
      </c>
      <c r="H745">
        <f>COUNTIF(Base_Itens!$E$5:$E$1504,A745)</f>
        <v>1</v>
      </c>
      <c r="I745" t="str">
        <f t="shared" si="37"/>
        <v>OK</v>
      </c>
      <c r="J745" t="str">
        <f>Base_Itens!E722</f>
        <v>2020-Q12-1</v>
      </c>
      <c r="K745" t="str">
        <f>Base_Itens!G722</f>
        <v>09 — Expectativas, Novos Clássicos e Novos Keynesianos</v>
      </c>
      <c r="L745">
        <f>COUNTIFS(Base_Itens!$E$5:$E$1504,J745,Base_Itens!$G$5:$G$1504,K745)</f>
        <v>1</v>
      </c>
    </row>
    <row r="746" spans="1:12">
      <c r="A746" t="s">
        <v>2887</v>
      </c>
      <c r="B746">
        <v>2021</v>
      </c>
      <c r="C746" t="s">
        <v>82</v>
      </c>
      <c r="D746">
        <v>1</v>
      </c>
      <c r="E746">
        <v>1</v>
      </c>
      <c r="F746">
        <f>SUMIF(Base_Itens!$E$5:$E$1504,A746,Base_Itens!$I$5:$I$1504)</f>
        <v>1</v>
      </c>
      <c r="G746">
        <f t="shared" si="38"/>
        <v>0</v>
      </c>
      <c r="H746">
        <f>COUNTIF(Base_Itens!$E$5:$E$1504,A746)</f>
        <v>1</v>
      </c>
      <c r="I746" t="str">
        <f t="shared" si="37"/>
        <v>OK</v>
      </c>
      <c r="J746" t="str">
        <f>Base_Itens!E723</f>
        <v>2020-Q12-2</v>
      </c>
      <c r="K746" t="str">
        <f>Base_Itens!G723</f>
        <v>08 — Curva de Phillips</v>
      </c>
      <c r="L746">
        <f>COUNTIFS(Base_Itens!$E$5:$E$1504,J746,Base_Itens!$G$5:$G$1504,K746)</f>
        <v>1</v>
      </c>
    </row>
    <row r="747" spans="1:12">
      <c r="A747" t="s">
        <v>2888</v>
      </c>
      <c r="B747">
        <v>2021</v>
      </c>
      <c r="C747" t="s">
        <v>82</v>
      </c>
      <c r="D747">
        <v>1</v>
      </c>
      <c r="E747">
        <v>1</v>
      </c>
      <c r="F747">
        <f>SUMIF(Base_Itens!$E$5:$E$1504,A747,Base_Itens!$I$5:$I$1504)</f>
        <v>1</v>
      </c>
      <c r="G747">
        <f t="shared" si="38"/>
        <v>0</v>
      </c>
      <c r="H747">
        <f>COUNTIF(Base_Itens!$E$5:$E$1504,A747)</f>
        <v>1</v>
      </c>
      <c r="I747" t="str">
        <f t="shared" si="37"/>
        <v>OK</v>
      </c>
      <c r="J747" t="str">
        <f>Base_Itens!E724</f>
        <v>2020-Q12-3</v>
      </c>
      <c r="K747" t="str">
        <f>Base_Itens!G724</f>
        <v>08 — Curva de Phillips</v>
      </c>
      <c r="L747">
        <f>COUNTIFS(Base_Itens!$E$5:$E$1504,J747,Base_Itens!$G$5:$G$1504,K747)</f>
        <v>1</v>
      </c>
    </row>
    <row r="748" spans="1:12">
      <c r="A748" t="s">
        <v>2889</v>
      </c>
      <c r="B748">
        <v>2021</v>
      </c>
      <c r="C748" t="s">
        <v>82</v>
      </c>
      <c r="D748">
        <v>1</v>
      </c>
      <c r="E748">
        <v>1</v>
      </c>
      <c r="F748">
        <f>SUMIF(Base_Itens!$E$5:$E$1504,A748,Base_Itens!$I$5:$I$1504)</f>
        <v>1</v>
      </c>
      <c r="G748">
        <f t="shared" si="38"/>
        <v>0</v>
      </c>
      <c r="H748">
        <f>COUNTIF(Base_Itens!$E$5:$E$1504,A748)</f>
        <v>1</v>
      </c>
      <c r="I748" t="str">
        <f t="shared" si="37"/>
        <v>OK</v>
      </c>
      <c r="J748" t="str">
        <f>Base_Itens!E725</f>
        <v>2020-Q12-4</v>
      </c>
      <c r="K748" t="str">
        <f>Base_Itens!G725</f>
        <v>09 — Expectativas, Novos Clássicos e Novos Keynesianos</v>
      </c>
      <c r="L748">
        <f>COUNTIFS(Base_Itens!$E$5:$E$1504,J748,Base_Itens!$G$5:$G$1504,K748)</f>
        <v>1</v>
      </c>
    </row>
    <row r="749" spans="1:12">
      <c r="A749" t="s">
        <v>2890</v>
      </c>
      <c r="B749">
        <v>2021</v>
      </c>
      <c r="C749" t="s">
        <v>82</v>
      </c>
      <c r="D749">
        <v>1</v>
      </c>
      <c r="E749">
        <v>1</v>
      </c>
      <c r="F749">
        <f>SUMIF(Base_Itens!$E$5:$E$1504,A749,Base_Itens!$I$5:$I$1504)</f>
        <v>1</v>
      </c>
      <c r="G749">
        <f t="shared" si="38"/>
        <v>0</v>
      </c>
      <c r="H749">
        <f>COUNTIF(Base_Itens!$E$5:$E$1504,A749)</f>
        <v>1</v>
      </c>
      <c r="I749" t="str">
        <f t="shared" si="37"/>
        <v>OK</v>
      </c>
      <c r="J749" t="str">
        <f>Base_Itens!E726</f>
        <v>2020-Q13-ABERTA</v>
      </c>
      <c r="K749" t="str">
        <f>Base_Itens!G726</f>
        <v>12 — Consumo</v>
      </c>
      <c r="L749">
        <f>COUNTIFS(Base_Itens!$E$5:$E$1504,J749,Base_Itens!$G$5:$G$1504,K749)</f>
        <v>1</v>
      </c>
    </row>
    <row r="750" spans="1:12">
      <c r="A750" t="s">
        <v>2891</v>
      </c>
      <c r="B750">
        <v>2021</v>
      </c>
      <c r="C750" t="s">
        <v>82</v>
      </c>
      <c r="D750">
        <v>1</v>
      </c>
      <c r="E750">
        <v>1</v>
      </c>
      <c r="F750">
        <f>SUMIF(Base_Itens!$E$5:$E$1504,A750,Base_Itens!$I$5:$I$1504)</f>
        <v>1</v>
      </c>
      <c r="G750">
        <f t="shared" si="38"/>
        <v>0</v>
      </c>
      <c r="H750">
        <f>COUNTIF(Base_Itens!$E$5:$E$1504,A750)</f>
        <v>1</v>
      </c>
      <c r="I750" t="str">
        <f t="shared" si="37"/>
        <v>OK</v>
      </c>
      <c r="J750" t="str">
        <f>Base_Itens!E727</f>
        <v>2020-Q14-ABERTA</v>
      </c>
      <c r="K750" t="str">
        <f>Base_Itens!G727</f>
        <v>14 — Dívida Pública e Senhoriagem</v>
      </c>
      <c r="L750">
        <f>COUNTIFS(Base_Itens!$E$5:$E$1504,J750,Base_Itens!$G$5:$G$1504,K750)</f>
        <v>1</v>
      </c>
    </row>
    <row r="751" spans="1:12">
      <c r="A751" t="s">
        <v>2892</v>
      </c>
      <c r="B751">
        <v>2021</v>
      </c>
      <c r="C751" t="s">
        <v>82</v>
      </c>
      <c r="D751">
        <v>1</v>
      </c>
      <c r="E751">
        <v>1</v>
      </c>
      <c r="F751">
        <f>SUMIF(Base_Itens!$E$5:$E$1504,A751,Base_Itens!$I$5:$I$1504)</f>
        <v>1</v>
      </c>
      <c r="G751">
        <f t="shared" si="38"/>
        <v>0</v>
      </c>
      <c r="H751">
        <f>COUNTIF(Base_Itens!$E$5:$E$1504,A751)</f>
        <v>1</v>
      </c>
      <c r="I751" t="str">
        <f t="shared" si="37"/>
        <v>OK</v>
      </c>
      <c r="J751" t="str">
        <f>Base_Itens!E728</f>
        <v>2020-Q15-ABERTA</v>
      </c>
      <c r="K751" t="str">
        <f>Base_Itens!G728</f>
        <v>04 — Demanda por Moeda</v>
      </c>
      <c r="L751">
        <f>COUNTIFS(Base_Itens!$E$5:$E$1504,J751,Base_Itens!$G$5:$G$1504,K751)</f>
        <v>1</v>
      </c>
    </row>
    <row r="752" spans="1:12">
      <c r="A752" t="s">
        <v>2893</v>
      </c>
      <c r="B752">
        <v>2021</v>
      </c>
      <c r="C752" t="s">
        <v>82</v>
      </c>
      <c r="D752">
        <v>1</v>
      </c>
      <c r="E752">
        <v>1</v>
      </c>
      <c r="F752">
        <f>SUMIF(Base_Itens!$E$5:$E$1504,A752,Base_Itens!$I$5:$I$1504)</f>
        <v>1</v>
      </c>
      <c r="G752">
        <f t="shared" si="38"/>
        <v>0</v>
      </c>
      <c r="H752">
        <f>COUNTIF(Base_Itens!$E$5:$E$1504,A752)</f>
        <v>1</v>
      </c>
      <c r="I752" t="str">
        <f t="shared" si="37"/>
        <v>OK</v>
      </c>
      <c r="J752" t="str">
        <f>Base_Itens!E729</f>
        <v>2020-Q15-ABERTA</v>
      </c>
      <c r="K752" t="str">
        <f>Base_Itens!G729</f>
        <v>07a — Paridades</v>
      </c>
      <c r="L752">
        <f>COUNTIFS(Base_Itens!$E$5:$E$1504,J752,Base_Itens!$G$5:$G$1504,K752)</f>
        <v>1</v>
      </c>
    </row>
    <row r="753" spans="1:12">
      <c r="A753" t="s">
        <v>2894</v>
      </c>
      <c r="B753">
        <v>2021</v>
      </c>
      <c r="C753" t="s">
        <v>82</v>
      </c>
      <c r="D753">
        <v>1</v>
      </c>
      <c r="E753">
        <v>1</v>
      </c>
      <c r="F753">
        <f>SUMIF(Base_Itens!$E$5:$E$1504,A753,Base_Itens!$I$5:$I$1504)</f>
        <v>1</v>
      </c>
      <c r="G753">
        <f t="shared" si="38"/>
        <v>0</v>
      </c>
      <c r="H753">
        <f>COUNTIF(Base_Itens!$E$5:$E$1504,A753)</f>
        <v>1</v>
      </c>
      <c r="I753" t="str">
        <f t="shared" si="37"/>
        <v>OK</v>
      </c>
      <c r="J753" t="str">
        <f>Base_Itens!E730</f>
        <v>2021-Q1-0</v>
      </c>
      <c r="K753" t="str">
        <f>Base_Itens!G730</f>
        <v>14 — Dívida Pública e Senhoriagem</v>
      </c>
      <c r="L753">
        <f>COUNTIFS(Base_Itens!$E$5:$E$1504,J753,Base_Itens!$G$5:$G$1504,K753)</f>
        <v>1</v>
      </c>
    </row>
    <row r="754" spans="1:12">
      <c r="A754" t="s">
        <v>2895</v>
      </c>
      <c r="B754">
        <v>2021</v>
      </c>
      <c r="C754" t="s">
        <v>82</v>
      </c>
      <c r="D754">
        <v>1</v>
      </c>
      <c r="E754">
        <v>1</v>
      </c>
      <c r="F754">
        <f>SUMIF(Base_Itens!$E$5:$E$1504,A754,Base_Itens!$I$5:$I$1504)</f>
        <v>1</v>
      </c>
      <c r="G754">
        <f t="shared" si="38"/>
        <v>0</v>
      </c>
      <c r="H754">
        <f>COUNTIF(Base_Itens!$E$5:$E$1504,A754)</f>
        <v>1</v>
      </c>
      <c r="I754" t="str">
        <f t="shared" si="37"/>
        <v>OK</v>
      </c>
      <c r="J754" t="str">
        <f>Base_Itens!E731</f>
        <v>2021-Q1-1</v>
      </c>
      <c r="K754" t="str">
        <f>Base_Itens!G731</f>
        <v>02 — Balanço de Pagamentos</v>
      </c>
      <c r="L754">
        <f>COUNTIFS(Base_Itens!$E$5:$E$1504,J754,Base_Itens!$G$5:$G$1504,K754)</f>
        <v>1</v>
      </c>
    </row>
    <row r="755" spans="1:12">
      <c r="A755" t="s">
        <v>2896</v>
      </c>
      <c r="B755">
        <v>2021</v>
      </c>
      <c r="C755" t="s">
        <v>82</v>
      </c>
      <c r="D755">
        <v>1</v>
      </c>
      <c r="E755">
        <v>1</v>
      </c>
      <c r="F755">
        <f>SUMIF(Base_Itens!$E$5:$E$1504,A755,Base_Itens!$I$5:$I$1504)</f>
        <v>1</v>
      </c>
      <c r="G755">
        <f t="shared" si="38"/>
        <v>0</v>
      </c>
      <c r="H755">
        <f>COUNTIF(Base_Itens!$E$5:$E$1504,A755)</f>
        <v>1</v>
      </c>
      <c r="I755" t="str">
        <f t="shared" si="37"/>
        <v>OK</v>
      </c>
      <c r="J755" t="str">
        <f>Base_Itens!E732</f>
        <v>2021-Q1-2</v>
      </c>
      <c r="K755" t="str">
        <f>Base_Itens!G732</f>
        <v>01 — Contas Nacionais</v>
      </c>
      <c r="L755">
        <f>COUNTIFS(Base_Itens!$E$5:$E$1504,J755,Base_Itens!$G$5:$G$1504,K755)</f>
        <v>1</v>
      </c>
    </row>
    <row r="756" spans="1:12">
      <c r="A756" t="s">
        <v>2897</v>
      </c>
      <c r="B756">
        <v>2021</v>
      </c>
      <c r="C756" t="s">
        <v>82</v>
      </c>
      <c r="D756">
        <v>1</v>
      </c>
      <c r="E756">
        <v>1</v>
      </c>
      <c r="F756">
        <f>SUMIF(Base_Itens!$E$5:$E$1504,A756,Base_Itens!$I$5:$I$1504)</f>
        <v>1</v>
      </c>
      <c r="G756">
        <f t="shared" si="38"/>
        <v>0</v>
      </c>
      <c r="H756">
        <f>COUNTIF(Base_Itens!$E$5:$E$1504,A756)</f>
        <v>1</v>
      </c>
      <c r="I756" t="str">
        <f t="shared" si="37"/>
        <v>OK</v>
      </c>
      <c r="J756" t="str">
        <f>Base_Itens!E733</f>
        <v>2021-Q1-3</v>
      </c>
      <c r="K756" t="str">
        <f>Base_Itens!G733</f>
        <v>07a — Paridades</v>
      </c>
      <c r="L756">
        <f>COUNTIFS(Base_Itens!$E$5:$E$1504,J756,Base_Itens!$G$5:$G$1504,K756)</f>
        <v>1</v>
      </c>
    </row>
    <row r="757" spans="1:12">
      <c r="A757" t="s">
        <v>2898</v>
      </c>
      <c r="B757">
        <v>2021</v>
      </c>
      <c r="C757" t="s">
        <v>82</v>
      </c>
      <c r="D757">
        <v>1</v>
      </c>
      <c r="E757">
        <v>1</v>
      </c>
      <c r="F757">
        <f>SUMIF(Base_Itens!$E$5:$E$1504,A757,Base_Itens!$I$5:$I$1504)</f>
        <v>1</v>
      </c>
      <c r="G757">
        <f t="shared" si="38"/>
        <v>0</v>
      </c>
      <c r="H757">
        <f>COUNTIF(Base_Itens!$E$5:$E$1504,A757)</f>
        <v>1</v>
      </c>
      <c r="I757" t="str">
        <f t="shared" si="37"/>
        <v>OK</v>
      </c>
      <c r="J757" t="str">
        <f>Base_Itens!E734</f>
        <v>2021-Q1-4</v>
      </c>
      <c r="K757" t="str">
        <f>Base_Itens!G734</f>
        <v>01 — Contas Nacionais</v>
      </c>
      <c r="L757">
        <f>COUNTIFS(Base_Itens!$E$5:$E$1504,J757,Base_Itens!$G$5:$G$1504,K757)</f>
        <v>1</v>
      </c>
    </row>
    <row r="758" spans="1:12">
      <c r="A758" t="s">
        <v>2899</v>
      </c>
      <c r="B758">
        <v>2021</v>
      </c>
      <c r="C758" t="s">
        <v>82</v>
      </c>
      <c r="D758">
        <v>1</v>
      </c>
      <c r="E758">
        <v>1</v>
      </c>
      <c r="F758">
        <f>SUMIF(Base_Itens!$E$5:$E$1504,A758,Base_Itens!$I$5:$I$1504)</f>
        <v>1</v>
      </c>
      <c r="G758">
        <f t="shared" si="38"/>
        <v>0</v>
      </c>
      <c r="H758">
        <f>COUNTIF(Base_Itens!$E$5:$E$1504,A758)</f>
        <v>1</v>
      </c>
      <c r="I758" t="str">
        <f t="shared" si="37"/>
        <v>OK</v>
      </c>
      <c r="J758" t="str">
        <f>Base_Itens!E735</f>
        <v>2021-Q2-0</v>
      </c>
      <c r="K758" t="str">
        <f>Base_Itens!G735</f>
        <v>04 — Demanda por Moeda</v>
      </c>
      <c r="L758">
        <f>COUNTIFS(Base_Itens!$E$5:$E$1504,J758,Base_Itens!$G$5:$G$1504,K758)</f>
        <v>1</v>
      </c>
    </row>
    <row r="759" spans="1:12">
      <c r="A759" t="s">
        <v>2900</v>
      </c>
      <c r="B759">
        <v>2021</v>
      </c>
      <c r="C759" t="s">
        <v>82</v>
      </c>
      <c r="D759">
        <v>1</v>
      </c>
      <c r="E759">
        <v>1</v>
      </c>
      <c r="F759">
        <f>SUMIF(Base_Itens!$E$5:$E$1504,A759,Base_Itens!$I$5:$I$1504)</f>
        <v>1</v>
      </c>
      <c r="G759">
        <f t="shared" si="38"/>
        <v>0</v>
      </c>
      <c r="H759">
        <f>COUNTIF(Base_Itens!$E$5:$E$1504,A759)</f>
        <v>1</v>
      </c>
      <c r="I759" t="str">
        <f t="shared" si="37"/>
        <v>OK</v>
      </c>
      <c r="J759" t="str">
        <f>Base_Itens!E736</f>
        <v>2021-Q2-1</v>
      </c>
      <c r="K759" t="str">
        <f>Base_Itens!G736</f>
        <v>04 — Demanda por Moeda</v>
      </c>
      <c r="L759">
        <f>COUNTIFS(Base_Itens!$E$5:$E$1504,J759,Base_Itens!$G$5:$G$1504,K759)</f>
        <v>1</v>
      </c>
    </row>
    <row r="760" spans="1:12">
      <c r="A760" t="s">
        <v>2901</v>
      </c>
      <c r="B760">
        <v>2021</v>
      </c>
      <c r="C760" t="s">
        <v>82</v>
      </c>
      <c r="D760">
        <v>1</v>
      </c>
      <c r="E760">
        <v>1</v>
      </c>
      <c r="F760">
        <f>SUMIF(Base_Itens!$E$5:$E$1504,A760,Base_Itens!$I$5:$I$1504)</f>
        <v>1</v>
      </c>
      <c r="G760">
        <f t="shared" si="38"/>
        <v>0</v>
      </c>
      <c r="H760">
        <f>COUNTIF(Base_Itens!$E$5:$E$1504,A760)</f>
        <v>1</v>
      </c>
      <c r="I760" t="str">
        <f t="shared" si="37"/>
        <v>OK</v>
      </c>
      <c r="J760" t="str">
        <f>Base_Itens!E737</f>
        <v>2021-Q2-2</v>
      </c>
      <c r="K760" t="str">
        <f>Base_Itens!G737</f>
        <v>04 — Demanda por Moeda</v>
      </c>
      <c r="L760">
        <f>COUNTIFS(Base_Itens!$E$5:$E$1504,J760,Base_Itens!$G$5:$G$1504,K760)</f>
        <v>1</v>
      </c>
    </row>
    <row r="761" spans="1:12">
      <c r="A761" t="s">
        <v>2902</v>
      </c>
      <c r="B761">
        <v>2021</v>
      </c>
      <c r="C761" t="s">
        <v>82</v>
      </c>
      <c r="D761">
        <v>1</v>
      </c>
      <c r="E761">
        <v>1</v>
      </c>
      <c r="F761">
        <f>SUMIF(Base_Itens!$E$5:$E$1504,A761,Base_Itens!$I$5:$I$1504)</f>
        <v>1</v>
      </c>
      <c r="G761">
        <f t="shared" si="38"/>
        <v>0</v>
      </c>
      <c r="H761">
        <f>COUNTIF(Base_Itens!$E$5:$E$1504,A761)</f>
        <v>1</v>
      </c>
      <c r="I761" t="str">
        <f t="shared" si="37"/>
        <v>OK</v>
      </c>
      <c r="J761" t="str">
        <f>Base_Itens!E738</f>
        <v>2021-Q2-3</v>
      </c>
      <c r="K761" t="str">
        <f>Base_Itens!G738</f>
        <v>04 — Demanda por Moeda</v>
      </c>
      <c r="L761">
        <f>COUNTIFS(Base_Itens!$E$5:$E$1504,J761,Base_Itens!$G$5:$G$1504,K761)</f>
        <v>1</v>
      </c>
    </row>
    <row r="762" spans="1:12">
      <c r="A762" t="s">
        <v>2903</v>
      </c>
      <c r="B762">
        <v>2021</v>
      </c>
      <c r="C762" t="s">
        <v>82</v>
      </c>
      <c r="D762">
        <v>1</v>
      </c>
      <c r="E762">
        <v>1</v>
      </c>
      <c r="F762">
        <f>SUMIF(Base_Itens!$E$5:$E$1504,A762,Base_Itens!$I$5:$I$1504)</f>
        <v>1</v>
      </c>
      <c r="G762">
        <f t="shared" si="38"/>
        <v>0</v>
      </c>
      <c r="H762">
        <f>COUNTIF(Base_Itens!$E$5:$E$1504,A762)</f>
        <v>1</v>
      </c>
      <c r="I762" t="str">
        <f t="shared" si="37"/>
        <v>OK</v>
      </c>
      <c r="J762" t="str">
        <f>Base_Itens!E739</f>
        <v>2021-Q2-4</v>
      </c>
      <c r="K762" t="str">
        <f>Base_Itens!G739</f>
        <v>04 — Demanda por Moeda</v>
      </c>
      <c r="L762">
        <f>COUNTIFS(Base_Itens!$E$5:$E$1504,J762,Base_Itens!$G$5:$G$1504,K762)</f>
        <v>1</v>
      </c>
    </row>
    <row r="763" spans="1:12">
      <c r="A763" t="s">
        <v>2904</v>
      </c>
      <c r="B763">
        <v>2021</v>
      </c>
      <c r="C763" t="s">
        <v>82</v>
      </c>
      <c r="D763">
        <v>1</v>
      </c>
      <c r="E763">
        <v>1</v>
      </c>
      <c r="F763">
        <f>SUMIF(Base_Itens!$E$5:$E$1504,A763,Base_Itens!$I$5:$I$1504)</f>
        <v>1</v>
      </c>
      <c r="G763">
        <f t="shared" si="38"/>
        <v>0</v>
      </c>
      <c r="H763">
        <f>COUNTIF(Base_Itens!$E$5:$E$1504,A763)</f>
        <v>1</v>
      </c>
      <c r="I763" t="str">
        <f t="shared" si="37"/>
        <v>OK</v>
      </c>
      <c r="J763" t="str">
        <f>Base_Itens!E740</f>
        <v>2021-Q3-0</v>
      </c>
      <c r="K763" t="str">
        <f>Base_Itens!G740</f>
        <v>05 — IS-LM</v>
      </c>
      <c r="L763">
        <f>COUNTIFS(Base_Itens!$E$5:$E$1504,J763,Base_Itens!$G$5:$G$1504,K763)</f>
        <v>1</v>
      </c>
    </row>
    <row r="764" spans="1:12">
      <c r="A764" t="s">
        <v>2905</v>
      </c>
      <c r="B764">
        <v>2021</v>
      </c>
      <c r="C764" t="s">
        <v>2153</v>
      </c>
      <c r="D764">
        <v>5</v>
      </c>
      <c r="E764">
        <v>1</v>
      </c>
      <c r="F764">
        <f>SUMIF(Base_Itens!$E$5:$E$1504,A764,Base_Itens!$I$5:$I$1504)</f>
        <v>5</v>
      </c>
      <c r="G764">
        <f t="shared" si="38"/>
        <v>0</v>
      </c>
      <c r="H764">
        <f>COUNTIF(Base_Itens!$E$5:$E$1504,A764)</f>
        <v>1</v>
      </c>
      <c r="I764" t="str">
        <f t="shared" ref="I764:I827" si="39">IF(AND(G764=0,H764=E764),"OK","REVER")</f>
        <v>OK</v>
      </c>
      <c r="J764" t="str">
        <f>Base_Itens!E741</f>
        <v>2021-Q3-0</v>
      </c>
      <c r="K764" t="str">
        <f>Base_Itens!G741</f>
        <v>09 — Expectativas, Novos Clássicos e Novos Keynesianos</v>
      </c>
      <c r="L764">
        <f>COUNTIFS(Base_Itens!$E$5:$E$1504,J764,Base_Itens!$G$5:$G$1504,K764)</f>
        <v>1</v>
      </c>
    </row>
    <row r="765" spans="1:12">
      <c r="A765" t="s">
        <v>2906</v>
      </c>
      <c r="B765">
        <v>2021</v>
      </c>
      <c r="C765" t="s">
        <v>82</v>
      </c>
      <c r="D765">
        <v>1</v>
      </c>
      <c r="E765">
        <v>1</v>
      </c>
      <c r="F765">
        <f>SUMIF(Base_Itens!$E$5:$E$1504,A765,Base_Itens!$I$5:$I$1504)</f>
        <v>1</v>
      </c>
      <c r="G765">
        <f t="shared" si="38"/>
        <v>0</v>
      </c>
      <c r="H765">
        <f>COUNTIF(Base_Itens!$E$5:$E$1504,A765)</f>
        <v>1</v>
      </c>
      <c r="I765" t="str">
        <f t="shared" si="39"/>
        <v>OK</v>
      </c>
      <c r="J765" t="str">
        <f>Base_Itens!E742</f>
        <v>2021-Q3-1</v>
      </c>
      <c r="K765" t="str">
        <f>Base_Itens!G742</f>
        <v>05 — IS-LM</v>
      </c>
      <c r="L765">
        <f>COUNTIFS(Base_Itens!$E$5:$E$1504,J765,Base_Itens!$G$5:$G$1504,K765)</f>
        <v>1</v>
      </c>
    </row>
    <row r="766" spans="1:12">
      <c r="A766" t="s">
        <v>2907</v>
      </c>
      <c r="B766">
        <v>2021</v>
      </c>
      <c r="C766" t="s">
        <v>82</v>
      </c>
      <c r="D766">
        <v>1</v>
      </c>
      <c r="E766">
        <v>1</v>
      </c>
      <c r="F766">
        <f>SUMIF(Base_Itens!$E$5:$E$1504,A766,Base_Itens!$I$5:$I$1504)</f>
        <v>1</v>
      </c>
      <c r="G766">
        <f t="shared" si="38"/>
        <v>0</v>
      </c>
      <c r="H766">
        <f>COUNTIF(Base_Itens!$E$5:$E$1504,A766)</f>
        <v>1</v>
      </c>
      <c r="I766" t="str">
        <f t="shared" si="39"/>
        <v>OK</v>
      </c>
      <c r="J766" t="str">
        <f>Base_Itens!E743</f>
        <v>2021-Q3-1</v>
      </c>
      <c r="K766" t="str">
        <f>Base_Itens!G743</f>
        <v>09 — Expectativas, Novos Clássicos e Novos Keynesianos</v>
      </c>
      <c r="L766">
        <f>COUNTIFS(Base_Itens!$E$5:$E$1504,J766,Base_Itens!$G$5:$G$1504,K766)</f>
        <v>1</v>
      </c>
    </row>
    <row r="767" spans="1:12">
      <c r="A767" t="s">
        <v>2908</v>
      </c>
      <c r="B767">
        <v>2021</v>
      </c>
      <c r="C767" t="s">
        <v>82</v>
      </c>
      <c r="D767">
        <v>1</v>
      </c>
      <c r="E767">
        <v>1</v>
      </c>
      <c r="F767">
        <f>SUMIF(Base_Itens!$E$5:$E$1504,A767,Base_Itens!$I$5:$I$1504)</f>
        <v>1</v>
      </c>
      <c r="G767">
        <f t="shared" si="38"/>
        <v>0</v>
      </c>
      <c r="H767">
        <f>COUNTIF(Base_Itens!$E$5:$E$1504,A767)</f>
        <v>1</v>
      </c>
      <c r="I767" t="str">
        <f t="shared" si="39"/>
        <v>OK</v>
      </c>
      <c r="J767" t="str">
        <f>Base_Itens!E744</f>
        <v>2021-Q3-2</v>
      </c>
      <c r="K767" t="str">
        <f>Base_Itens!G744</f>
        <v>05 — IS-LM</v>
      </c>
      <c r="L767">
        <f>COUNTIFS(Base_Itens!$E$5:$E$1504,J767,Base_Itens!$G$5:$G$1504,K767)</f>
        <v>1</v>
      </c>
    </row>
    <row r="768" spans="1:12">
      <c r="A768" t="s">
        <v>2909</v>
      </c>
      <c r="B768">
        <v>2021</v>
      </c>
      <c r="C768" t="s">
        <v>82</v>
      </c>
      <c r="D768">
        <v>1</v>
      </c>
      <c r="E768">
        <v>1</v>
      </c>
      <c r="F768">
        <f>SUMIF(Base_Itens!$E$5:$E$1504,A768,Base_Itens!$I$5:$I$1504)</f>
        <v>1</v>
      </c>
      <c r="G768">
        <f t="shared" si="38"/>
        <v>0</v>
      </c>
      <c r="H768">
        <f>COUNTIF(Base_Itens!$E$5:$E$1504,A768)</f>
        <v>1</v>
      </c>
      <c r="I768" t="str">
        <f t="shared" si="39"/>
        <v>OK</v>
      </c>
      <c r="J768" t="str">
        <f>Base_Itens!E745</f>
        <v>2021-Q3-2</v>
      </c>
      <c r="K768" t="str">
        <f>Base_Itens!G745</f>
        <v>09 — Expectativas, Novos Clássicos e Novos Keynesianos</v>
      </c>
      <c r="L768">
        <f>COUNTIFS(Base_Itens!$E$5:$E$1504,J768,Base_Itens!$G$5:$G$1504,K768)</f>
        <v>1</v>
      </c>
    </row>
    <row r="769" spans="1:12">
      <c r="A769" t="s">
        <v>2910</v>
      </c>
      <c r="B769">
        <v>2021</v>
      </c>
      <c r="C769" t="s">
        <v>82</v>
      </c>
      <c r="D769">
        <v>1</v>
      </c>
      <c r="E769">
        <v>1</v>
      </c>
      <c r="F769">
        <f>SUMIF(Base_Itens!$E$5:$E$1504,A769,Base_Itens!$I$5:$I$1504)</f>
        <v>1</v>
      </c>
      <c r="G769">
        <f t="shared" si="38"/>
        <v>0</v>
      </c>
      <c r="H769">
        <f>COUNTIF(Base_Itens!$E$5:$E$1504,A769)</f>
        <v>1</v>
      </c>
      <c r="I769" t="str">
        <f t="shared" si="39"/>
        <v>OK</v>
      </c>
      <c r="J769" t="str">
        <f>Base_Itens!E746</f>
        <v>2021-Q3-3</v>
      </c>
      <c r="K769" t="str">
        <f>Base_Itens!G746</f>
        <v>05 — IS-LM</v>
      </c>
      <c r="L769">
        <f>COUNTIFS(Base_Itens!$E$5:$E$1504,J769,Base_Itens!$G$5:$G$1504,K769)</f>
        <v>1</v>
      </c>
    </row>
    <row r="770" spans="1:12">
      <c r="A770" t="s">
        <v>2911</v>
      </c>
      <c r="B770">
        <v>2021</v>
      </c>
      <c r="C770" t="s">
        <v>82</v>
      </c>
      <c r="D770">
        <v>1</v>
      </c>
      <c r="E770">
        <v>1</v>
      </c>
      <c r="F770">
        <f>SUMIF(Base_Itens!$E$5:$E$1504,A770,Base_Itens!$I$5:$I$1504)</f>
        <v>1</v>
      </c>
      <c r="G770">
        <f t="shared" si="38"/>
        <v>0</v>
      </c>
      <c r="H770">
        <f>COUNTIF(Base_Itens!$E$5:$E$1504,A770)</f>
        <v>1</v>
      </c>
      <c r="I770" t="str">
        <f t="shared" si="39"/>
        <v>OK</v>
      </c>
      <c r="J770" t="str">
        <f>Base_Itens!E747</f>
        <v>2021-Q3-3</v>
      </c>
      <c r="K770" t="str">
        <f>Base_Itens!G747</f>
        <v>09 — Expectativas, Novos Clássicos e Novos Keynesianos</v>
      </c>
      <c r="L770">
        <f>COUNTIFS(Base_Itens!$E$5:$E$1504,J770,Base_Itens!$G$5:$G$1504,K770)</f>
        <v>1</v>
      </c>
    </row>
    <row r="771" spans="1:12">
      <c r="A771" t="s">
        <v>2912</v>
      </c>
      <c r="B771">
        <v>2021</v>
      </c>
      <c r="C771" t="s">
        <v>82</v>
      </c>
      <c r="D771">
        <v>1</v>
      </c>
      <c r="E771">
        <v>1</v>
      </c>
      <c r="F771">
        <f>SUMIF(Base_Itens!$E$5:$E$1504,A771,Base_Itens!$I$5:$I$1504)</f>
        <v>1</v>
      </c>
      <c r="G771">
        <f t="shared" si="38"/>
        <v>0</v>
      </c>
      <c r="H771">
        <f>COUNTIF(Base_Itens!$E$5:$E$1504,A771)</f>
        <v>1</v>
      </c>
      <c r="I771" t="str">
        <f t="shared" si="39"/>
        <v>OK</v>
      </c>
      <c r="J771" t="str">
        <f>Base_Itens!E748</f>
        <v>2021-Q3-4</v>
      </c>
      <c r="K771" t="str">
        <f>Base_Itens!G748</f>
        <v>05 — IS-LM</v>
      </c>
      <c r="L771">
        <f>COUNTIFS(Base_Itens!$E$5:$E$1504,J771,Base_Itens!$G$5:$G$1504,K771)</f>
        <v>1</v>
      </c>
    </row>
    <row r="772" spans="1:12">
      <c r="A772" t="s">
        <v>2913</v>
      </c>
      <c r="B772">
        <v>2021</v>
      </c>
      <c r="C772" t="s">
        <v>82</v>
      </c>
      <c r="D772">
        <v>1</v>
      </c>
      <c r="E772">
        <v>1</v>
      </c>
      <c r="F772">
        <f>SUMIF(Base_Itens!$E$5:$E$1504,A772,Base_Itens!$I$5:$I$1504)</f>
        <v>1</v>
      </c>
      <c r="G772">
        <f t="shared" si="38"/>
        <v>0</v>
      </c>
      <c r="H772">
        <f>COUNTIF(Base_Itens!$E$5:$E$1504,A772)</f>
        <v>1</v>
      </c>
      <c r="I772" t="str">
        <f t="shared" si="39"/>
        <v>OK</v>
      </c>
      <c r="J772" t="str">
        <f>Base_Itens!E749</f>
        <v>2021-Q3-4</v>
      </c>
      <c r="K772" t="str">
        <f>Base_Itens!G749</f>
        <v>09 — Expectativas, Novos Clássicos e Novos Keynesianos</v>
      </c>
      <c r="L772">
        <f>COUNTIFS(Base_Itens!$E$5:$E$1504,J772,Base_Itens!$G$5:$G$1504,K772)</f>
        <v>1</v>
      </c>
    </row>
    <row r="773" spans="1:12">
      <c r="A773" t="s">
        <v>2914</v>
      </c>
      <c r="B773">
        <v>2021</v>
      </c>
      <c r="C773" t="s">
        <v>82</v>
      </c>
      <c r="D773">
        <v>1</v>
      </c>
      <c r="E773">
        <v>1</v>
      </c>
      <c r="F773">
        <f>SUMIF(Base_Itens!$E$5:$E$1504,A773,Base_Itens!$I$5:$I$1504)</f>
        <v>1</v>
      </c>
      <c r="G773">
        <f t="shared" si="38"/>
        <v>0</v>
      </c>
      <c r="H773">
        <f>COUNTIF(Base_Itens!$E$5:$E$1504,A773)</f>
        <v>1</v>
      </c>
      <c r="I773" t="str">
        <f t="shared" si="39"/>
        <v>OK</v>
      </c>
      <c r="J773" t="str">
        <f>Base_Itens!E750</f>
        <v>2021-Q4-0</v>
      </c>
      <c r="K773" t="str">
        <f>Base_Itens!G750</f>
        <v>09 — Expectativas, Novos Clássicos e Novos Keynesianos</v>
      </c>
      <c r="L773">
        <f>COUNTIFS(Base_Itens!$E$5:$E$1504,J773,Base_Itens!$G$5:$G$1504,K773)</f>
        <v>1</v>
      </c>
    </row>
    <row r="774" spans="1:12">
      <c r="A774" t="s">
        <v>2915</v>
      </c>
      <c r="B774">
        <v>2021</v>
      </c>
      <c r="C774" t="s">
        <v>82</v>
      </c>
      <c r="D774">
        <v>1</v>
      </c>
      <c r="E774">
        <v>1</v>
      </c>
      <c r="F774">
        <f>SUMIF(Base_Itens!$E$5:$E$1504,A774,Base_Itens!$I$5:$I$1504)</f>
        <v>1</v>
      </c>
      <c r="G774">
        <f t="shared" si="38"/>
        <v>0</v>
      </c>
      <c r="H774">
        <f>COUNTIF(Base_Itens!$E$5:$E$1504,A774)</f>
        <v>1</v>
      </c>
      <c r="I774" t="str">
        <f t="shared" si="39"/>
        <v>OK</v>
      </c>
      <c r="J774" t="str">
        <f>Base_Itens!E751</f>
        <v>2021-Q4-1</v>
      </c>
      <c r="K774" t="str">
        <f>Base_Itens!G751</f>
        <v>09 — Expectativas, Novos Clássicos e Novos Keynesianos</v>
      </c>
      <c r="L774">
        <f>COUNTIFS(Base_Itens!$E$5:$E$1504,J774,Base_Itens!$G$5:$G$1504,K774)</f>
        <v>1</v>
      </c>
    </row>
    <row r="775" spans="1:12">
      <c r="A775" t="s">
        <v>2916</v>
      </c>
      <c r="B775">
        <v>2021</v>
      </c>
      <c r="C775" t="s">
        <v>82</v>
      </c>
      <c r="D775">
        <v>1</v>
      </c>
      <c r="E775">
        <v>1</v>
      </c>
      <c r="F775">
        <f>SUMIF(Base_Itens!$E$5:$E$1504,A775,Base_Itens!$I$5:$I$1504)</f>
        <v>1</v>
      </c>
      <c r="G775">
        <f t="shared" si="38"/>
        <v>0</v>
      </c>
      <c r="H775">
        <f>COUNTIF(Base_Itens!$E$5:$E$1504,A775)</f>
        <v>1</v>
      </c>
      <c r="I775" t="str">
        <f t="shared" si="39"/>
        <v>OK</v>
      </c>
      <c r="J775" t="str">
        <f>Base_Itens!E752</f>
        <v>2021-Q4-2</v>
      </c>
      <c r="K775" t="str">
        <f>Base_Itens!G752</f>
        <v>07b — OA-DA</v>
      </c>
      <c r="L775">
        <f>COUNTIFS(Base_Itens!$E$5:$E$1504,J775,Base_Itens!$G$5:$G$1504,K775)</f>
        <v>1</v>
      </c>
    </row>
    <row r="776" spans="1:12">
      <c r="A776" t="s">
        <v>2917</v>
      </c>
      <c r="B776">
        <v>2021</v>
      </c>
      <c r="C776" t="s">
        <v>82</v>
      </c>
      <c r="D776">
        <v>1</v>
      </c>
      <c r="E776">
        <v>1</v>
      </c>
      <c r="F776">
        <f>SUMIF(Base_Itens!$E$5:$E$1504,A776,Base_Itens!$I$5:$I$1504)</f>
        <v>1</v>
      </c>
      <c r="G776">
        <f t="shared" si="38"/>
        <v>0</v>
      </c>
      <c r="H776">
        <f>COUNTIF(Base_Itens!$E$5:$E$1504,A776)</f>
        <v>1</v>
      </c>
      <c r="I776" t="str">
        <f t="shared" si="39"/>
        <v>OK</v>
      </c>
      <c r="J776" t="str">
        <f>Base_Itens!E753</f>
        <v>2021-Q4-3</v>
      </c>
      <c r="K776" t="str">
        <f>Base_Itens!G753</f>
        <v>07b — OA-DA</v>
      </c>
      <c r="L776">
        <f>COUNTIFS(Base_Itens!$E$5:$E$1504,J776,Base_Itens!$G$5:$G$1504,K776)</f>
        <v>1</v>
      </c>
    </row>
    <row r="777" spans="1:12">
      <c r="A777" t="s">
        <v>2918</v>
      </c>
      <c r="B777">
        <v>2021</v>
      </c>
      <c r="C777" t="s">
        <v>82</v>
      </c>
      <c r="D777">
        <v>1</v>
      </c>
      <c r="E777">
        <v>1</v>
      </c>
      <c r="F777">
        <f>SUMIF(Base_Itens!$E$5:$E$1504,A777,Base_Itens!$I$5:$I$1504)</f>
        <v>1</v>
      </c>
      <c r="G777">
        <f t="shared" si="38"/>
        <v>0</v>
      </c>
      <c r="H777">
        <f>COUNTIF(Base_Itens!$E$5:$E$1504,A777)</f>
        <v>1</v>
      </c>
      <c r="I777" t="str">
        <f t="shared" si="39"/>
        <v>OK</v>
      </c>
      <c r="J777" t="str">
        <f>Base_Itens!E754</f>
        <v>2021-Q4-4</v>
      </c>
      <c r="K777" t="str">
        <f>Base_Itens!G754</f>
        <v>09 — Expectativas, Novos Clássicos e Novos Keynesianos</v>
      </c>
      <c r="L777">
        <f>COUNTIFS(Base_Itens!$E$5:$E$1504,J777,Base_Itens!$G$5:$G$1504,K777)</f>
        <v>1</v>
      </c>
    </row>
    <row r="778" spans="1:12">
      <c r="A778" t="s">
        <v>2919</v>
      </c>
      <c r="B778">
        <v>2021</v>
      </c>
      <c r="C778" t="s">
        <v>82</v>
      </c>
      <c r="D778">
        <v>1</v>
      </c>
      <c r="E778">
        <v>1</v>
      </c>
      <c r="F778">
        <f>SUMIF(Base_Itens!$E$5:$E$1504,A778,Base_Itens!$I$5:$I$1504)</f>
        <v>1</v>
      </c>
      <c r="G778">
        <f t="shared" si="38"/>
        <v>0</v>
      </c>
      <c r="H778">
        <f>COUNTIF(Base_Itens!$E$5:$E$1504,A778)</f>
        <v>1</v>
      </c>
      <c r="I778" t="str">
        <f t="shared" si="39"/>
        <v>OK</v>
      </c>
      <c r="J778" t="str">
        <f>Base_Itens!E755</f>
        <v>2021-Q5-0</v>
      </c>
      <c r="K778" t="str">
        <f>Base_Itens!G755</f>
        <v>11 — Crescimento Econômico</v>
      </c>
      <c r="L778">
        <f>COUNTIFS(Base_Itens!$E$5:$E$1504,J778,Base_Itens!$G$5:$G$1504,K778)</f>
        <v>1</v>
      </c>
    </row>
    <row r="779" spans="1:12">
      <c r="A779" t="s">
        <v>2920</v>
      </c>
      <c r="B779">
        <v>2021</v>
      </c>
      <c r="C779" t="s">
        <v>82</v>
      </c>
      <c r="D779">
        <v>1</v>
      </c>
      <c r="E779">
        <v>1</v>
      </c>
      <c r="F779">
        <f>SUMIF(Base_Itens!$E$5:$E$1504,A779,Base_Itens!$I$5:$I$1504)</f>
        <v>1</v>
      </c>
      <c r="G779">
        <f t="shared" si="38"/>
        <v>0</v>
      </c>
      <c r="H779">
        <f>COUNTIF(Base_Itens!$E$5:$E$1504,A779)</f>
        <v>1</v>
      </c>
      <c r="I779" t="str">
        <f t="shared" si="39"/>
        <v>OK</v>
      </c>
      <c r="J779" t="str">
        <f>Base_Itens!E756</f>
        <v>2021-Q5-1</v>
      </c>
      <c r="K779" t="str">
        <f>Base_Itens!G756</f>
        <v>11 — Crescimento Econômico</v>
      </c>
      <c r="L779">
        <f>COUNTIFS(Base_Itens!$E$5:$E$1504,J779,Base_Itens!$G$5:$G$1504,K779)</f>
        <v>1</v>
      </c>
    </row>
    <row r="780" spans="1:12">
      <c r="A780" t="s">
        <v>2921</v>
      </c>
      <c r="B780">
        <v>2021</v>
      </c>
      <c r="C780" t="s">
        <v>2153</v>
      </c>
      <c r="D780">
        <v>5</v>
      </c>
      <c r="E780">
        <v>1</v>
      </c>
      <c r="F780">
        <f>SUMIF(Base_Itens!$E$5:$E$1504,A780,Base_Itens!$I$5:$I$1504)</f>
        <v>5</v>
      </c>
      <c r="G780">
        <f t="shared" si="38"/>
        <v>0</v>
      </c>
      <c r="H780">
        <f>COUNTIF(Base_Itens!$E$5:$E$1504,A780)</f>
        <v>1</v>
      </c>
      <c r="I780" t="str">
        <f t="shared" si="39"/>
        <v>OK</v>
      </c>
      <c r="J780" t="str">
        <f>Base_Itens!E757</f>
        <v>2021-Q5-2</v>
      </c>
      <c r="K780" t="str">
        <f>Base_Itens!G757</f>
        <v>11 — Crescimento Econômico</v>
      </c>
      <c r="L780">
        <f>COUNTIFS(Base_Itens!$E$5:$E$1504,J780,Base_Itens!$G$5:$G$1504,K780)</f>
        <v>1</v>
      </c>
    </row>
    <row r="781" spans="1:12">
      <c r="A781" t="s">
        <v>2922</v>
      </c>
      <c r="B781">
        <v>2021</v>
      </c>
      <c r="C781" t="s">
        <v>82</v>
      </c>
      <c r="D781">
        <v>1</v>
      </c>
      <c r="E781">
        <v>1</v>
      </c>
      <c r="F781">
        <f>SUMIF(Base_Itens!$E$5:$E$1504,A781,Base_Itens!$I$5:$I$1504)</f>
        <v>1</v>
      </c>
      <c r="G781">
        <f t="shared" si="38"/>
        <v>0</v>
      </c>
      <c r="H781">
        <f>COUNTIF(Base_Itens!$E$5:$E$1504,A781)</f>
        <v>1</v>
      </c>
      <c r="I781" t="str">
        <f t="shared" si="39"/>
        <v>OK</v>
      </c>
      <c r="J781" t="str">
        <f>Base_Itens!E758</f>
        <v>2021-Q5-3</v>
      </c>
      <c r="K781" t="str">
        <f>Base_Itens!G758</f>
        <v>11 — Crescimento Econômico</v>
      </c>
      <c r="L781">
        <f>COUNTIFS(Base_Itens!$E$5:$E$1504,J781,Base_Itens!$G$5:$G$1504,K781)</f>
        <v>1</v>
      </c>
    </row>
    <row r="782" spans="1:12">
      <c r="A782" t="s">
        <v>2923</v>
      </c>
      <c r="B782">
        <v>2021</v>
      </c>
      <c r="C782" t="s">
        <v>82</v>
      </c>
      <c r="D782">
        <v>1</v>
      </c>
      <c r="E782">
        <v>1</v>
      </c>
      <c r="F782">
        <f>SUMIF(Base_Itens!$E$5:$E$1504,A782,Base_Itens!$I$5:$I$1504)</f>
        <v>1</v>
      </c>
      <c r="G782">
        <f t="shared" si="38"/>
        <v>0</v>
      </c>
      <c r="H782">
        <f>COUNTIF(Base_Itens!$E$5:$E$1504,A782)</f>
        <v>1</v>
      </c>
      <c r="I782" t="str">
        <f t="shared" si="39"/>
        <v>OK</v>
      </c>
      <c r="J782" t="str">
        <f>Base_Itens!E759</f>
        <v>2021-Q5-4</v>
      </c>
      <c r="K782" t="str">
        <f>Base_Itens!G759</f>
        <v>11 — Crescimento Econômico</v>
      </c>
      <c r="L782">
        <f>COUNTIFS(Base_Itens!$E$5:$E$1504,J782,Base_Itens!$G$5:$G$1504,K782)</f>
        <v>1</v>
      </c>
    </row>
    <row r="783" spans="1:12">
      <c r="A783" t="s">
        <v>2924</v>
      </c>
      <c r="B783">
        <v>2021</v>
      </c>
      <c r="C783" t="s">
        <v>82</v>
      </c>
      <c r="D783">
        <v>1</v>
      </c>
      <c r="E783">
        <v>1</v>
      </c>
      <c r="F783">
        <f>SUMIF(Base_Itens!$E$5:$E$1504,A783,Base_Itens!$I$5:$I$1504)</f>
        <v>1</v>
      </c>
      <c r="G783">
        <f t="shared" si="38"/>
        <v>0</v>
      </c>
      <c r="H783">
        <f>COUNTIF(Base_Itens!$E$5:$E$1504,A783)</f>
        <v>1</v>
      </c>
      <c r="I783" t="str">
        <f t="shared" si="39"/>
        <v>OK</v>
      </c>
      <c r="J783" t="str">
        <f>Base_Itens!E760</f>
        <v>2021-Q6-0</v>
      </c>
      <c r="K783" t="str">
        <f>Base_Itens!G760</f>
        <v>07a — Paridades</v>
      </c>
      <c r="L783">
        <f>COUNTIFS(Base_Itens!$E$5:$E$1504,J783,Base_Itens!$G$5:$G$1504,K783)</f>
        <v>1</v>
      </c>
    </row>
    <row r="784" spans="1:12">
      <c r="A784" t="s">
        <v>2925</v>
      </c>
      <c r="B784">
        <v>2021</v>
      </c>
      <c r="C784" t="s">
        <v>82</v>
      </c>
      <c r="D784">
        <v>1</v>
      </c>
      <c r="E784">
        <v>1</v>
      </c>
      <c r="F784">
        <f>SUMIF(Base_Itens!$E$5:$E$1504,A784,Base_Itens!$I$5:$I$1504)</f>
        <v>1</v>
      </c>
      <c r="G784">
        <f t="shared" si="38"/>
        <v>0</v>
      </c>
      <c r="H784">
        <f>COUNTIF(Base_Itens!$E$5:$E$1504,A784)</f>
        <v>1</v>
      </c>
      <c r="I784" t="str">
        <f t="shared" si="39"/>
        <v>OK</v>
      </c>
      <c r="J784" t="str">
        <f>Base_Itens!E761</f>
        <v>2021-Q6-1</v>
      </c>
      <c r="K784" t="str">
        <f>Base_Itens!G761</f>
        <v>07a — Paridades</v>
      </c>
      <c r="L784">
        <f>COUNTIFS(Base_Itens!$E$5:$E$1504,J784,Base_Itens!$G$5:$G$1504,K784)</f>
        <v>1</v>
      </c>
    </row>
    <row r="785" spans="1:12">
      <c r="A785" t="s">
        <v>2926</v>
      </c>
      <c r="B785">
        <v>2021</v>
      </c>
      <c r="C785" t="s">
        <v>82</v>
      </c>
      <c r="D785">
        <v>1</v>
      </c>
      <c r="E785">
        <v>1</v>
      </c>
      <c r="F785">
        <f>SUMIF(Base_Itens!$E$5:$E$1504,A785,Base_Itens!$I$5:$I$1504)</f>
        <v>1</v>
      </c>
      <c r="G785">
        <f t="shared" si="38"/>
        <v>0</v>
      </c>
      <c r="H785">
        <f>COUNTIF(Base_Itens!$E$5:$E$1504,A785)</f>
        <v>1</v>
      </c>
      <c r="I785" t="str">
        <f t="shared" si="39"/>
        <v>OK</v>
      </c>
      <c r="J785" t="str">
        <f>Base_Itens!E762</f>
        <v>2021-Q6-2</v>
      </c>
      <c r="K785" t="str">
        <f>Base_Itens!G762</f>
        <v>07a — Paridades</v>
      </c>
      <c r="L785">
        <f>COUNTIFS(Base_Itens!$E$5:$E$1504,J785,Base_Itens!$G$5:$G$1504,K785)</f>
        <v>1</v>
      </c>
    </row>
    <row r="786" spans="1:12">
      <c r="A786" t="s">
        <v>2927</v>
      </c>
      <c r="B786">
        <v>2021</v>
      </c>
      <c r="C786" t="s">
        <v>2153</v>
      </c>
      <c r="D786">
        <v>5</v>
      </c>
      <c r="E786">
        <v>1</v>
      </c>
      <c r="F786">
        <f>SUMIF(Base_Itens!$E$5:$E$1504,A786,Base_Itens!$I$5:$I$1504)</f>
        <v>5</v>
      </c>
      <c r="G786">
        <f t="shared" si="38"/>
        <v>0</v>
      </c>
      <c r="H786">
        <f>COUNTIF(Base_Itens!$E$5:$E$1504,A786)</f>
        <v>1</v>
      </c>
      <c r="I786" t="str">
        <f t="shared" si="39"/>
        <v>OK</v>
      </c>
      <c r="J786" t="str">
        <f>Base_Itens!E763</f>
        <v>2021-Q6-3</v>
      </c>
      <c r="K786" t="str">
        <f>Base_Itens!G763</f>
        <v>07a — Paridades</v>
      </c>
      <c r="L786">
        <f>COUNTIFS(Base_Itens!$E$5:$E$1504,J786,Base_Itens!$G$5:$G$1504,K786)</f>
        <v>1</v>
      </c>
    </row>
    <row r="787" spans="1:12">
      <c r="A787" t="s">
        <v>2928</v>
      </c>
      <c r="B787">
        <v>2021</v>
      </c>
      <c r="C787" t="s">
        <v>2153</v>
      </c>
      <c r="D787">
        <v>5</v>
      </c>
      <c r="E787">
        <v>1</v>
      </c>
      <c r="F787">
        <f>SUMIF(Base_Itens!$E$5:$E$1504,A787,Base_Itens!$I$5:$I$1504)</f>
        <v>5</v>
      </c>
      <c r="G787">
        <f t="shared" si="38"/>
        <v>0</v>
      </c>
      <c r="H787">
        <f>COUNTIF(Base_Itens!$E$5:$E$1504,A787)</f>
        <v>1</v>
      </c>
      <c r="I787" t="str">
        <f t="shared" si="39"/>
        <v>OK</v>
      </c>
      <c r="J787" t="str">
        <f>Base_Itens!E764</f>
        <v>2021-Q6-4</v>
      </c>
      <c r="K787" t="str">
        <f>Base_Itens!G764</f>
        <v>07a — Paridades</v>
      </c>
      <c r="L787">
        <f>COUNTIFS(Base_Itens!$E$5:$E$1504,J787,Base_Itens!$G$5:$G$1504,K787)</f>
        <v>1</v>
      </c>
    </row>
    <row r="788" spans="1:12">
      <c r="A788" t="s">
        <v>2929</v>
      </c>
      <c r="B788">
        <v>2022</v>
      </c>
      <c r="C788" t="s">
        <v>82</v>
      </c>
      <c r="D788">
        <v>1</v>
      </c>
      <c r="E788">
        <v>1</v>
      </c>
      <c r="F788">
        <f>SUMIF(Base_Itens!$E$5:$E$1504,A788,Base_Itens!$I$5:$I$1504)</f>
        <v>1</v>
      </c>
      <c r="G788">
        <f t="shared" si="38"/>
        <v>0</v>
      </c>
      <c r="H788">
        <f>COUNTIF(Base_Itens!$E$5:$E$1504,A788)</f>
        <v>1</v>
      </c>
      <c r="I788" t="str">
        <f t="shared" si="39"/>
        <v>OK</v>
      </c>
      <c r="J788" t="str">
        <f>Base_Itens!E765</f>
        <v>2021-Q7-0</v>
      </c>
      <c r="K788" t="str">
        <f>Base_Itens!G765</f>
        <v>12 — Consumo</v>
      </c>
      <c r="L788">
        <f>COUNTIFS(Base_Itens!$E$5:$E$1504,J788,Base_Itens!$G$5:$G$1504,K788)</f>
        <v>1</v>
      </c>
    </row>
    <row r="789" spans="1:12">
      <c r="A789" t="s">
        <v>2930</v>
      </c>
      <c r="B789">
        <v>2022</v>
      </c>
      <c r="C789" t="s">
        <v>82</v>
      </c>
      <c r="D789">
        <v>1</v>
      </c>
      <c r="E789">
        <v>1</v>
      </c>
      <c r="F789">
        <f>SUMIF(Base_Itens!$E$5:$E$1504,A789,Base_Itens!$I$5:$I$1504)</f>
        <v>1</v>
      </c>
      <c r="G789">
        <f t="shared" si="38"/>
        <v>0</v>
      </c>
      <c r="H789">
        <f>COUNTIF(Base_Itens!$E$5:$E$1504,A789)</f>
        <v>1</v>
      </c>
      <c r="I789" t="str">
        <f t="shared" si="39"/>
        <v>OK</v>
      </c>
      <c r="J789" t="str">
        <f>Base_Itens!E766</f>
        <v>2021-Q7-1</v>
      </c>
      <c r="K789" t="str">
        <f>Base_Itens!G766</f>
        <v>12 — Consumo</v>
      </c>
      <c r="L789">
        <f>COUNTIFS(Base_Itens!$E$5:$E$1504,J789,Base_Itens!$G$5:$G$1504,K789)</f>
        <v>1</v>
      </c>
    </row>
    <row r="790" spans="1:12">
      <c r="A790" t="s">
        <v>2931</v>
      </c>
      <c r="B790">
        <v>2022</v>
      </c>
      <c r="C790" t="s">
        <v>82</v>
      </c>
      <c r="D790">
        <v>1</v>
      </c>
      <c r="E790">
        <v>1</v>
      </c>
      <c r="F790">
        <f>SUMIF(Base_Itens!$E$5:$E$1504,A790,Base_Itens!$I$5:$I$1504)</f>
        <v>1</v>
      </c>
      <c r="G790">
        <f t="shared" si="38"/>
        <v>0</v>
      </c>
      <c r="H790">
        <f>COUNTIF(Base_Itens!$E$5:$E$1504,A790)</f>
        <v>1</v>
      </c>
      <c r="I790" t="str">
        <f t="shared" si="39"/>
        <v>OK</v>
      </c>
      <c r="J790" t="str">
        <f>Base_Itens!E767</f>
        <v>2021-Q7-2</v>
      </c>
      <c r="K790" t="str">
        <f>Base_Itens!G767</f>
        <v>12 — Consumo</v>
      </c>
      <c r="L790">
        <f>COUNTIFS(Base_Itens!$E$5:$E$1504,J790,Base_Itens!$G$5:$G$1504,K790)</f>
        <v>1</v>
      </c>
    </row>
    <row r="791" spans="1:12">
      <c r="A791" t="s">
        <v>2932</v>
      </c>
      <c r="B791">
        <v>2022</v>
      </c>
      <c r="C791" t="s">
        <v>82</v>
      </c>
      <c r="D791">
        <v>1</v>
      </c>
      <c r="E791">
        <v>2</v>
      </c>
      <c r="F791">
        <f>SUMIF(Base_Itens!$E$5:$E$1504,A791,Base_Itens!$I$5:$I$1504)</f>
        <v>1</v>
      </c>
      <c r="G791">
        <f t="shared" si="38"/>
        <v>0</v>
      </c>
      <c r="H791">
        <f>COUNTIF(Base_Itens!$E$5:$E$1504,A791)</f>
        <v>2</v>
      </c>
      <c r="I791" t="str">
        <f t="shared" si="39"/>
        <v>OK</v>
      </c>
      <c r="J791" t="str">
        <f>Base_Itens!E768</f>
        <v>2021-Q7-3</v>
      </c>
      <c r="K791" t="str">
        <f>Base_Itens!G768</f>
        <v>13 — Investimento</v>
      </c>
      <c r="L791">
        <f>COUNTIFS(Base_Itens!$E$5:$E$1504,J791,Base_Itens!$G$5:$G$1504,K791)</f>
        <v>1</v>
      </c>
    </row>
    <row r="792" spans="1:12">
      <c r="A792" t="s">
        <v>2933</v>
      </c>
      <c r="B792">
        <v>2022</v>
      </c>
      <c r="C792" t="s">
        <v>82</v>
      </c>
      <c r="D792">
        <v>1</v>
      </c>
      <c r="E792">
        <v>1</v>
      </c>
      <c r="F792">
        <f>SUMIF(Base_Itens!$E$5:$E$1504,A792,Base_Itens!$I$5:$I$1504)</f>
        <v>1</v>
      </c>
      <c r="G792">
        <f t="shared" si="38"/>
        <v>0</v>
      </c>
      <c r="H792">
        <f>COUNTIF(Base_Itens!$E$5:$E$1504,A792)</f>
        <v>1</v>
      </c>
      <c r="I792" t="str">
        <f t="shared" si="39"/>
        <v>OK</v>
      </c>
      <c r="J792" t="str">
        <f>Base_Itens!E769</f>
        <v>2021-Q7-4</v>
      </c>
      <c r="K792" t="str">
        <f>Base_Itens!G769</f>
        <v>13 — Investimento</v>
      </c>
      <c r="L792">
        <f>COUNTIFS(Base_Itens!$E$5:$E$1504,J792,Base_Itens!$G$5:$G$1504,K792)</f>
        <v>1</v>
      </c>
    </row>
    <row r="793" spans="1:12">
      <c r="A793" t="s">
        <v>2934</v>
      </c>
      <c r="B793">
        <v>2022</v>
      </c>
      <c r="C793" t="s">
        <v>82</v>
      </c>
      <c r="D793">
        <v>1</v>
      </c>
      <c r="E793">
        <v>1</v>
      </c>
      <c r="F793">
        <f>SUMIF(Base_Itens!$E$5:$E$1504,A793,Base_Itens!$I$5:$I$1504)</f>
        <v>1</v>
      </c>
      <c r="G793">
        <f t="shared" si="38"/>
        <v>0</v>
      </c>
      <c r="H793">
        <f>COUNTIF(Base_Itens!$E$5:$E$1504,A793)</f>
        <v>1</v>
      </c>
      <c r="I793" t="str">
        <f t="shared" si="39"/>
        <v>OK</v>
      </c>
      <c r="J793" t="str">
        <f>Base_Itens!E770</f>
        <v>2021-Q8-ABERTA</v>
      </c>
      <c r="K793" t="str">
        <f>Base_Itens!G770</f>
        <v>11 — Crescimento Econômico</v>
      </c>
      <c r="L793">
        <f>COUNTIFS(Base_Itens!$E$5:$E$1504,J793,Base_Itens!$G$5:$G$1504,K793)</f>
        <v>1</v>
      </c>
    </row>
    <row r="794" spans="1:12">
      <c r="A794" t="s">
        <v>2935</v>
      </c>
      <c r="B794">
        <v>2022</v>
      </c>
      <c r="C794" t="s">
        <v>82</v>
      </c>
      <c r="D794">
        <v>1</v>
      </c>
      <c r="E794">
        <v>1</v>
      </c>
      <c r="F794">
        <f>SUMIF(Base_Itens!$E$5:$E$1504,A794,Base_Itens!$I$5:$I$1504)</f>
        <v>1</v>
      </c>
      <c r="G794">
        <f t="shared" si="38"/>
        <v>0</v>
      </c>
      <c r="H794">
        <f>COUNTIF(Base_Itens!$E$5:$E$1504,A794)</f>
        <v>1</v>
      </c>
      <c r="I794" t="str">
        <f t="shared" si="39"/>
        <v>OK</v>
      </c>
      <c r="J794" t="str">
        <f>Base_Itens!E771</f>
        <v>2021-Q9-0</v>
      </c>
      <c r="K794" t="str">
        <f>Base_Itens!G771</f>
        <v>09 — Expectativas, Novos Clássicos e Novos Keynesianos</v>
      </c>
      <c r="L794">
        <f>COUNTIFS(Base_Itens!$E$5:$E$1504,J794,Base_Itens!$G$5:$G$1504,K794)</f>
        <v>1</v>
      </c>
    </row>
    <row r="795" spans="1:12">
      <c r="A795" t="s">
        <v>2936</v>
      </c>
      <c r="B795">
        <v>2022</v>
      </c>
      <c r="C795" t="s">
        <v>82</v>
      </c>
      <c r="D795">
        <v>1</v>
      </c>
      <c r="E795">
        <v>1</v>
      </c>
      <c r="F795">
        <f>SUMIF(Base_Itens!$E$5:$E$1504,A795,Base_Itens!$I$5:$I$1504)</f>
        <v>1</v>
      </c>
      <c r="G795">
        <f t="shared" si="38"/>
        <v>0</v>
      </c>
      <c r="H795">
        <f>COUNTIF(Base_Itens!$E$5:$E$1504,A795)</f>
        <v>1</v>
      </c>
      <c r="I795" t="str">
        <f t="shared" si="39"/>
        <v>OK</v>
      </c>
      <c r="J795" t="str">
        <f>Base_Itens!E772</f>
        <v>2021-Q9-1</v>
      </c>
      <c r="K795" t="str">
        <f>Base_Itens!G772</f>
        <v>09 — Expectativas, Novos Clássicos e Novos Keynesianos</v>
      </c>
      <c r="L795">
        <f>COUNTIFS(Base_Itens!$E$5:$E$1504,J795,Base_Itens!$G$5:$G$1504,K795)</f>
        <v>1</v>
      </c>
    </row>
    <row r="796" spans="1:12">
      <c r="A796" t="s">
        <v>2937</v>
      </c>
      <c r="B796">
        <v>2022</v>
      </c>
      <c r="C796" t="s">
        <v>82</v>
      </c>
      <c r="D796">
        <v>1</v>
      </c>
      <c r="E796">
        <v>1</v>
      </c>
      <c r="F796">
        <f>SUMIF(Base_Itens!$E$5:$E$1504,A796,Base_Itens!$I$5:$I$1504)</f>
        <v>1</v>
      </c>
      <c r="G796">
        <f t="shared" ref="G796:G859" si="40">F796-D796</f>
        <v>0</v>
      </c>
      <c r="H796">
        <f>COUNTIF(Base_Itens!$E$5:$E$1504,A796)</f>
        <v>1</v>
      </c>
      <c r="I796" t="str">
        <f t="shared" si="39"/>
        <v>OK</v>
      </c>
      <c r="J796" t="str">
        <f>Base_Itens!E773</f>
        <v>2021-Q9-2</v>
      </c>
      <c r="K796" t="str">
        <f>Base_Itens!G773</f>
        <v>09 — Expectativas, Novos Clássicos e Novos Keynesianos</v>
      </c>
      <c r="L796">
        <f>COUNTIFS(Base_Itens!$E$5:$E$1504,J796,Base_Itens!$G$5:$G$1504,K796)</f>
        <v>1</v>
      </c>
    </row>
    <row r="797" spans="1:12">
      <c r="A797" t="s">
        <v>2938</v>
      </c>
      <c r="B797">
        <v>2022</v>
      </c>
      <c r="C797" t="s">
        <v>82</v>
      </c>
      <c r="D797">
        <v>1</v>
      </c>
      <c r="E797">
        <v>1</v>
      </c>
      <c r="F797">
        <f>SUMIF(Base_Itens!$E$5:$E$1504,A797,Base_Itens!$I$5:$I$1504)</f>
        <v>1</v>
      </c>
      <c r="G797">
        <f t="shared" si="40"/>
        <v>0</v>
      </c>
      <c r="H797">
        <f>COUNTIF(Base_Itens!$E$5:$E$1504,A797)</f>
        <v>1</v>
      </c>
      <c r="I797" t="str">
        <f t="shared" si="39"/>
        <v>OK</v>
      </c>
      <c r="J797" t="str">
        <f>Base_Itens!E774</f>
        <v>2021-Q9-3</v>
      </c>
      <c r="K797" t="str">
        <f>Base_Itens!G774</f>
        <v>09 — Expectativas, Novos Clássicos e Novos Keynesianos</v>
      </c>
      <c r="L797">
        <f>COUNTIFS(Base_Itens!$E$5:$E$1504,J797,Base_Itens!$G$5:$G$1504,K797)</f>
        <v>1</v>
      </c>
    </row>
    <row r="798" spans="1:12">
      <c r="A798" t="s">
        <v>2939</v>
      </c>
      <c r="B798">
        <v>2022</v>
      </c>
      <c r="C798" t="s">
        <v>82</v>
      </c>
      <c r="D798">
        <v>1</v>
      </c>
      <c r="E798">
        <v>1</v>
      </c>
      <c r="F798">
        <f>SUMIF(Base_Itens!$E$5:$E$1504,A798,Base_Itens!$I$5:$I$1504)</f>
        <v>1</v>
      </c>
      <c r="G798">
        <f t="shared" si="40"/>
        <v>0</v>
      </c>
      <c r="H798">
        <f>COUNTIF(Base_Itens!$E$5:$E$1504,A798)</f>
        <v>1</v>
      </c>
      <c r="I798" t="str">
        <f t="shared" si="39"/>
        <v>OK</v>
      </c>
      <c r="J798" t="str">
        <f>Base_Itens!E775</f>
        <v>2021-Q9-4</v>
      </c>
      <c r="K798" t="str">
        <f>Base_Itens!G775</f>
        <v>09 — Expectativas, Novos Clássicos e Novos Keynesianos</v>
      </c>
      <c r="L798">
        <f>COUNTIFS(Base_Itens!$E$5:$E$1504,J798,Base_Itens!$G$5:$G$1504,K798)</f>
        <v>1</v>
      </c>
    </row>
    <row r="799" spans="1:12">
      <c r="A799" t="s">
        <v>2940</v>
      </c>
      <c r="B799">
        <v>2022</v>
      </c>
      <c r="C799" t="s">
        <v>82</v>
      </c>
      <c r="D799">
        <v>1</v>
      </c>
      <c r="E799">
        <v>1</v>
      </c>
      <c r="F799">
        <f>SUMIF(Base_Itens!$E$5:$E$1504,A799,Base_Itens!$I$5:$I$1504)</f>
        <v>1</v>
      </c>
      <c r="G799">
        <f t="shared" si="40"/>
        <v>0</v>
      </c>
      <c r="H799">
        <f>COUNTIF(Base_Itens!$E$5:$E$1504,A799)</f>
        <v>1</v>
      </c>
      <c r="I799" t="str">
        <f t="shared" si="39"/>
        <v>OK</v>
      </c>
      <c r="J799" t="str">
        <f>Base_Itens!E776</f>
        <v>2021-Q10-0</v>
      </c>
      <c r="K799" t="str">
        <f>Base_Itens!G776</f>
        <v>01 — Contas Nacionais</v>
      </c>
      <c r="L799">
        <f>COUNTIFS(Base_Itens!$E$5:$E$1504,J799,Base_Itens!$G$5:$G$1504,K799)</f>
        <v>1</v>
      </c>
    </row>
    <row r="800" spans="1:12">
      <c r="A800" t="s">
        <v>2941</v>
      </c>
      <c r="B800">
        <v>2022</v>
      </c>
      <c r="C800" t="s">
        <v>82</v>
      </c>
      <c r="D800">
        <v>1</v>
      </c>
      <c r="E800">
        <v>1</v>
      </c>
      <c r="F800">
        <f>SUMIF(Base_Itens!$E$5:$E$1504,A800,Base_Itens!$I$5:$I$1504)</f>
        <v>1</v>
      </c>
      <c r="G800">
        <f t="shared" si="40"/>
        <v>0</v>
      </c>
      <c r="H800">
        <f>COUNTIF(Base_Itens!$E$5:$E$1504,A800)</f>
        <v>1</v>
      </c>
      <c r="I800" t="str">
        <f t="shared" si="39"/>
        <v>OK</v>
      </c>
      <c r="J800" t="str">
        <f>Base_Itens!E777</f>
        <v>2021-Q10-1</v>
      </c>
      <c r="K800" t="str">
        <f>Base_Itens!G777</f>
        <v>01 — Contas Nacionais</v>
      </c>
      <c r="L800">
        <f>COUNTIFS(Base_Itens!$E$5:$E$1504,J800,Base_Itens!$G$5:$G$1504,K800)</f>
        <v>1</v>
      </c>
    </row>
    <row r="801" spans="1:12">
      <c r="A801" t="s">
        <v>2942</v>
      </c>
      <c r="B801">
        <v>2022</v>
      </c>
      <c r="C801" t="s">
        <v>82</v>
      </c>
      <c r="D801">
        <v>1</v>
      </c>
      <c r="E801">
        <v>1</v>
      </c>
      <c r="F801">
        <f>SUMIF(Base_Itens!$E$5:$E$1504,A801,Base_Itens!$I$5:$I$1504)</f>
        <v>1</v>
      </c>
      <c r="G801">
        <f t="shared" si="40"/>
        <v>0</v>
      </c>
      <c r="H801">
        <f>COUNTIF(Base_Itens!$E$5:$E$1504,A801)</f>
        <v>1</v>
      </c>
      <c r="I801" t="str">
        <f t="shared" si="39"/>
        <v>OK</v>
      </c>
      <c r="J801" t="str">
        <f>Base_Itens!E778</f>
        <v>2021-Q10-2</v>
      </c>
      <c r="K801" t="str">
        <f>Base_Itens!G778</f>
        <v>03 — Sistema Monetário</v>
      </c>
      <c r="L801">
        <f>COUNTIFS(Base_Itens!$E$5:$E$1504,J801,Base_Itens!$G$5:$G$1504,K801)</f>
        <v>1</v>
      </c>
    </row>
    <row r="802" spans="1:12">
      <c r="A802" t="s">
        <v>2943</v>
      </c>
      <c r="B802">
        <v>2022</v>
      </c>
      <c r="C802" t="s">
        <v>82</v>
      </c>
      <c r="D802">
        <v>1</v>
      </c>
      <c r="E802">
        <v>1</v>
      </c>
      <c r="F802">
        <f>SUMIF(Base_Itens!$E$5:$E$1504,A802,Base_Itens!$I$5:$I$1504)</f>
        <v>1</v>
      </c>
      <c r="G802">
        <f t="shared" si="40"/>
        <v>0</v>
      </c>
      <c r="H802">
        <f>COUNTIF(Base_Itens!$E$5:$E$1504,A802)</f>
        <v>1</v>
      </c>
      <c r="I802" t="str">
        <f t="shared" si="39"/>
        <v>OK</v>
      </c>
      <c r="J802" t="str">
        <f>Base_Itens!E779</f>
        <v>2021-Q10-3</v>
      </c>
      <c r="K802" t="str">
        <f>Base_Itens!G779</f>
        <v>04 — Demanda por Moeda</v>
      </c>
      <c r="L802">
        <f>COUNTIFS(Base_Itens!$E$5:$E$1504,J802,Base_Itens!$G$5:$G$1504,K802)</f>
        <v>1</v>
      </c>
    </row>
    <row r="803" spans="1:12">
      <c r="A803" t="s">
        <v>2944</v>
      </c>
      <c r="B803">
        <v>2022</v>
      </c>
      <c r="C803" t="s">
        <v>82</v>
      </c>
      <c r="D803">
        <v>1</v>
      </c>
      <c r="E803">
        <v>1</v>
      </c>
      <c r="F803">
        <f>SUMIF(Base_Itens!$E$5:$E$1504,A803,Base_Itens!$I$5:$I$1504)</f>
        <v>1</v>
      </c>
      <c r="G803">
        <f t="shared" si="40"/>
        <v>0</v>
      </c>
      <c r="H803">
        <f>COUNTIF(Base_Itens!$E$5:$E$1504,A803)</f>
        <v>1</v>
      </c>
      <c r="I803" t="str">
        <f t="shared" si="39"/>
        <v>OK</v>
      </c>
      <c r="J803" t="str">
        <f>Base_Itens!E780</f>
        <v>2021-Q10-4</v>
      </c>
      <c r="K803" t="str">
        <f>Base_Itens!G780</f>
        <v>01 — Contas Nacionais</v>
      </c>
      <c r="L803">
        <f>COUNTIFS(Base_Itens!$E$5:$E$1504,J803,Base_Itens!$G$5:$G$1504,K803)</f>
        <v>1</v>
      </c>
    </row>
    <row r="804" spans="1:12">
      <c r="A804" t="s">
        <v>2945</v>
      </c>
      <c r="B804">
        <v>2022</v>
      </c>
      <c r="C804" t="s">
        <v>82</v>
      </c>
      <c r="D804">
        <v>1</v>
      </c>
      <c r="E804">
        <v>1</v>
      </c>
      <c r="F804">
        <f>SUMIF(Base_Itens!$E$5:$E$1504,A804,Base_Itens!$I$5:$I$1504)</f>
        <v>1</v>
      </c>
      <c r="G804">
        <f t="shared" si="40"/>
        <v>0</v>
      </c>
      <c r="H804">
        <f>COUNTIF(Base_Itens!$E$5:$E$1504,A804)</f>
        <v>1</v>
      </c>
      <c r="I804" t="str">
        <f t="shared" si="39"/>
        <v>OK</v>
      </c>
      <c r="J804" t="str">
        <f>Base_Itens!E781</f>
        <v>2021-Q11-0</v>
      </c>
      <c r="K804" t="str">
        <f>Base_Itens!G781</f>
        <v>06 — IS-LM-BP</v>
      </c>
      <c r="L804">
        <f>COUNTIFS(Base_Itens!$E$5:$E$1504,J804,Base_Itens!$G$5:$G$1504,K804)</f>
        <v>1</v>
      </c>
    </row>
    <row r="805" spans="1:12">
      <c r="A805" t="s">
        <v>2946</v>
      </c>
      <c r="B805">
        <v>2022</v>
      </c>
      <c r="C805" t="s">
        <v>82</v>
      </c>
      <c r="D805">
        <v>1</v>
      </c>
      <c r="E805">
        <v>1</v>
      </c>
      <c r="F805">
        <f>SUMIF(Base_Itens!$E$5:$E$1504,A805,Base_Itens!$I$5:$I$1504)</f>
        <v>1</v>
      </c>
      <c r="G805">
        <f t="shared" si="40"/>
        <v>0</v>
      </c>
      <c r="H805">
        <f>COUNTIF(Base_Itens!$E$5:$E$1504,A805)</f>
        <v>1</v>
      </c>
      <c r="I805" t="str">
        <f t="shared" si="39"/>
        <v>OK</v>
      </c>
      <c r="J805" t="str">
        <f>Base_Itens!E782</f>
        <v>2021-Q11-1</v>
      </c>
      <c r="K805" t="str">
        <f>Base_Itens!G782</f>
        <v>06 — IS-LM-BP</v>
      </c>
      <c r="L805">
        <f>COUNTIFS(Base_Itens!$E$5:$E$1504,J805,Base_Itens!$G$5:$G$1504,K805)</f>
        <v>1</v>
      </c>
    </row>
    <row r="806" spans="1:12">
      <c r="A806" t="s">
        <v>2947</v>
      </c>
      <c r="B806">
        <v>2022</v>
      </c>
      <c r="C806" t="s">
        <v>82</v>
      </c>
      <c r="D806">
        <v>1</v>
      </c>
      <c r="E806">
        <v>1</v>
      </c>
      <c r="F806">
        <f>SUMIF(Base_Itens!$E$5:$E$1504,A806,Base_Itens!$I$5:$I$1504)</f>
        <v>1</v>
      </c>
      <c r="G806">
        <f t="shared" si="40"/>
        <v>0</v>
      </c>
      <c r="H806">
        <f>COUNTIF(Base_Itens!$E$5:$E$1504,A806)</f>
        <v>1</v>
      </c>
      <c r="I806" t="str">
        <f t="shared" si="39"/>
        <v>OK</v>
      </c>
      <c r="J806" t="str">
        <f>Base_Itens!E783</f>
        <v>2021-Q11-2</v>
      </c>
      <c r="K806" t="str">
        <f>Base_Itens!G783</f>
        <v>06 — IS-LM-BP</v>
      </c>
      <c r="L806">
        <f>COUNTIFS(Base_Itens!$E$5:$E$1504,J806,Base_Itens!$G$5:$G$1504,K806)</f>
        <v>1</v>
      </c>
    </row>
    <row r="807" spans="1:12">
      <c r="A807" t="s">
        <v>2948</v>
      </c>
      <c r="B807">
        <v>2022</v>
      </c>
      <c r="C807" t="s">
        <v>82</v>
      </c>
      <c r="D807">
        <v>1</v>
      </c>
      <c r="E807">
        <v>1</v>
      </c>
      <c r="F807">
        <f>SUMIF(Base_Itens!$E$5:$E$1504,A807,Base_Itens!$I$5:$I$1504)</f>
        <v>1</v>
      </c>
      <c r="G807">
        <f t="shared" si="40"/>
        <v>0</v>
      </c>
      <c r="H807">
        <f>COUNTIF(Base_Itens!$E$5:$E$1504,A807)</f>
        <v>1</v>
      </c>
      <c r="I807" t="str">
        <f t="shared" si="39"/>
        <v>OK</v>
      </c>
      <c r="J807" t="str">
        <f>Base_Itens!E784</f>
        <v>2021-Q11-3</v>
      </c>
      <c r="K807" t="str">
        <f>Base_Itens!G784</f>
        <v>06 — IS-LM-BP</v>
      </c>
      <c r="L807">
        <f>COUNTIFS(Base_Itens!$E$5:$E$1504,J807,Base_Itens!$G$5:$G$1504,K807)</f>
        <v>1</v>
      </c>
    </row>
    <row r="808" spans="1:12">
      <c r="A808" t="s">
        <v>2949</v>
      </c>
      <c r="B808">
        <v>2022</v>
      </c>
      <c r="C808" t="s">
        <v>2153</v>
      </c>
      <c r="D808">
        <v>5</v>
      </c>
      <c r="E808">
        <v>1</v>
      </c>
      <c r="F808">
        <f>SUMIF(Base_Itens!$E$5:$E$1504,A808,Base_Itens!$I$5:$I$1504)</f>
        <v>5</v>
      </c>
      <c r="G808">
        <f t="shared" si="40"/>
        <v>0</v>
      </c>
      <c r="H808">
        <f>COUNTIF(Base_Itens!$E$5:$E$1504,A808)</f>
        <v>1</v>
      </c>
      <c r="I808" t="str">
        <f t="shared" si="39"/>
        <v>OK</v>
      </c>
      <c r="J808" t="str">
        <f>Base_Itens!E785</f>
        <v>2021-Q11-4</v>
      </c>
      <c r="K808" t="str">
        <f>Base_Itens!G785</f>
        <v>06 — IS-LM-BP</v>
      </c>
      <c r="L808">
        <f>COUNTIFS(Base_Itens!$E$5:$E$1504,J808,Base_Itens!$G$5:$G$1504,K808)</f>
        <v>1</v>
      </c>
    </row>
    <row r="809" spans="1:12">
      <c r="A809" t="s">
        <v>2950</v>
      </c>
      <c r="B809">
        <v>2022</v>
      </c>
      <c r="C809" t="s">
        <v>82</v>
      </c>
      <c r="D809">
        <v>1</v>
      </c>
      <c r="E809">
        <v>1</v>
      </c>
      <c r="F809">
        <f>SUMIF(Base_Itens!$E$5:$E$1504,A809,Base_Itens!$I$5:$I$1504)</f>
        <v>1</v>
      </c>
      <c r="G809">
        <f t="shared" si="40"/>
        <v>0</v>
      </c>
      <c r="H809">
        <f>COUNTIF(Base_Itens!$E$5:$E$1504,A809)</f>
        <v>1</v>
      </c>
      <c r="I809" t="str">
        <f t="shared" si="39"/>
        <v>OK</v>
      </c>
      <c r="J809" t="str">
        <f>Base_Itens!E786</f>
        <v>2021-Q12-ABERTA</v>
      </c>
      <c r="K809" t="str">
        <f>Base_Itens!G786</f>
        <v>01 — Contas Nacionais</v>
      </c>
      <c r="L809">
        <f>COUNTIFS(Base_Itens!$E$5:$E$1504,J809,Base_Itens!$G$5:$G$1504,K809)</f>
        <v>1</v>
      </c>
    </row>
    <row r="810" spans="1:12">
      <c r="A810" t="s">
        <v>2951</v>
      </c>
      <c r="B810">
        <v>2022</v>
      </c>
      <c r="C810" t="s">
        <v>82</v>
      </c>
      <c r="D810">
        <v>1</v>
      </c>
      <c r="E810">
        <v>1</v>
      </c>
      <c r="F810">
        <f>SUMIF(Base_Itens!$E$5:$E$1504,A810,Base_Itens!$I$5:$I$1504)</f>
        <v>1</v>
      </c>
      <c r="G810">
        <f t="shared" si="40"/>
        <v>0</v>
      </c>
      <c r="H810">
        <f>COUNTIF(Base_Itens!$E$5:$E$1504,A810)</f>
        <v>1</v>
      </c>
      <c r="I810" t="str">
        <f t="shared" si="39"/>
        <v>OK</v>
      </c>
      <c r="J810" t="str">
        <f>Base_Itens!E787</f>
        <v>2021-Q13-0</v>
      </c>
      <c r="K810" t="str">
        <f>Base_Itens!G787</f>
        <v>06 — IS-LM-BP</v>
      </c>
      <c r="L810">
        <f>COUNTIFS(Base_Itens!$E$5:$E$1504,J810,Base_Itens!$G$5:$G$1504,K810)</f>
        <v>1</v>
      </c>
    </row>
    <row r="811" spans="1:12">
      <c r="A811" t="s">
        <v>2952</v>
      </c>
      <c r="B811">
        <v>2022</v>
      </c>
      <c r="C811" t="s">
        <v>82</v>
      </c>
      <c r="D811">
        <v>1</v>
      </c>
      <c r="E811">
        <v>1</v>
      </c>
      <c r="F811">
        <f>SUMIF(Base_Itens!$E$5:$E$1504,A811,Base_Itens!$I$5:$I$1504)</f>
        <v>1</v>
      </c>
      <c r="G811">
        <f t="shared" si="40"/>
        <v>0</v>
      </c>
      <c r="H811">
        <f>COUNTIF(Base_Itens!$E$5:$E$1504,A811)</f>
        <v>1</v>
      </c>
      <c r="I811" t="str">
        <f t="shared" si="39"/>
        <v>OK</v>
      </c>
      <c r="J811" t="str">
        <f>Base_Itens!E788</f>
        <v>2021-Q13-1</v>
      </c>
      <c r="K811" t="str">
        <f>Base_Itens!G788</f>
        <v>06 — IS-LM-BP</v>
      </c>
      <c r="L811">
        <f>COUNTIFS(Base_Itens!$E$5:$E$1504,J811,Base_Itens!$G$5:$G$1504,K811)</f>
        <v>1</v>
      </c>
    </row>
    <row r="812" spans="1:12">
      <c r="A812" t="s">
        <v>2953</v>
      </c>
      <c r="B812">
        <v>2022</v>
      </c>
      <c r="C812" t="s">
        <v>82</v>
      </c>
      <c r="D812">
        <v>1</v>
      </c>
      <c r="E812">
        <v>1</v>
      </c>
      <c r="F812">
        <f>SUMIF(Base_Itens!$E$5:$E$1504,A812,Base_Itens!$I$5:$I$1504)</f>
        <v>1</v>
      </c>
      <c r="G812">
        <f t="shared" si="40"/>
        <v>0</v>
      </c>
      <c r="H812">
        <f>COUNTIF(Base_Itens!$E$5:$E$1504,A812)</f>
        <v>1</v>
      </c>
      <c r="I812" t="str">
        <f t="shared" si="39"/>
        <v>OK</v>
      </c>
      <c r="J812" t="str">
        <f>Base_Itens!E789</f>
        <v>2021-Q13-2</v>
      </c>
      <c r="K812" t="str">
        <f>Base_Itens!G789</f>
        <v>06 — IS-LM-BP</v>
      </c>
      <c r="L812">
        <f>COUNTIFS(Base_Itens!$E$5:$E$1504,J812,Base_Itens!$G$5:$G$1504,K812)</f>
        <v>1</v>
      </c>
    </row>
    <row r="813" spans="1:12">
      <c r="A813" t="s">
        <v>2954</v>
      </c>
      <c r="B813">
        <v>2022</v>
      </c>
      <c r="C813" t="s">
        <v>82</v>
      </c>
      <c r="D813">
        <v>1</v>
      </c>
      <c r="E813">
        <v>1</v>
      </c>
      <c r="F813">
        <f>SUMIF(Base_Itens!$E$5:$E$1504,A813,Base_Itens!$I$5:$I$1504)</f>
        <v>1</v>
      </c>
      <c r="G813">
        <f t="shared" si="40"/>
        <v>0</v>
      </c>
      <c r="H813">
        <f>COUNTIF(Base_Itens!$E$5:$E$1504,A813)</f>
        <v>1</v>
      </c>
      <c r="I813" t="str">
        <f t="shared" si="39"/>
        <v>OK</v>
      </c>
      <c r="J813" t="str">
        <f>Base_Itens!E790</f>
        <v>2021-Q13-3</v>
      </c>
      <c r="K813" t="str">
        <f>Base_Itens!G790</f>
        <v>06 — IS-LM-BP</v>
      </c>
      <c r="L813">
        <f>COUNTIFS(Base_Itens!$E$5:$E$1504,J813,Base_Itens!$G$5:$G$1504,K813)</f>
        <v>1</v>
      </c>
    </row>
    <row r="814" spans="1:12">
      <c r="A814" t="s">
        <v>2955</v>
      </c>
      <c r="B814">
        <v>2022</v>
      </c>
      <c r="C814" t="s">
        <v>2153</v>
      </c>
      <c r="D814">
        <v>5</v>
      </c>
      <c r="E814">
        <v>1</v>
      </c>
      <c r="F814">
        <f>SUMIF(Base_Itens!$E$5:$E$1504,A814,Base_Itens!$I$5:$I$1504)</f>
        <v>5</v>
      </c>
      <c r="G814">
        <f t="shared" si="40"/>
        <v>0</v>
      </c>
      <c r="H814">
        <f>COUNTIF(Base_Itens!$E$5:$E$1504,A814)</f>
        <v>1</v>
      </c>
      <c r="I814" t="str">
        <f t="shared" si="39"/>
        <v>OK</v>
      </c>
      <c r="J814" t="str">
        <f>Base_Itens!E791</f>
        <v>2021-Q13-4</v>
      </c>
      <c r="K814" t="str">
        <f>Base_Itens!G791</f>
        <v>06 — IS-LM-BP</v>
      </c>
      <c r="L814">
        <f>COUNTIFS(Base_Itens!$E$5:$E$1504,J814,Base_Itens!$G$5:$G$1504,K814)</f>
        <v>1</v>
      </c>
    </row>
    <row r="815" spans="1:12">
      <c r="A815" t="s">
        <v>2956</v>
      </c>
      <c r="B815">
        <v>2022</v>
      </c>
      <c r="C815" t="s">
        <v>82</v>
      </c>
      <c r="D815">
        <v>1</v>
      </c>
      <c r="E815">
        <v>1</v>
      </c>
      <c r="F815">
        <f>SUMIF(Base_Itens!$E$5:$E$1504,A815,Base_Itens!$I$5:$I$1504)</f>
        <v>1</v>
      </c>
      <c r="G815">
        <f t="shared" si="40"/>
        <v>0</v>
      </c>
      <c r="H815">
        <f>COUNTIF(Base_Itens!$E$5:$E$1504,A815)</f>
        <v>1</v>
      </c>
      <c r="I815" t="str">
        <f t="shared" si="39"/>
        <v>OK</v>
      </c>
      <c r="J815" t="str">
        <f>Base_Itens!E792</f>
        <v>2021-Q14-ABERTA</v>
      </c>
      <c r="K815" t="str">
        <f>Base_Itens!G792</f>
        <v>07b — OA-DA</v>
      </c>
      <c r="L815">
        <f>COUNTIFS(Base_Itens!$E$5:$E$1504,J815,Base_Itens!$G$5:$G$1504,K815)</f>
        <v>1</v>
      </c>
    </row>
    <row r="816" spans="1:12">
      <c r="A816" t="s">
        <v>2957</v>
      </c>
      <c r="B816">
        <v>2022</v>
      </c>
      <c r="C816" t="s">
        <v>82</v>
      </c>
      <c r="D816">
        <v>1</v>
      </c>
      <c r="E816">
        <v>1</v>
      </c>
      <c r="F816">
        <f>SUMIF(Base_Itens!$E$5:$E$1504,A816,Base_Itens!$I$5:$I$1504)</f>
        <v>1</v>
      </c>
      <c r="G816">
        <f t="shared" si="40"/>
        <v>0</v>
      </c>
      <c r="H816">
        <f>COUNTIF(Base_Itens!$E$5:$E$1504,A816)</f>
        <v>1</v>
      </c>
      <c r="I816" t="str">
        <f t="shared" si="39"/>
        <v>OK</v>
      </c>
      <c r="J816" t="str">
        <f>Base_Itens!E793</f>
        <v>2021-Q15-ABERTA</v>
      </c>
      <c r="K816" t="str">
        <f>Base_Itens!G793</f>
        <v>11 — Crescimento Econômico</v>
      </c>
      <c r="L816">
        <f>COUNTIFS(Base_Itens!$E$5:$E$1504,J816,Base_Itens!$G$5:$G$1504,K816)</f>
        <v>1</v>
      </c>
    </row>
    <row r="817" spans="1:12">
      <c r="A817" t="s">
        <v>2958</v>
      </c>
      <c r="B817">
        <v>2022</v>
      </c>
      <c r="C817" t="s">
        <v>82</v>
      </c>
      <c r="D817">
        <v>1</v>
      </c>
      <c r="E817">
        <v>1</v>
      </c>
      <c r="F817">
        <f>SUMIF(Base_Itens!$E$5:$E$1504,A817,Base_Itens!$I$5:$I$1504)</f>
        <v>1</v>
      </c>
      <c r="G817">
        <f t="shared" si="40"/>
        <v>0</v>
      </c>
      <c r="H817">
        <f>COUNTIF(Base_Itens!$E$5:$E$1504,A817)</f>
        <v>1</v>
      </c>
      <c r="I817" t="str">
        <f t="shared" si="39"/>
        <v>OK</v>
      </c>
      <c r="J817" t="str">
        <f>Base_Itens!E794</f>
        <v>2022-Q1-0</v>
      </c>
      <c r="K817" t="str">
        <f>Base_Itens!G794</f>
        <v>02 — Balanço de Pagamentos</v>
      </c>
      <c r="L817">
        <f>COUNTIFS(Base_Itens!$E$5:$E$1504,J817,Base_Itens!$G$5:$G$1504,K817)</f>
        <v>1</v>
      </c>
    </row>
    <row r="818" spans="1:12">
      <c r="A818" t="s">
        <v>2959</v>
      </c>
      <c r="B818">
        <v>2022</v>
      </c>
      <c r="C818" t="s">
        <v>82</v>
      </c>
      <c r="D818">
        <v>1</v>
      </c>
      <c r="E818">
        <v>2</v>
      </c>
      <c r="F818">
        <f>SUMIF(Base_Itens!$E$5:$E$1504,A818,Base_Itens!$I$5:$I$1504)</f>
        <v>1</v>
      </c>
      <c r="G818">
        <f t="shared" si="40"/>
        <v>0</v>
      </c>
      <c r="H818">
        <f>COUNTIF(Base_Itens!$E$5:$E$1504,A818)</f>
        <v>2</v>
      </c>
      <c r="I818" t="str">
        <f t="shared" si="39"/>
        <v>OK</v>
      </c>
      <c r="J818" t="str">
        <f>Base_Itens!E795</f>
        <v>2022-Q1-1</v>
      </c>
      <c r="K818" t="str">
        <f>Base_Itens!G795</f>
        <v>02 — Balanço de Pagamentos</v>
      </c>
      <c r="L818">
        <f>COUNTIFS(Base_Itens!$E$5:$E$1504,J818,Base_Itens!$G$5:$G$1504,K818)</f>
        <v>1</v>
      </c>
    </row>
    <row r="819" spans="1:12">
      <c r="A819" t="s">
        <v>2960</v>
      </c>
      <c r="B819">
        <v>2022</v>
      </c>
      <c r="C819" t="s">
        <v>82</v>
      </c>
      <c r="D819">
        <v>1</v>
      </c>
      <c r="E819">
        <v>1</v>
      </c>
      <c r="F819">
        <f>SUMIF(Base_Itens!$E$5:$E$1504,A819,Base_Itens!$I$5:$I$1504)</f>
        <v>1</v>
      </c>
      <c r="G819">
        <f t="shared" si="40"/>
        <v>0</v>
      </c>
      <c r="H819">
        <f>COUNTIF(Base_Itens!$E$5:$E$1504,A819)</f>
        <v>1</v>
      </c>
      <c r="I819" t="str">
        <f t="shared" si="39"/>
        <v>OK</v>
      </c>
      <c r="J819" t="str">
        <f>Base_Itens!E796</f>
        <v>2022-Q1-2</v>
      </c>
      <c r="K819" t="str">
        <f>Base_Itens!G796</f>
        <v>02 — Balanço de Pagamentos</v>
      </c>
      <c r="L819">
        <f>COUNTIFS(Base_Itens!$E$5:$E$1504,J819,Base_Itens!$G$5:$G$1504,K819)</f>
        <v>1</v>
      </c>
    </row>
    <row r="820" spans="1:12">
      <c r="A820" t="s">
        <v>2961</v>
      </c>
      <c r="B820">
        <v>2022</v>
      </c>
      <c r="C820" t="s">
        <v>82</v>
      </c>
      <c r="D820">
        <v>1</v>
      </c>
      <c r="E820">
        <v>1</v>
      </c>
      <c r="F820">
        <f>SUMIF(Base_Itens!$E$5:$E$1504,A820,Base_Itens!$I$5:$I$1504)</f>
        <v>1</v>
      </c>
      <c r="G820">
        <f t="shared" si="40"/>
        <v>0</v>
      </c>
      <c r="H820">
        <f>COUNTIF(Base_Itens!$E$5:$E$1504,A820)</f>
        <v>1</v>
      </c>
      <c r="I820" t="str">
        <f t="shared" si="39"/>
        <v>OK</v>
      </c>
      <c r="J820" t="str">
        <f>Base_Itens!E797</f>
        <v>2022-Q1-3</v>
      </c>
      <c r="K820" t="str">
        <f>Base_Itens!G797</f>
        <v>01 — Contas Nacionais</v>
      </c>
      <c r="L820">
        <f>COUNTIFS(Base_Itens!$E$5:$E$1504,J820,Base_Itens!$G$5:$G$1504,K820)</f>
        <v>1</v>
      </c>
    </row>
    <row r="821" spans="1:12">
      <c r="A821" t="s">
        <v>2962</v>
      </c>
      <c r="B821">
        <v>2022</v>
      </c>
      <c r="C821" t="s">
        <v>82</v>
      </c>
      <c r="D821">
        <v>1</v>
      </c>
      <c r="E821">
        <v>1</v>
      </c>
      <c r="F821">
        <f>SUMIF(Base_Itens!$E$5:$E$1504,A821,Base_Itens!$I$5:$I$1504)</f>
        <v>1</v>
      </c>
      <c r="G821">
        <f t="shared" si="40"/>
        <v>0</v>
      </c>
      <c r="H821">
        <f>COUNTIF(Base_Itens!$E$5:$E$1504,A821)</f>
        <v>1</v>
      </c>
      <c r="I821" t="str">
        <f t="shared" si="39"/>
        <v>OK</v>
      </c>
      <c r="J821" t="str">
        <f>Base_Itens!E798</f>
        <v>2022-Q1-3</v>
      </c>
      <c r="K821" t="str">
        <f>Base_Itens!G798</f>
        <v>02 — Balanço de Pagamentos</v>
      </c>
      <c r="L821">
        <f>COUNTIFS(Base_Itens!$E$5:$E$1504,J821,Base_Itens!$G$5:$G$1504,K821)</f>
        <v>1</v>
      </c>
    </row>
    <row r="822" spans="1:12">
      <c r="A822" t="s">
        <v>2963</v>
      </c>
      <c r="B822">
        <v>2022</v>
      </c>
      <c r="C822" t="s">
        <v>82</v>
      </c>
      <c r="D822">
        <v>1</v>
      </c>
      <c r="E822">
        <v>1</v>
      </c>
      <c r="F822">
        <f>SUMIF(Base_Itens!$E$5:$E$1504,A822,Base_Itens!$I$5:$I$1504)</f>
        <v>1</v>
      </c>
      <c r="G822">
        <f t="shared" si="40"/>
        <v>0</v>
      </c>
      <c r="H822">
        <f>COUNTIF(Base_Itens!$E$5:$E$1504,A822)</f>
        <v>1</v>
      </c>
      <c r="I822" t="str">
        <f t="shared" si="39"/>
        <v>OK</v>
      </c>
      <c r="J822" t="str">
        <f>Base_Itens!E799</f>
        <v>2022-Q1-4</v>
      </c>
      <c r="K822" t="str">
        <f>Base_Itens!G799</f>
        <v>02 — Balanço de Pagamentos</v>
      </c>
      <c r="L822">
        <f>COUNTIFS(Base_Itens!$E$5:$E$1504,J822,Base_Itens!$G$5:$G$1504,K822)</f>
        <v>1</v>
      </c>
    </row>
    <row r="823" spans="1:12">
      <c r="A823" t="s">
        <v>2964</v>
      </c>
      <c r="B823">
        <v>2022</v>
      </c>
      <c r="C823" t="s">
        <v>82</v>
      </c>
      <c r="D823">
        <v>1</v>
      </c>
      <c r="E823">
        <v>1</v>
      </c>
      <c r="F823">
        <f>SUMIF(Base_Itens!$E$5:$E$1504,A823,Base_Itens!$I$5:$I$1504)</f>
        <v>1</v>
      </c>
      <c r="G823">
        <f t="shared" si="40"/>
        <v>0</v>
      </c>
      <c r="H823">
        <f>COUNTIF(Base_Itens!$E$5:$E$1504,A823)</f>
        <v>1</v>
      </c>
      <c r="I823" t="str">
        <f t="shared" si="39"/>
        <v>OK</v>
      </c>
      <c r="J823" t="str">
        <f>Base_Itens!E800</f>
        <v>2022-Q2-0</v>
      </c>
      <c r="K823" t="str">
        <f>Base_Itens!G800</f>
        <v>08 — Curva de Phillips</v>
      </c>
      <c r="L823">
        <f>COUNTIFS(Base_Itens!$E$5:$E$1504,J823,Base_Itens!$G$5:$G$1504,K823)</f>
        <v>1</v>
      </c>
    </row>
    <row r="824" spans="1:12">
      <c r="A824" t="s">
        <v>2965</v>
      </c>
      <c r="B824">
        <v>2022</v>
      </c>
      <c r="C824" t="s">
        <v>82</v>
      </c>
      <c r="D824">
        <v>1</v>
      </c>
      <c r="E824">
        <v>1</v>
      </c>
      <c r="F824">
        <f>SUMIF(Base_Itens!$E$5:$E$1504,A824,Base_Itens!$I$5:$I$1504)</f>
        <v>1</v>
      </c>
      <c r="G824">
        <f t="shared" si="40"/>
        <v>0</v>
      </c>
      <c r="H824">
        <f>COUNTIF(Base_Itens!$E$5:$E$1504,A824)</f>
        <v>1</v>
      </c>
      <c r="I824" t="str">
        <f t="shared" si="39"/>
        <v>OK</v>
      </c>
      <c r="J824" t="str">
        <f>Base_Itens!E801</f>
        <v>2022-Q2-1</v>
      </c>
      <c r="K824" t="str">
        <f>Base_Itens!G801</f>
        <v>08 — Curva de Phillips</v>
      </c>
      <c r="L824">
        <f>COUNTIFS(Base_Itens!$E$5:$E$1504,J824,Base_Itens!$G$5:$G$1504,K824)</f>
        <v>1</v>
      </c>
    </row>
    <row r="825" spans="1:12">
      <c r="A825" t="s">
        <v>2966</v>
      </c>
      <c r="B825">
        <v>2022</v>
      </c>
      <c r="C825" t="s">
        <v>82</v>
      </c>
      <c r="D825">
        <v>1</v>
      </c>
      <c r="E825">
        <v>1</v>
      </c>
      <c r="F825">
        <f>SUMIF(Base_Itens!$E$5:$E$1504,A825,Base_Itens!$I$5:$I$1504)</f>
        <v>1</v>
      </c>
      <c r="G825">
        <f t="shared" si="40"/>
        <v>0</v>
      </c>
      <c r="H825">
        <f>COUNTIF(Base_Itens!$E$5:$E$1504,A825)</f>
        <v>1</v>
      </c>
      <c r="I825" t="str">
        <f t="shared" si="39"/>
        <v>OK</v>
      </c>
      <c r="J825" t="str">
        <f>Base_Itens!E802</f>
        <v>2022-Q2-2</v>
      </c>
      <c r="K825" t="str">
        <f>Base_Itens!G802</f>
        <v>08 — Curva de Phillips</v>
      </c>
      <c r="L825">
        <f>COUNTIFS(Base_Itens!$E$5:$E$1504,J825,Base_Itens!$G$5:$G$1504,K825)</f>
        <v>1</v>
      </c>
    </row>
    <row r="826" spans="1:12">
      <c r="A826" t="s">
        <v>2967</v>
      </c>
      <c r="B826">
        <v>2022</v>
      </c>
      <c r="C826" t="s">
        <v>82</v>
      </c>
      <c r="D826">
        <v>1</v>
      </c>
      <c r="E826">
        <v>1</v>
      </c>
      <c r="F826">
        <f>SUMIF(Base_Itens!$E$5:$E$1504,A826,Base_Itens!$I$5:$I$1504)</f>
        <v>1</v>
      </c>
      <c r="G826">
        <f t="shared" si="40"/>
        <v>0</v>
      </c>
      <c r="H826">
        <f>COUNTIF(Base_Itens!$E$5:$E$1504,A826)</f>
        <v>1</v>
      </c>
      <c r="I826" t="str">
        <f t="shared" si="39"/>
        <v>OK</v>
      </c>
      <c r="J826" t="str">
        <f>Base_Itens!E803</f>
        <v>2022-Q2-3</v>
      </c>
      <c r="K826" t="str">
        <f>Base_Itens!G803</f>
        <v>12 — Consumo</v>
      </c>
      <c r="L826">
        <f>COUNTIFS(Base_Itens!$E$5:$E$1504,J826,Base_Itens!$G$5:$G$1504,K826)</f>
        <v>1</v>
      </c>
    </row>
    <row r="827" spans="1:12">
      <c r="A827" t="s">
        <v>2968</v>
      </c>
      <c r="B827">
        <v>2022</v>
      </c>
      <c r="C827" t="s">
        <v>82</v>
      </c>
      <c r="D827">
        <v>1</v>
      </c>
      <c r="E827">
        <v>1</v>
      </c>
      <c r="F827">
        <f>SUMIF(Base_Itens!$E$5:$E$1504,A827,Base_Itens!$I$5:$I$1504)</f>
        <v>1</v>
      </c>
      <c r="G827">
        <f t="shared" si="40"/>
        <v>0</v>
      </c>
      <c r="H827">
        <f>COUNTIF(Base_Itens!$E$5:$E$1504,A827)</f>
        <v>1</v>
      </c>
      <c r="I827" t="str">
        <f t="shared" si="39"/>
        <v>OK</v>
      </c>
      <c r="J827" t="str">
        <f>Base_Itens!E804</f>
        <v>2022-Q2-4</v>
      </c>
      <c r="K827" t="str">
        <f>Base_Itens!G804</f>
        <v>12 — Consumo</v>
      </c>
      <c r="L827">
        <f>COUNTIFS(Base_Itens!$E$5:$E$1504,J827,Base_Itens!$G$5:$G$1504,K827)</f>
        <v>1</v>
      </c>
    </row>
    <row r="828" spans="1:12">
      <c r="A828" t="s">
        <v>2969</v>
      </c>
      <c r="B828">
        <v>2022</v>
      </c>
      <c r="C828" t="s">
        <v>82</v>
      </c>
      <c r="D828">
        <v>1</v>
      </c>
      <c r="E828">
        <v>1</v>
      </c>
      <c r="F828">
        <f>SUMIF(Base_Itens!$E$5:$E$1504,A828,Base_Itens!$I$5:$I$1504)</f>
        <v>1</v>
      </c>
      <c r="G828">
        <f t="shared" si="40"/>
        <v>0</v>
      </c>
      <c r="H828">
        <f>COUNTIF(Base_Itens!$E$5:$E$1504,A828)</f>
        <v>1</v>
      </c>
      <c r="I828" t="str">
        <f t="shared" ref="I828:I891" si="41">IF(AND(G828=0,H828=E828),"OK","REVER")</f>
        <v>OK</v>
      </c>
      <c r="J828" t="str">
        <f>Base_Itens!E805</f>
        <v>2022-Q3-0</v>
      </c>
      <c r="K828" t="str">
        <f>Base_Itens!G805</f>
        <v>07a — Paridades</v>
      </c>
      <c r="L828">
        <f>COUNTIFS(Base_Itens!$E$5:$E$1504,J828,Base_Itens!$G$5:$G$1504,K828)</f>
        <v>1</v>
      </c>
    </row>
    <row r="829" spans="1:12">
      <c r="A829" t="s">
        <v>2970</v>
      </c>
      <c r="B829">
        <v>2022</v>
      </c>
      <c r="C829" t="s">
        <v>82</v>
      </c>
      <c r="D829">
        <v>1</v>
      </c>
      <c r="E829">
        <v>1</v>
      </c>
      <c r="F829">
        <f>SUMIF(Base_Itens!$E$5:$E$1504,A829,Base_Itens!$I$5:$I$1504)</f>
        <v>1</v>
      </c>
      <c r="G829">
        <f t="shared" si="40"/>
        <v>0</v>
      </c>
      <c r="H829">
        <f>COUNTIF(Base_Itens!$E$5:$E$1504,A829)</f>
        <v>1</v>
      </c>
      <c r="I829" t="str">
        <f t="shared" si="41"/>
        <v>OK</v>
      </c>
      <c r="J829" t="str">
        <f>Base_Itens!E806</f>
        <v>2022-Q3-1</v>
      </c>
      <c r="K829" t="str">
        <f>Base_Itens!G806</f>
        <v>06 — IS-LM-BP</v>
      </c>
      <c r="L829">
        <f>COUNTIFS(Base_Itens!$E$5:$E$1504,J829,Base_Itens!$G$5:$G$1504,K829)</f>
        <v>1</v>
      </c>
    </row>
    <row r="830" spans="1:12">
      <c r="A830" t="s">
        <v>2971</v>
      </c>
      <c r="B830">
        <v>2022</v>
      </c>
      <c r="C830" t="s">
        <v>82</v>
      </c>
      <c r="D830">
        <v>1</v>
      </c>
      <c r="E830">
        <v>1</v>
      </c>
      <c r="F830">
        <f>SUMIF(Base_Itens!$E$5:$E$1504,A830,Base_Itens!$I$5:$I$1504)</f>
        <v>1</v>
      </c>
      <c r="G830">
        <f t="shared" si="40"/>
        <v>0</v>
      </c>
      <c r="H830">
        <f>COUNTIF(Base_Itens!$E$5:$E$1504,A830)</f>
        <v>1</v>
      </c>
      <c r="I830" t="str">
        <f t="shared" si="41"/>
        <v>OK</v>
      </c>
      <c r="J830" t="str">
        <f>Base_Itens!E807</f>
        <v>2022-Q3-2</v>
      </c>
      <c r="K830" t="str">
        <f>Base_Itens!G807</f>
        <v>05 — IS-LM</v>
      </c>
      <c r="L830">
        <f>COUNTIFS(Base_Itens!$E$5:$E$1504,J830,Base_Itens!$G$5:$G$1504,K830)</f>
        <v>1</v>
      </c>
    </row>
    <row r="831" spans="1:12">
      <c r="A831" t="s">
        <v>2972</v>
      </c>
      <c r="B831">
        <v>2022</v>
      </c>
      <c r="C831" t="s">
        <v>82</v>
      </c>
      <c r="D831">
        <v>1</v>
      </c>
      <c r="E831">
        <v>1</v>
      </c>
      <c r="F831">
        <f>SUMIF(Base_Itens!$E$5:$E$1504,A831,Base_Itens!$I$5:$I$1504)</f>
        <v>1</v>
      </c>
      <c r="G831">
        <f t="shared" si="40"/>
        <v>0</v>
      </c>
      <c r="H831">
        <f>COUNTIF(Base_Itens!$E$5:$E$1504,A831)</f>
        <v>1</v>
      </c>
      <c r="I831" t="str">
        <f t="shared" si="41"/>
        <v>OK</v>
      </c>
      <c r="J831" t="str">
        <f>Base_Itens!E808</f>
        <v>2022-Q3-3</v>
      </c>
      <c r="K831" t="str">
        <f>Base_Itens!G808</f>
        <v>08 — Curva de Phillips</v>
      </c>
      <c r="L831">
        <f>COUNTIFS(Base_Itens!$E$5:$E$1504,J831,Base_Itens!$G$5:$G$1504,K831)</f>
        <v>1</v>
      </c>
    </row>
    <row r="832" spans="1:12">
      <c r="A832" t="s">
        <v>2973</v>
      </c>
      <c r="B832">
        <v>2022</v>
      </c>
      <c r="C832" t="s">
        <v>82</v>
      </c>
      <c r="D832">
        <v>1</v>
      </c>
      <c r="E832">
        <v>1</v>
      </c>
      <c r="F832">
        <f>SUMIF(Base_Itens!$E$5:$E$1504,A832,Base_Itens!$I$5:$I$1504)</f>
        <v>1</v>
      </c>
      <c r="G832">
        <f t="shared" si="40"/>
        <v>0</v>
      </c>
      <c r="H832">
        <f>COUNTIF(Base_Itens!$E$5:$E$1504,A832)</f>
        <v>1</v>
      </c>
      <c r="I832" t="str">
        <f t="shared" si="41"/>
        <v>OK</v>
      </c>
      <c r="J832" t="str">
        <f>Base_Itens!E809</f>
        <v>2022-Q3-4</v>
      </c>
      <c r="K832" t="str">
        <f>Base_Itens!G809</f>
        <v>06 — IS-LM-BP</v>
      </c>
      <c r="L832">
        <f>COUNTIFS(Base_Itens!$E$5:$E$1504,J832,Base_Itens!$G$5:$G$1504,K832)</f>
        <v>1</v>
      </c>
    </row>
    <row r="833" spans="1:12">
      <c r="A833" t="s">
        <v>2974</v>
      </c>
      <c r="B833">
        <v>2022</v>
      </c>
      <c r="C833" t="s">
        <v>82</v>
      </c>
      <c r="D833">
        <v>1</v>
      </c>
      <c r="E833">
        <v>1</v>
      </c>
      <c r="F833">
        <f>SUMIF(Base_Itens!$E$5:$E$1504,A833,Base_Itens!$I$5:$I$1504)</f>
        <v>1</v>
      </c>
      <c r="G833">
        <f t="shared" si="40"/>
        <v>0</v>
      </c>
      <c r="H833">
        <f>COUNTIF(Base_Itens!$E$5:$E$1504,A833)</f>
        <v>1</v>
      </c>
      <c r="I833" t="str">
        <f t="shared" si="41"/>
        <v>OK</v>
      </c>
      <c r="J833" t="str">
        <f>Base_Itens!E810</f>
        <v>2022-Q4-0</v>
      </c>
      <c r="K833" t="str">
        <f>Base_Itens!G810</f>
        <v>09 — Expectativas, Novos Clássicos e Novos Keynesianos</v>
      </c>
      <c r="L833">
        <f>COUNTIFS(Base_Itens!$E$5:$E$1504,J833,Base_Itens!$G$5:$G$1504,K833)</f>
        <v>1</v>
      </c>
    </row>
    <row r="834" spans="1:12">
      <c r="A834" t="s">
        <v>2975</v>
      </c>
      <c r="B834">
        <v>2022</v>
      </c>
      <c r="C834" t="s">
        <v>82</v>
      </c>
      <c r="D834">
        <v>1</v>
      </c>
      <c r="E834">
        <v>1</v>
      </c>
      <c r="F834">
        <f>SUMIF(Base_Itens!$E$5:$E$1504,A834,Base_Itens!$I$5:$I$1504)</f>
        <v>1</v>
      </c>
      <c r="G834">
        <f t="shared" si="40"/>
        <v>0</v>
      </c>
      <c r="H834">
        <f>COUNTIF(Base_Itens!$E$5:$E$1504,A834)</f>
        <v>1</v>
      </c>
      <c r="I834" t="str">
        <f t="shared" si="41"/>
        <v>OK</v>
      </c>
      <c r="J834" t="str">
        <f>Base_Itens!E811</f>
        <v>2022-Q4-1</v>
      </c>
      <c r="K834" t="str">
        <f>Base_Itens!G811</f>
        <v>09 — Expectativas, Novos Clássicos e Novos Keynesianos</v>
      </c>
      <c r="L834">
        <f>COUNTIFS(Base_Itens!$E$5:$E$1504,J834,Base_Itens!$G$5:$G$1504,K834)</f>
        <v>1</v>
      </c>
    </row>
    <row r="835" spans="1:12">
      <c r="A835" t="s">
        <v>2976</v>
      </c>
      <c r="B835">
        <v>2022</v>
      </c>
      <c r="C835" t="s">
        <v>82</v>
      </c>
      <c r="D835">
        <v>1</v>
      </c>
      <c r="E835">
        <v>1</v>
      </c>
      <c r="F835">
        <f>SUMIF(Base_Itens!$E$5:$E$1504,A835,Base_Itens!$I$5:$I$1504)</f>
        <v>1</v>
      </c>
      <c r="G835">
        <f t="shared" si="40"/>
        <v>0</v>
      </c>
      <c r="H835">
        <f>COUNTIF(Base_Itens!$E$5:$E$1504,A835)</f>
        <v>1</v>
      </c>
      <c r="I835" t="str">
        <f t="shared" si="41"/>
        <v>OK</v>
      </c>
      <c r="J835" t="str">
        <f>Base_Itens!E812</f>
        <v>2022-Q4-2</v>
      </c>
      <c r="K835" t="str">
        <f>Base_Itens!G812</f>
        <v>09 — Expectativas, Novos Clássicos e Novos Keynesianos</v>
      </c>
      <c r="L835">
        <f>COUNTIFS(Base_Itens!$E$5:$E$1504,J835,Base_Itens!$G$5:$G$1504,K835)</f>
        <v>1</v>
      </c>
    </row>
    <row r="836" spans="1:12">
      <c r="A836" t="s">
        <v>2977</v>
      </c>
      <c r="B836">
        <v>2022</v>
      </c>
      <c r="C836" t="s">
        <v>82</v>
      </c>
      <c r="D836">
        <v>1</v>
      </c>
      <c r="E836">
        <v>1</v>
      </c>
      <c r="F836">
        <f>SUMIF(Base_Itens!$E$5:$E$1504,A836,Base_Itens!$I$5:$I$1504)</f>
        <v>1</v>
      </c>
      <c r="G836">
        <f t="shared" si="40"/>
        <v>0</v>
      </c>
      <c r="H836">
        <f>COUNTIF(Base_Itens!$E$5:$E$1504,A836)</f>
        <v>1</v>
      </c>
      <c r="I836" t="str">
        <f t="shared" si="41"/>
        <v>OK</v>
      </c>
      <c r="J836" t="str">
        <f>Base_Itens!E813</f>
        <v>2022-Q4-3</v>
      </c>
      <c r="K836" t="str">
        <f>Base_Itens!G813</f>
        <v>07b — OA-DA</v>
      </c>
      <c r="L836">
        <f>COUNTIFS(Base_Itens!$E$5:$E$1504,J836,Base_Itens!$G$5:$G$1504,K836)</f>
        <v>1</v>
      </c>
    </row>
    <row r="837" spans="1:12">
      <c r="A837" t="s">
        <v>2978</v>
      </c>
      <c r="B837">
        <v>2022</v>
      </c>
      <c r="C837" t="s">
        <v>82</v>
      </c>
      <c r="D837">
        <v>1</v>
      </c>
      <c r="E837">
        <v>1</v>
      </c>
      <c r="F837">
        <f>SUMIF(Base_Itens!$E$5:$E$1504,A837,Base_Itens!$I$5:$I$1504)</f>
        <v>1</v>
      </c>
      <c r="G837">
        <f t="shared" si="40"/>
        <v>0</v>
      </c>
      <c r="H837">
        <f>COUNTIF(Base_Itens!$E$5:$E$1504,A837)</f>
        <v>1</v>
      </c>
      <c r="I837" t="str">
        <f t="shared" si="41"/>
        <v>OK</v>
      </c>
      <c r="J837" t="str">
        <f>Base_Itens!E814</f>
        <v>2022-Q4-4</v>
      </c>
      <c r="K837" t="str">
        <f>Base_Itens!G814</f>
        <v>09 — Expectativas, Novos Clássicos e Novos Keynesianos</v>
      </c>
      <c r="L837">
        <f>COUNTIFS(Base_Itens!$E$5:$E$1504,J837,Base_Itens!$G$5:$G$1504,K837)</f>
        <v>1</v>
      </c>
    </row>
    <row r="838" spans="1:12">
      <c r="A838" t="s">
        <v>2979</v>
      </c>
      <c r="B838">
        <v>2022</v>
      </c>
      <c r="C838" t="s">
        <v>82</v>
      </c>
      <c r="D838">
        <v>1</v>
      </c>
      <c r="E838">
        <v>1</v>
      </c>
      <c r="F838">
        <f>SUMIF(Base_Itens!$E$5:$E$1504,A838,Base_Itens!$I$5:$I$1504)</f>
        <v>1</v>
      </c>
      <c r="G838">
        <f t="shared" si="40"/>
        <v>0</v>
      </c>
      <c r="H838">
        <f>COUNTIF(Base_Itens!$E$5:$E$1504,A838)</f>
        <v>1</v>
      </c>
      <c r="I838" t="str">
        <f t="shared" si="41"/>
        <v>OK</v>
      </c>
      <c r="J838" t="str">
        <f>Base_Itens!E815</f>
        <v>2022-Q5-ABERTA</v>
      </c>
      <c r="K838" t="str">
        <f>Base_Itens!G815</f>
        <v>11 — Crescimento Econômico</v>
      </c>
      <c r="L838">
        <f>COUNTIFS(Base_Itens!$E$5:$E$1504,J838,Base_Itens!$G$5:$G$1504,K838)</f>
        <v>1</v>
      </c>
    </row>
    <row r="839" spans="1:12">
      <c r="A839" t="s">
        <v>2980</v>
      </c>
      <c r="B839">
        <v>2022</v>
      </c>
      <c r="C839" t="s">
        <v>82</v>
      </c>
      <c r="D839">
        <v>1</v>
      </c>
      <c r="E839">
        <v>1</v>
      </c>
      <c r="F839">
        <f>SUMIF(Base_Itens!$E$5:$E$1504,A839,Base_Itens!$I$5:$I$1504)</f>
        <v>1</v>
      </c>
      <c r="G839">
        <f t="shared" si="40"/>
        <v>0</v>
      </c>
      <c r="H839">
        <f>COUNTIF(Base_Itens!$E$5:$E$1504,A839)</f>
        <v>1</v>
      </c>
      <c r="I839" t="str">
        <f t="shared" si="41"/>
        <v>OK</v>
      </c>
      <c r="J839" t="str">
        <f>Base_Itens!E816</f>
        <v>2022-Q6-0</v>
      </c>
      <c r="K839" t="str">
        <f>Base_Itens!G816</f>
        <v>07a — Paridades</v>
      </c>
      <c r="L839">
        <f>COUNTIFS(Base_Itens!$E$5:$E$1504,J839,Base_Itens!$G$5:$G$1504,K839)</f>
        <v>1</v>
      </c>
    </row>
    <row r="840" spans="1:12">
      <c r="A840" t="s">
        <v>2981</v>
      </c>
      <c r="B840">
        <v>2022</v>
      </c>
      <c r="C840" t="s">
        <v>2153</v>
      </c>
      <c r="D840">
        <v>5</v>
      </c>
      <c r="E840">
        <v>1</v>
      </c>
      <c r="F840">
        <f>SUMIF(Base_Itens!$E$5:$E$1504,A840,Base_Itens!$I$5:$I$1504)</f>
        <v>5</v>
      </c>
      <c r="G840">
        <f t="shared" si="40"/>
        <v>0</v>
      </c>
      <c r="H840">
        <f>COUNTIF(Base_Itens!$E$5:$E$1504,A840)</f>
        <v>1</v>
      </c>
      <c r="I840" t="str">
        <f t="shared" si="41"/>
        <v>OK</v>
      </c>
      <c r="J840" t="str">
        <f>Base_Itens!E817</f>
        <v>2022-Q6-1</v>
      </c>
      <c r="K840" t="str">
        <f>Base_Itens!G817</f>
        <v>07a — Paridades</v>
      </c>
      <c r="L840">
        <f>COUNTIFS(Base_Itens!$E$5:$E$1504,J840,Base_Itens!$G$5:$G$1504,K840)</f>
        <v>1</v>
      </c>
    </row>
    <row r="841" spans="1:12">
      <c r="A841" t="s">
        <v>2982</v>
      </c>
      <c r="B841">
        <v>2022</v>
      </c>
      <c r="C841" t="s">
        <v>82</v>
      </c>
      <c r="D841">
        <v>1</v>
      </c>
      <c r="E841">
        <v>1</v>
      </c>
      <c r="F841">
        <f>SUMIF(Base_Itens!$E$5:$E$1504,A841,Base_Itens!$I$5:$I$1504)</f>
        <v>1</v>
      </c>
      <c r="G841">
        <f t="shared" si="40"/>
        <v>0</v>
      </c>
      <c r="H841">
        <f>COUNTIF(Base_Itens!$E$5:$E$1504,A841)</f>
        <v>1</v>
      </c>
      <c r="I841" t="str">
        <f t="shared" si="41"/>
        <v>OK</v>
      </c>
      <c r="J841" t="str">
        <f>Base_Itens!E818</f>
        <v>2022-Q6-2</v>
      </c>
      <c r="K841" t="str">
        <f>Base_Itens!G818</f>
        <v>07a — Paridades</v>
      </c>
      <c r="L841">
        <f>COUNTIFS(Base_Itens!$E$5:$E$1504,J841,Base_Itens!$G$5:$G$1504,K841)</f>
        <v>1</v>
      </c>
    </row>
    <row r="842" spans="1:12">
      <c r="A842" t="s">
        <v>2983</v>
      </c>
      <c r="B842">
        <v>2022</v>
      </c>
      <c r="C842" t="s">
        <v>82</v>
      </c>
      <c r="D842">
        <v>1</v>
      </c>
      <c r="E842">
        <v>1</v>
      </c>
      <c r="F842">
        <f>SUMIF(Base_Itens!$E$5:$E$1504,A842,Base_Itens!$I$5:$I$1504)</f>
        <v>1</v>
      </c>
      <c r="G842">
        <f t="shared" si="40"/>
        <v>0</v>
      </c>
      <c r="H842">
        <f>COUNTIF(Base_Itens!$E$5:$E$1504,A842)</f>
        <v>1</v>
      </c>
      <c r="I842" t="str">
        <f t="shared" si="41"/>
        <v>OK</v>
      </c>
      <c r="J842" t="str">
        <f>Base_Itens!E819</f>
        <v>2022-Q6-3</v>
      </c>
      <c r="K842" t="str">
        <f>Base_Itens!G819</f>
        <v>07a — Paridades</v>
      </c>
      <c r="L842">
        <f>COUNTIFS(Base_Itens!$E$5:$E$1504,J842,Base_Itens!$G$5:$G$1504,K842)</f>
        <v>1</v>
      </c>
    </row>
    <row r="843" spans="1:12">
      <c r="A843" t="s">
        <v>2984</v>
      </c>
      <c r="B843">
        <v>2022</v>
      </c>
      <c r="C843" t="s">
        <v>82</v>
      </c>
      <c r="D843">
        <v>1</v>
      </c>
      <c r="E843">
        <v>1</v>
      </c>
      <c r="F843">
        <f>SUMIF(Base_Itens!$E$5:$E$1504,A843,Base_Itens!$I$5:$I$1504)</f>
        <v>1</v>
      </c>
      <c r="G843">
        <f t="shared" si="40"/>
        <v>0</v>
      </c>
      <c r="H843">
        <f>COUNTIF(Base_Itens!$E$5:$E$1504,A843)</f>
        <v>1</v>
      </c>
      <c r="I843" t="str">
        <f t="shared" si="41"/>
        <v>OK</v>
      </c>
      <c r="J843" t="str">
        <f>Base_Itens!E820</f>
        <v>2022-Q6-4</v>
      </c>
      <c r="K843" t="str">
        <f>Base_Itens!G820</f>
        <v>07a — Paridades</v>
      </c>
      <c r="L843">
        <f>COUNTIFS(Base_Itens!$E$5:$E$1504,J843,Base_Itens!$G$5:$G$1504,K843)</f>
        <v>1</v>
      </c>
    </row>
    <row r="844" spans="1:12">
      <c r="A844" t="s">
        <v>2985</v>
      </c>
      <c r="B844">
        <v>2022</v>
      </c>
      <c r="C844" t="s">
        <v>82</v>
      </c>
      <c r="D844">
        <v>1</v>
      </c>
      <c r="E844">
        <v>1</v>
      </c>
      <c r="F844">
        <f>SUMIF(Base_Itens!$E$5:$E$1504,A844,Base_Itens!$I$5:$I$1504)</f>
        <v>1</v>
      </c>
      <c r="G844">
        <f t="shared" si="40"/>
        <v>0</v>
      </c>
      <c r="H844">
        <f>COUNTIF(Base_Itens!$E$5:$E$1504,A844)</f>
        <v>1</v>
      </c>
      <c r="I844" t="str">
        <f t="shared" si="41"/>
        <v>OK</v>
      </c>
      <c r="J844" t="str">
        <f>Base_Itens!E821</f>
        <v>2022-Q7-ABERTA</v>
      </c>
      <c r="K844" t="str">
        <f>Base_Itens!G821</f>
        <v>12 — Consumo</v>
      </c>
      <c r="L844">
        <f>COUNTIFS(Base_Itens!$E$5:$E$1504,J844,Base_Itens!$G$5:$G$1504,K844)</f>
        <v>1</v>
      </c>
    </row>
    <row r="845" spans="1:12">
      <c r="A845" t="s">
        <v>2986</v>
      </c>
      <c r="B845">
        <v>2022</v>
      </c>
      <c r="C845" t="s">
        <v>82</v>
      </c>
      <c r="D845">
        <v>1</v>
      </c>
      <c r="E845">
        <v>1</v>
      </c>
      <c r="F845">
        <f>SUMIF(Base_Itens!$E$5:$E$1504,A845,Base_Itens!$I$5:$I$1504)</f>
        <v>1</v>
      </c>
      <c r="G845">
        <f t="shared" si="40"/>
        <v>0</v>
      </c>
      <c r="H845">
        <f>COUNTIF(Base_Itens!$E$5:$E$1504,A845)</f>
        <v>1</v>
      </c>
      <c r="I845" t="str">
        <f t="shared" si="41"/>
        <v>OK</v>
      </c>
      <c r="J845" t="str">
        <f>Base_Itens!E822</f>
        <v>2022-Q8-0</v>
      </c>
      <c r="K845" t="str">
        <f>Base_Itens!G822</f>
        <v>07b — OA-DA</v>
      </c>
      <c r="L845">
        <f>COUNTIFS(Base_Itens!$E$5:$E$1504,J845,Base_Itens!$G$5:$G$1504,K845)</f>
        <v>1</v>
      </c>
    </row>
    <row r="846" spans="1:12">
      <c r="A846" t="s">
        <v>2987</v>
      </c>
      <c r="B846">
        <v>2022</v>
      </c>
      <c r="C846" t="s">
        <v>2153</v>
      </c>
      <c r="D846">
        <v>5</v>
      </c>
      <c r="E846">
        <v>1</v>
      </c>
      <c r="F846">
        <f>SUMIF(Base_Itens!$E$5:$E$1504,A846,Base_Itens!$I$5:$I$1504)</f>
        <v>5</v>
      </c>
      <c r="G846">
        <f t="shared" si="40"/>
        <v>0</v>
      </c>
      <c r="H846">
        <f>COUNTIF(Base_Itens!$E$5:$E$1504,A846)</f>
        <v>1</v>
      </c>
      <c r="I846" t="str">
        <f t="shared" si="41"/>
        <v>OK</v>
      </c>
      <c r="J846" t="str">
        <f>Base_Itens!E823</f>
        <v>2022-Q8-1</v>
      </c>
      <c r="K846" t="str">
        <f>Base_Itens!G823</f>
        <v>07b — OA-DA</v>
      </c>
      <c r="L846">
        <f>COUNTIFS(Base_Itens!$E$5:$E$1504,J846,Base_Itens!$G$5:$G$1504,K846)</f>
        <v>1</v>
      </c>
    </row>
    <row r="847" spans="1:12">
      <c r="A847" t="s">
        <v>2988</v>
      </c>
      <c r="B847">
        <v>2023</v>
      </c>
      <c r="C847" t="s">
        <v>82</v>
      </c>
      <c r="D847">
        <v>1</v>
      </c>
      <c r="E847">
        <v>1</v>
      </c>
      <c r="F847">
        <f>SUMIF(Base_Itens!$E$5:$E$1504,A847,Base_Itens!$I$5:$I$1504)</f>
        <v>1</v>
      </c>
      <c r="G847">
        <f t="shared" si="40"/>
        <v>0</v>
      </c>
      <c r="H847">
        <f>COUNTIF(Base_Itens!$E$5:$E$1504,A847)</f>
        <v>1</v>
      </c>
      <c r="I847" t="str">
        <f t="shared" si="41"/>
        <v>OK</v>
      </c>
      <c r="J847" t="str">
        <f>Base_Itens!E824</f>
        <v>2022-Q8-2</v>
      </c>
      <c r="K847" t="str">
        <f>Base_Itens!G824</f>
        <v>09 — Expectativas, Novos Clássicos e Novos Keynesianos</v>
      </c>
      <c r="L847">
        <f>COUNTIFS(Base_Itens!$E$5:$E$1504,J847,Base_Itens!$G$5:$G$1504,K847)</f>
        <v>1</v>
      </c>
    </row>
    <row r="848" spans="1:12">
      <c r="A848" t="s">
        <v>2989</v>
      </c>
      <c r="B848">
        <v>2023</v>
      </c>
      <c r="C848" t="s">
        <v>82</v>
      </c>
      <c r="D848">
        <v>1</v>
      </c>
      <c r="E848">
        <v>1</v>
      </c>
      <c r="F848">
        <f>SUMIF(Base_Itens!$E$5:$E$1504,A848,Base_Itens!$I$5:$I$1504)</f>
        <v>1</v>
      </c>
      <c r="G848">
        <f t="shared" si="40"/>
        <v>0</v>
      </c>
      <c r="H848">
        <f>COUNTIF(Base_Itens!$E$5:$E$1504,A848)</f>
        <v>1</v>
      </c>
      <c r="I848" t="str">
        <f t="shared" si="41"/>
        <v>OK</v>
      </c>
      <c r="J848" t="str">
        <f>Base_Itens!E825</f>
        <v>2022-Q8-3</v>
      </c>
      <c r="K848" t="str">
        <f>Base_Itens!G825</f>
        <v>09 — Expectativas, Novos Clássicos e Novos Keynesianos</v>
      </c>
      <c r="L848">
        <f>COUNTIFS(Base_Itens!$E$5:$E$1504,J848,Base_Itens!$G$5:$G$1504,K848)</f>
        <v>1</v>
      </c>
    </row>
    <row r="849" spans="1:12">
      <c r="A849" t="s">
        <v>2990</v>
      </c>
      <c r="B849">
        <v>2023</v>
      </c>
      <c r="C849" t="s">
        <v>82</v>
      </c>
      <c r="D849">
        <v>1</v>
      </c>
      <c r="E849">
        <v>1</v>
      </c>
      <c r="F849">
        <f>SUMIF(Base_Itens!$E$5:$E$1504,A849,Base_Itens!$I$5:$I$1504)</f>
        <v>1</v>
      </c>
      <c r="G849">
        <f t="shared" si="40"/>
        <v>0</v>
      </c>
      <c r="H849">
        <f>COUNTIF(Base_Itens!$E$5:$E$1504,A849)</f>
        <v>1</v>
      </c>
      <c r="I849" t="str">
        <f t="shared" si="41"/>
        <v>OK</v>
      </c>
      <c r="J849" t="str">
        <f>Base_Itens!E826</f>
        <v>2022-Q8-3</v>
      </c>
      <c r="K849" t="str">
        <f>Base_Itens!G826</f>
        <v>10 — Ciclos Reais de Negócios (RBC)</v>
      </c>
      <c r="L849">
        <f>COUNTIFS(Base_Itens!$E$5:$E$1504,J849,Base_Itens!$G$5:$G$1504,K849)</f>
        <v>1</v>
      </c>
    </row>
    <row r="850" spans="1:12">
      <c r="A850" t="s">
        <v>2991</v>
      </c>
      <c r="B850">
        <v>2023</v>
      </c>
      <c r="C850" t="s">
        <v>82</v>
      </c>
      <c r="D850">
        <v>1</v>
      </c>
      <c r="E850">
        <v>1</v>
      </c>
      <c r="F850">
        <f>SUMIF(Base_Itens!$E$5:$E$1504,A850,Base_Itens!$I$5:$I$1504)</f>
        <v>1</v>
      </c>
      <c r="G850">
        <f t="shared" si="40"/>
        <v>0</v>
      </c>
      <c r="H850">
        <f>COUNTIF(Base_Itens!$E$5:$E$1504,A850)</f>
        <v>1</v>
      </c>
      <c r="I850" t="str">
        <f t="shared" si="41"/>
        <v>OK</v>
      </c>
      <c r="J850" t="str">
        <f>Base_Itens!E827</f>
        <v>2022-Q8-4</v>
      </c>
      <c r="K850" t="str">
        <f>Base_Itens!G827</f>
        <v>10 — Ciclos Reais de Negócios (RBC)</v>
      </c>
      <c r="L850">
        <f>COUNTIFS(Base_Itens!$E$5:$E$1504,J850,Base_Itens!$G$5:$G$1504,K850)</f>
        <v>1</v>
      </c>
    </row>
    <row r="851" spans="1:12">
      <c r="A851" t="s">
        <v>2992</v>
      </c>
      <c r="B851">
        <v>2023</v>
      </c>
      <c r="C851" t="s">
        <v>82</v>
      </c>
      <c r="D851">
        <v>1</v>
      </c>
      <c r="E851">
        <v>1</v>
      </c>
      <c r="F851">
        <f>SUMIF(Base_Itens!$E$5:$E$1504,A851,Base_Itens!$I$5:$I$1504)</f>
        <v>1</v>
      </c>
      <c r="G851">
        <f t="shared" si="40"/>
        <v>0</v>
      </c>
      <c r="H851">
        <f>COUNTIF(Base_Itens!$E$5:$E$1504,A851)</f>
        <v>1</v>
      </c>
      <c r="I851" t="str">
        <f t="shared" si="41"/>
        <v>OK</v>
      </c>
      <c r="J851" t="str">
        <f>Base_Itens!E828</f>
        <v>2022-Q9-0</v>
      </c>
      <c r="K851" t="str">
        <f>Base_Itens!G828</f>
        <v>12 — Consumo</v>
      </c>
      <c r="L851">
        <f>COUNTIFS(Base_Itens!$E$5:$E$1504,J851,Base_Itens!$G$5:$G$1504,K851)</f>
        <v>1</v>
      </c>
    </row>
    <row r="852" spans="1:12">
      <c r="A852" t="s">
        <v>2993</v>
      </c>
      <c r="B852">
        <v>2023</v>
      </c>
      <c r="C852" t="s">
        <v>2153</v>
      </c>
      <c r="D852">
        <v>5</v>
      </c>
      <c r="E852">
        <v>1</v>
      </c>
      <c r="F852">
        <f>SUMIF(Base_Itens!$E$5:$E$1504,A852,Base_Itens!$I$5:$I$1504)</f>
        <v>5</v>
      </c>
      <c r="G852">
        <f t="shared" si="40"/>
        <v>0</v>
      </c>
      <c r="H852">
        <f>COUNTIF(Base_Itens!$E$5:$E$1504,A852)</f>
        <v>1</v>
      </c>
      <c r="I852" t="str">
        <f t="shared" si="41"/>
        <v>OK</v>
      </c>
      <c r="J852" t="str">
        <f>Base_Itens!E829</f>
        <v>2022-Q9-1</v>
      </c>
      <c r="K852" t="str">
        <f>Base_Itens!G829</f>
        <v>12 — Consumo</v>
      </c>
      <c r="L852">
        <f>COUNTIFS(Base_Itens!$E$5:$E$1504,J852,Base_Itens!$G$5:$G$1504,K852)</f>
        <v>1</v>
      </c>
    </row>
    <row r="853" spans="1:12">
      <c r="A853" t="s">
        <v>2994</v>
      </c>
      <c r="B853">
        <v>2023</v>
      </c>
      <c r="C853" t="s">
        <v>2153</v>
      </c>
      <c r="D853">
        <v>5</v>
      </c>
      <c r="E853">
        <v>1</v>
      </c>
      <c r="F853">
        <f>SUMIF(Base_Itens!$E$5:$E$1504,A853,Base_Itens!$I$5:$I$1504)</f>
        <v>5</v>
      </c>
      <c r="G853">
        <f t="shared" si="40"/>
        <v>0</v>
      </c>
      <c r="H853">
        <f>COUNTIF(Base_Itens!$E$5:$E$1504,A853)</f>
        <v>1</v>
      </c>
      <c r="I853" t="str">
        <f t="shared" si="41"/>
        <v>OK</v>
      </c>
      <c r="J853" t="str">
        <f>Base_Itens!E830</f>
        <v>2022-Q9-2</v>
      </c>
      <c r="K853" t="str">
        <f>Base_Itens!G830</f>
        <v>12 — Consumo</v>
      </c>
      <c r="L853">
        <f>COUNTIFS(Base_Itens!$E$5:$E$1504,J853,Base_Itens!$G$5:$G$1504,K853)</f>
        <v>1</v>
      </c>
    </row>
    <row r="854" spans="1:12">
      <c r="A854" t="s">
        <v>2995</v>
      </c>
      <c r="B854">
        <v>2023</v>
      </c>
      <c r="C854" t="s">
        <v>82</v>
      </c>
      <c r="D854">
        <v>1</v>
      </c>
      <c r="E854">
        <v>1</v>
      </c>
      <c r="F854">
        <f>SUMIF(Base_Itens!$E$5:$E$1504,A854,Base_Itens!$I$5:$I$1504)</f>
        <v>1</v>
      </c>
      <c r="G854">
        <f t="shared" si="40"/>
        <v>0</v>
      </c>
      <c r="H854">
        <f>COUNTIF(Base_Itens!$E$5:$E$1504,A854)</f>
        <v>1</v>
      </c>
      <c r="I854" t="str">
        <f t="shared" si="41"/>
        <v>OK</v>
      </c>
      <c r="J854" t="str">
        <f>Base_Itens!E831</f>
        <v>2022-Q9-3</v>
      </c>
      <c r="K854" t="str">
        <f>Base_Itens!G831</f>
        <v>12 — Consumo</v>
      </c>
      <c r="L854">
        <f>COUNTIFS(Base_Itens!$E$5:$E$1504,J854,Base_Itens!$G$5:$G$1504,K854)</f>
        <v>1</v>
      </c>
    </row>
    <row r="855" spans="1:12">
      <c r="A855" t="s">
        <v>2996</v>
      </c>
      <c r="B855">
        <v>2023</v>
      </c>
      <c r="C855" t="s">
        <v>82</v>
      </c>
      <c r="D855">
        <v>1</v>
      </c>
      <c r="E855">
        <v>1</v>
      </c>
      <c r="F855">
        <f>SUMIF(Base_Itens!$E$5:$E$1504,A855,Base_Itens!$I$5:$I$1504)</f>
        <v>1</v>
      </c>
      <c r="G855">
        <f t="shared" si="40"/>
        <v>0</v>
      </c>
      <c r="H855">
        <f>COUNTIF(Base_Itens!$E$5:$E$1504,A855)</f>
        <v>1</v>
      </c>
      <c r="I855" t="str">
        <f t="shared" si="41"/>
        <v>OK</v>
      </c>
      <c r="J855" t="str">
        <f>Base_Itens!E832</f>
        <v>2022-Q9-4</v>
      </c>
      <c r="K855" t="str">
        <f>Base_Itens!G832</f>
        <v>12 — Consumo</v>
      </c>
      <c r="L855">
        <f>COUNTIFS(Base_Itens!$E$5:$E$1504,J855,Base_Itens!$G$5:$G$1504,K855)</f>
        <v>1</v>
      </c>
    </row>
    <row r="856" spans="1:12">
      <c r="A856" t="s">
        <v>2997</v>
      </c>
      <c r="B856">
        <v>2023</v>
      </c>
      <c r="C856" t="s">
        <v>82</v>
      </c>
      <c r="D856">
        <v>1</v>
      </c>
      <c r="E856">
        <v>1</v>
      </c>
      <c r="F856">
        <f>SUMIF(Base_Itens!$E$5:$E$1504,A856,Base_Itens!$I$5:$I$1504)</f>
        <v>1</v>
      </c>
      <c r="G856">
        <f t="shared" si="40"/>
        <v>0</v>
      </c>
      <c r="H856">
        <f>COUNTIF(Base_Itens!$E$5:$E$1504,A856)</f>
        <v>1</v>
      </c>
      <c r="I856" t="str">
        <f t="shared" si="41"/>
        <v>OK</v>
      </c>
      <c r="J856" t="str">
        <f>Base_Itens!E833</f>
        <v>2022-Q10-0</v>
      </c>
      <c r="K856" t="str">
        <f>Base_Itens!G833</f>
        <v>07a — Paridades</v>
      </c>
      <c r="L856">
        <f>COUNTIFS(Base_Itens!$E$5:$E$1504,J856,Base_Itens!$G$5:$G$1504,K856)</f>
        <v>1</v>
      </c>
    </row>
    <row r="857" spans="1:12">
      <c r="A857" t="s">
        <v>2998</v>
      </c>
      <c r="B857">
        <v>2023</v>
      </c>
      <c r="C857" t="s">
        <v>82</v>
      </c>
      <c r="D857">
        <v>1</v>
      </c>
      <c r="E857">
        <v>1</v>
      </c>
      <c r="F857">
        <f>SUMIF(Base_Itens!$E$5:$E$1504,A857,Base_Itens!$I$5:$I$1504)</f>
        <v>1</v>
      </c>
      <c r="G857">
        <f t="shared" si="40"/>
        <v>0</v>
      </c>
      <c r="H857">
        <f>COUNTIF(Base_Itens!$E$5:$E$1504,A857)</f>
        <v>1</v>
      </c>
      <c r="I857" t="str">
        <f t="shared" si="41"/>
        <v>OK</v>
      </c>
      <c r="J857" t="str">
        <f>Base_Itens!E834</f>
        <v>2022-Q10-1</v>
      </c>
      <c r="K857" t="str">
        <f>Base_Itens!G834</f>
        <v>07a — Paridades</v>
      </c>
      <c r="L857">
        <f>COUNTIFS(Base_Itens!$E$5:$E$1504,J857,Base_Itens!$G$5:$G$1504,K857)</f>
        <v>1</v>
      </c>
    </row>
    <row r="858" spans="1:12">
      <c r="A858" t="s">
        <v>2999</v>
      </c>
      <c r="B858">
        <v>2023</v>
      </c>
      <c r="C858" t="s">
        <v>82</v>
      </c>
      <c r="D858">
        <v>1</v>
      </c>
      <c r="E858">
        <v>1</v>
      </c>
      <c r="F858">
        <f>SUMIF(Base_Itens!$E$5:$E$1504,A858,Base_Itens!$I$5:$I$1504)</f>
        <v>1</v>
      </c>
      <c r="G858">
        <f t="shared" si="40"/>
        <v>0</v>
      </c>
      <c r="H858">
        <f>COUNTIF(Base_Itens!$E$5:$E$1504,A858)</f>
        <v>1</v>
      </c>
      <c r="I858" t="str">
        <f t="shared" si="41"/>
        <v>OK</v>
      </c>
      <c r="J858" t="str">
        <f>Base_Itens!E835</f>
        <v>2022-Q10-2</v>
      </c>
      <c r="K858" t="str">
        <f>Base_Itens!G835</f>
        <v>06 — IS-LM-BP</v>
      </c>
      <c r="L858">
        <f>COUNTIFS(Base_Itens!$E$5:$E$1504,J858,Base_Itens!$G$5:$G$1504,K858)</f>
        <v>1</v>
      </c>
    </row>
    <row r="859" spans="1:12">
      <c r="A859" t="s">
        <v>3000</v>
      </c>
      <c r="B859">
        <v>2023</v>
      </c>
      <c r="C859" t="s">
        <v>2153</v>
      </c>
      <c r="D859">
        <v>5</v>
      </c>
      <c r="E859">
        <v>1</v>
      </c>
      <c r="F859">
        <f>SUMIF(Base_Itens!$E$5:$E$1504,A859,Base_Itens!$I$5:$I$1504)</f>
        <v>5</v>
      </c>
      <c r="G859">
        <f t="shared" si="40"/>
        <v>0</v>
      </c>
      <c r="H859">
        <f>COUNTIF(Base_Itens!$E$5:$E$1504,A859)</f>
        <v>1</v>
      </c>
      <c r="I859" t="str">
        <f t="shared" si="41"/>
        <v>OK</v>
      </c>
      <c r="J859" t="str">
        <f>Base_Itens!E836</f>
        <v>2022-Q10-3</v>
      </c>
      <c r="K859" t="str">
        <f>Base_Itens!G836</f>
        <v>07a — Paridades</v>
      </c>
      <c r="L859">
        <f>COUNTIFS(Base_Itens!$E$5:$E$1504,J859,Base_Itens!$G$5:$G$1504,K859)</f>
        <v>1</v>
      </c>
    </row>
    <row r="860" spans="1:12">
      <c r="A860" t="s">
        <v>3001</v>
      </c>
      <c r="B860">
        <v>2023</v>
      </c>
      <c r="C860" t="s">
        <v>82</v>
      </c>
      <c r="D860">
        <v>1</v>
      </c>
      <c r="E860">
        <v>1</v>
      </c>
      <c r="F860">
        <f>SUMIF(Base_Itens!$E$5:$E$1504,A860,Base_Itens!$I$5:$I$1504)</f>
        <v>1</v>
      </c>
      <c r="G860">
        <f t="shared" ref="G860:G923" si="42">F860-D860</f>
        <v>0</v>
      </c>
      <c r="H860">
        <f>COUNTIF(Base_Itens!$E$5:$E$1504,A860)</f>
        <v>1</v>
      </c>
      <c r="I860" t="str">
        <f t="shared" si="41"/>
        <v>OK</v>
      </c>
      <c r="J860" t="str">
        <f>Base_Itens!E837</f>
        <v>2022-Q10-4</v>
      </c>
      <c r="K860" t="str">
        <f>Base_Itens!G837</f>
        <v>07a — Paridades</v>
      </c>
      <c r="L860">
        <f>COUNTIFS(Base_Itens!$E$5:$E$1504,J860,Base_Itens!$G$5:$G$1504,K860)</f>
        <v>1</v>
      </c>
    </row>
    <row r="861" spans="1:12">
      <c r="A861" t="s">
        <v>3002</v>
      </c>
      <c r="B861">
        <v>2023</v>
      </c>
      <c r="C861" t="s">
        <v>82</v>
      </c>
      <c r="D861">
        <v>1</v>
      </c>
      <c r="E861">
        <v>1</v>
      </c>
      <c r="F861">
        <f>SUMIF(Base_Itens!$E$5:$E$1504,A861,Base_Itens!$I$5:$I$1504)</f>
        <v>1</v>
      </c>
      <c r="G861">
        <f t="shared" si="42"/>
        <v>0</v>
      </c>
      <c r="H861">
        <f>COUNTIF(Base_Itens!$E$5:$E$1504,A861)</f>
        <v>1</v>
      </c>
      <c r="I861" t="str">
        <f t="shared" si="41"/>
        <v>OK</v>
      </c>
      <c r="J861" t="str">
        <f>Base_Itens!E838</f>
        <v>2022-Q11-0</v>
      </c>
      <c r="K861" t="str">
        <f>Base_Itens!G838</f>
        <v>06 — IS-LM-BP</v>
      </c>
      <c r="L861">
        <f>COUNTIFS(Base_Itens!$E$5:$E$1504,J861,Base_Itens!$G$5:$G$1504,K861)</f>
        <v>1</v>
      </c>
    </row>
    <row r="862" spans="1:12">
      <c r="A862" t="s">
        <v>3003</v>
      </c>
      <c r="B862">
        <v>2023</v>
      </c>
      <c r="C862" t="s">
        <v>82</v>
      </c>
      <c r="D862">
        <v>1</v>
      </c>
      <c r="E862">
        <v>1</v>
      </c>
      <c r="F862">
        <f>SUMIF(Base_Itens!$E$5:$E$1504,A862,Base_Itens!$I$5:$I$1504)</f>
        <v>1</v>
      </c>
      <c r="G862">
        <f t="shared" si="42"/>
        <v>0</v>
      </c>
      <c r="H862">
        <f>COUNTIF(Base_Itens!$E$5:$E$1504,A862)</f>
        <v>1</v>
      </c>
      <c r="I862" t="str">
        <f t="shared" si="41"/>
        <v>OK</v>
      </c>
      <c r="J862" t="str">
        <f>Base_Itens!E839</f>
        <v>2022-Q11-1</v>
      </c>
      <c r="K862" t="str">
        <f>Base_Itens!G839</f>
        <v>06 — IS-LM-BP</v>
      </c>
      <c r="L862">
        <f>COUNTIFS(Base_Itens!$E$5:$E$1504,J862,Base_Itens!$G$5:$G$1504,K862)</f>
        <v>1</v>
      </c>
    </row>
    <row r="863" spans="1:12">
      <c r="A863" t="s">
        <v>3004</v>
      </c>
      <c r="B863">
        <v>2023</v>
      </c>
      <c r="C863" t="s">
        <v>82</v>
      </c>
      <c r="D863">
        <v>1</v>
      </c>
      <c r="E863">
        <v>1</v>
      </c>
      <c r="F863">
        <f>SUMIF(Base_Itens!$E$5:$E$1504,A863,Base_Itens!$I$5:$I$1504)</f>
        <v>1</v>
      </c>
      <c r="G863">
        <f t="shared" si="42"/>
        <v>0</v>
      </c>
      <c r="H863">
        <f>COUNTIF(Base_Itens!$E$5:$E$1504,A863)</f>
        <v>1</v>
      </c>
      <c r="I863" t="str">
        <f t="shared" si="41"/>
        <v>OK</v>
      </c>
      <c r="J863" t="str">
        <f>Base_Itens!E840</f>
        <v>2022-Q11-2</v>
      </c>
      <c r="K863" t="str">
        <f>Base_Itens!G840</f>
        <v>06 — IS-LM-BP</v>
      </c>
      <c r="L863">
        <f>COUNTIFS(Base_Itens!$E$5:$E$1504,J863,Base_Itens!$G$5:$G$1504,K863)</f>
        <v>1</v>
      </c>
    </row>
    <row r="864" spans="1:12">
      <c r="A864" t="s">
        <v>3005</v>
      </c>
      <c r="B864">
        <v>2023</v>
      </c>
      <c r="C864" t="s">
        <v>82</v>
      </c>
      <c r="D864">
        <v>1</v>
      </c>
      <c r="E864">
        <v>1</v>
      </c>
      <c r="F864">
        <f>SUMIF(Base_Itens!$E$5:$E$1504,A864,Base_Itens!$I$5:$I$1504)</f>
        <v>1</v>
      </c>
      <c r="G864">
        <f t="shared" si="42"/>
        <v>0</v>
      </c>
      <c r="H864">
        <f>COUNTIF(Base_Itens!$E$5:$E$1504,A864)</f>
        <v>1</v>
      </c>
      <c r="I864" t="str">
        <f t="shared" si="41"/>
        <v>OK</v>
      </c>
      <c r="J864" t="str">
        <f>Base_Itens!E841</f>
        <v>2022-Q11-3</v>
      </c>
      <c r="K864" t="str">
        <f>Base_Itens!G841</f>
        <v>06 — IS-LM-BP</v>
      </c>
      <c r="L864">
        <f>COUNTIFS(Base_Itens!$E$5:$E$1504,J864,Base_Itens!$G$5:$G$1504,K864)</f>
        <v>1</v>
      </c>
    </row>
    <row r="865" spans="1:12">
      <c r="A865" t="s">
        <v>3006</v>
      </c>
      <c r="B865">
        <v>2023</v>
      </c>
      <c r="C865" t="s">
        <v>82</v>
      </c>
      <c r="D865">
        <v>1</v>
      </c>
      <c r="E865">
        <v>1</v>
      </c>
      <c r="F865">
        <f>SUMIF(Base_Itens!$E$5:$E$1504,A865,Base_Itens!$I$5:$I$1504)</f>
        <v>1</v>
      </c>
      <c r="G865">
        <f t="shared" si="42"/>
        <v>0</v>
      </c>
      <c r="H865">
        <f>COUNTIF(Base_Itens!$E$5:$E$1504,A865)</f>
        <v>1</v>
      </c>
      <c r="I865" t="str">
        <f t="shared" si="41"/>
        <v>OK</v>
      </c>
      <c r="J865" t="str">
        <f>Base_Itens!E842</f>
        <v>2022-Q11-4</v>
      </c>
      <c r="K865" t="str">
        <f>Base_Itens!G842</f>
        <v>06 — IS-LM-BP</v>
      </c>
      <c r="L865">
        <f>COUNTIFS(Base_Itens!$E$5:$E$1504,J865,Base_Itens!$G$5:$G$1504,K865)</f>
        <v>1</v>
      </c>
    </row>
    <row r="866" spans="1:12">
      <c r="A866" t="s">
        <v>3007</v>
      </c>
      <c r="B866">
        <v>2023</v>
      </c>
      <c r="C866" t="s">
        <v>82</v>
      </c>
      <c r="D866">
        <v>1</v>
      </c>
      <c r="E866">
        <v>1</v>
      </c>
      <c r="F866">
        <f>SUMIF(Base_Itens!$E$5:$E$1504,A866,Base_Itens!$I$5:$I$1504)</f>
        <v>1</v>
      </c>
      <c r="G866">
        <f t="shared" si="42"/>
        <v>0</v>
      </c>
      <c r="H866">
        <f>COUNTIF(Base_Itens!$E$5:$E$1504,A866)</f>
        <v>1</v>
      </c>
      <c r="I866" t="str">
        <f t="shared" si="41"/>
        <v>OK</v>
      </c>
      <c r="J866" t="str">
        <f>Base_Itens!E843</f>
        <v>2022-Q12-0</v>
      </c>
      <c r="K866" t="str">
        <f>Base_Itens!G843</f>
        <v>01 — Contas Nacionais</v>
      </c>
      <c r="L866">
        <f>COUNTIFS(Base_Itens!$E$5:$E$1504,J866,Base_Itens!$G$5:$G$1504,K866)</f>
        <v>1</v>
      </c>
    </row>
    <row r="867" spans="1:12">
      <c r="A867" t="s">
        <v>3008</v>
      </c>
      <c r="B867">
        <v>2023</v>
      </c>
      <c r="C867" t="s">
        <v>82</v>
      </c>
      <c r="D867">
        <v>1</v>
      </c>
      <c r="E867">
        <v>1</v>
      </c>
      <c r="F867">
        <f>SUMIF(Base_Itens!$E$5:$E$1504,A867,Base_Itens!$I$5:$I$1504)</f>
        <v>1</v>
      </c>
      <c r="G867">
        <f t="shared" si="42"/>
        <v>0</v>
      </c>
      <c r="H867">
        <f>COUNTIF(Base_Itens!$E$5:$E$1504,A867)</f>
        <v>1</v>
      </c>
      <c r="I867" t="str">
        <f t="shared" si="41"/>
        <v>OK</v>
      </c>
      <c r="J867" t="str">
        <f>Base_Itens!E844</f>
        <v>2022-Q12-1</v>
      </c>
      <c r="K867" t="str">
        <f>Base_Itens!G844</f>
        <v>01 — Contas Nacionais</v>
      </c>
      <c r="L867">
        <f>COUNTIFS(Base_Itens!$E$5:$E$1504,J867,Base_Itens!$G$5:$G$1504,K867)</f>
        <v>1</v>
      </c>
    </row>
    <row r="868" spans="1:12">
      <c r="A868" t="s">
        <v>3009</v>
      </c>
      <c r="B868">
        <v>2023</v>
      </c>
      <c r="C868" t="s">
        <v>82</v>
      </c>
      <c r="D868">
        <v>1</v>
      </c>
      <c r="E868">
        <v>1</v>
      </c>
      <c r="F868">
        <f>SUMIF(Base_Itens!$E$5:$E$1504,A868,Base_Itens!$I$5:$I$1504)</f>
        <v>1</v>
      </c>
      <c r="G868">
        <f t="shared" si="42"/>
        <v>0</v>
      </c>
      <c r="H868">
        <f>COUNTIF(Base_Itens!$E$5:$E$1504,A868)</f>
        <v>1</v>
      </c>
      <c r="I868" t="str">
        <f t="shared" si="41"/>
        <v>OK</v>
      </c>
      <c r="J868" t="str">
        <f>Base_Itens!E845</f>
        <v>2022-Q12-2</v>
      </c>
      <c r="K868" t="str">
        <f>Base_Itens!G845</f>
        <v>01 — Contas Nacionais</v>
      </c>
      <c r="L868">
        <f>COUNTIFS(Base_Itens!$E$5:$E$1504,J868,Base_Itens!$G$5:$G$1504,K868)</f>
        <v>1</v>
      </c>
    </row>
    <row r="869" spans="1:12">
      <c r="A869" t="s">
        <v>3010</v>
      </c>
      <c r="B869">
        <v>2023</v>
      </c>
      <c r="C869" t="s">
        <v>82</v>
      </c>
      <c r="D869">
        <v>1</v>
      </c>
      <c r="E869">
        <v>1</v>
      </c>
      <c r="F869">
        <f>SUMIF(Base_Itens!$E$5:$E$1504,A869,Base_Itens!$I$5:$I$1504)</f>
        <v>1</v>
      </c>
      <c r="G869">
        <f t="shared" si="42"/>
        <v>0</v>
      </c>
      <c r="H869">
        <f>COUNTIF(Base_Itens!$E$5:$E$1504,A869)</f>
        <v>1</v>
      </c>
      <c r="I869" t="str">
        <f t="shared" si="41"/>
        <v>OK</v>
      </c>
      <c r="J869" t="str">
        <f>Base_Itens!E846</f>
        <v>2022-Q12-3</v>
      </c>
      <c r="K869" t="str">
        <f>Base_Itens!G846</f>
        <v>01 — Contas Nacionais</v>
      </c>
      <c r="L869">
        <f>COUNTIFS(Base_Itens!$E$5:$E$1504,J869,Base_Itens!$G$5:$G$1504,K869)</f>
        <v>1</v>
      </c>
    </row>
    <row r="870" spans="1:12">
      <c r="A870" t="s">
        <v>3011</v>
      </c>
      <c r="B870">
        <v>2023</v>
      </c>
      <c r="C870" t="s">
        <v>82</v>
      </c>
      <c r="D870">
        <v>1</v>
      </c>
      <c r="E870">
        <v>1</v>
      </c>
      <c r="F870">
        <f>SUMIF(Base_Itens!$E$5:$E$1504,A870,Base_Itens!$I$5:$I$1504)</f>
        <v>1</v>
      </c>
      <c r="G870">
        <f t="shared" si="42"/>
        <v>0</v>
      </c>
      <c r="H870">
        <f>COUNTIF(Base_Itens!$E$5:$E$1504,A870)</f>
        <v>1</v>
      </c>
      <c r="I870" t="str">
        <f t="shared" si="41"/>
        <v>OK</v>
      </c>
      <c r="J870" t="str">
        <f>Base_Itens!E847</f>
        <v>2022-Q12-4</v>
      </c>
      <c r="K870" t="str">
        <f>Base_Itens!G847</f>
        <v>01 — Contas Nacionais</v>
      </c>
      <c r="L870">
        <f>COUNTIFS(Base_Itens!$E$5:$E$1504,J870,Base_Itens!$G$5:$G$1504,K870)</f>
        <v>1</v>
      </c>
    </row>
    <row r="871" spans="1:12">
      <c r="A871" t="s">
        <v>3012</v>
      </c>
      <c r="B871">
        <v>2023</v>
      </c>
      <c r="C871" t="s">
        <v>82</v>
      </c>
      <c r="D871">
        <v>1</v>
      </c>
      <c r="E871">
        <v>1</v>
      </c>
      <c r="F871">
        <f>SUMIF(Base_Itens!$E$5:$E$1504,A871,Base_Itens!$I$5:$I$1504)</f>
        <v>1</v>
      </c>
      <c r="G871">
        <f t="shared" si="42"/>
        <v>0</v>
      </c>
      <c r="H871">
        <f>COUNTIF(Base_Itens!$E$5:$E$1504,A871)</f>
        <v>1</v>
      </c>
      <c r="I871" t="str">
        <f t="shared" si="41"/>
        <v>OK</v>
      </c>
      <c r="J871" t="str">
        <f>Base_Itens!E848</f>
        <v>2022-Q13-ABERTA</v>
      </c>
      <c r="K871" t="str">
        <f>Base_Itens!G848</f>
        <v>03 — Sistema Monetário</v>
      </c>
      <c r="L871">
        <f>COUNTIFS(Base_Itens!$E$5:$E$1504,J871,Base_Itens!$G$5:$G$1504,K871)</f>
        <v>1</v>
      </c>
    </row>
    <row r="872" spans="1:12">
      <c r="A872" t="s">
        <v>3013</v>
      </c>
      <c r="B872">
        <v>2023</v>
      </c>
      <c r="C872" t="s">
        <v>82</v>
      </c>
      <c r="D872">
        <v>1</v>
      </c>
      <c r="E872">
        <v>1</v>
      </c>
      <c r="F872">
        <f>SUMIF(Base_Itens!$E$5:$E$1504,A872,Base_Itens!$I$5:$I$1504)</f>
        <v>1</v>
      </c>
      <c r="G872">
        <f t="shared" si="42"/>
        <v>0</v>
      </c>
      <c r="H872">
        <f>COUNTIF(Base_Itens!$E$5:$E$1504,A872)</f>
        <v>1</v>
      </c>
      <c r="I872" t="str">
        <f t="shared" si="41"/>
        <v>OK</v>
      </c>
      <c r="J872" t="str">
        <f>Base_Itens!E849</f>
        <v>2022-Q14-0</v>
      </c>
      <c r="K872" t="str">
        <f>Base_Itens!G849</f>
        <v>08 — Curva de Phillips</v>
      </c>
      <c r="L872">
        <f>COUNTIFS(Base_Itens!$E$5:$E$1504,J872,Base_Itens!$G$5:$G$1504,K872)</f>
        <v>1</v>
      </c>
    </row>
    <row r="873" spans="1:12">
      <c r="A873" t="s">
        <v>3014</v>
      </c>
      <c r="B873">
        <v>2023</v>
      </c>
      <c r="C873" t="s">
        <v>82</v>
      </c>
      <c r="D873">
        <v>1</v>
      </c>
      <c r="E873">
        <v>1</v>
      </c>
      <c r="F873">
        <f>SUMIF(Base_Itens!$E$5:$E$1504,A873,Base_Itens!$I$5:$I$1504)</f>
        <v>1</v>
      </c>
      <c r="G873">
        <f t="shared" si="42"/>
        <v>0</v>
      </c>
      <c r="H873">
        <f>COUNTIF(Base_Itens!$E$5:$E$1504,A873)</f>
        <v>1</v>
      </c>
      <c r="I873" t="str">
        <f t="shared" si="41"/>
        <v>OK</v>
      </c>
      <c r="J873" t="str">
        <f>Base_Itens!E850</f>
        <v>2022-Q14-1</v>
      </c>
      <c r="K873" t="str">
        <f>Base_Itens!G850</f>
        <v>08 — Curva de Phillips</v>
      </c>
      <c r="L873">
        <f>COUNTIFS(Base_Itens!$E$5:$E$1504,J873,Base_Itens!$G$5:$G$1504,K873)</f>
        <v>1</v>
      </c>
    </row>
    <row r="874" spans="1:12">
      <c r="A874" t="s">
        <v>3015</v>
      </c>
      <c r="B874">
        <v>2023</v>
      </c>
      <c r="C874" t="s">
        <v>82</v>
      </c>
      <c r="D874">
        <v>1</v>
      </c>
      <c r="E874">
        <v>1</v>
      </c>
      <c r="F874">
        <f>SUMIF(Base_Itens!$E$5:$E$1504,A874,Base_Itens!$I$5:$I$1504)</f>
        <v>1</v>
      </c>
      <c r="G874">
        <f t="shared" si="42"/>
        <v>0</v>
      </c>
      <c r="H874">
        <f>COUNTIF(Base_Itens!$E$5:$E$1504,A874)</f>
        <v>1</v>
      </c>
      <c r="I874" t="str">
        <f t="shared" si="41"/>
        <v>OK</v>
      </c>
      <c r="J874" t="str">
        <f>Base_Itens!E851</f>
        <v>2022-Q14-2</v>
      </c>
      <c r="K874" t="str">
        <f>Base_Itens!G851</f>
        <v>08 — Curva de Phillips</v>
      </c>
      <c r="L874">
        <f>COUNTIFS(Base_Itens!$E$5:$E$1504,J874,Base_Itens!$G$5:$G$1504,K874)</f>
        <v>1</v>
      </c>
    </row>
    <row r="875" spans="1:12">
      <c r="A875" t="s">
        <v>3016</v>
      </c>
      <c r="B875">
        <v>2023</v>
      </c>
      <c r="C875" t="s">
        <v>82</v>
      </c>
      <c r="D875">
        <v>1</v>
      </c>
      <c r="E875">
        <v>1</v>
      </c>
      <c r="F875">
        <f>SUMIF(Base_Itens!$E$5:$E$1504,A875,Base_Itens!$I$5:$I$1504)</f>
        <v>1</v>
      </c>
      <c r="G875">
        <f t="shared" si="42"/>
        <v>0</v>
      </c>
      <c r="H875">
        <f>COUNTIF(Base_Itens!$E$5:$E$1504,A875)</f>
        <v>1</v>
      </c>
      <c r="I875" t="str">
        <f t="shared" si="41"/>
        <v>OK</v>
      </c>
      <c r="J875" t="str">
        <f>Base_Itens!E852</f>
        <v>2022-Q14-3</v>
      </c>
      <c r="K875" t="str">
        <f>Base_Itens!G852</f>
        <v>09 — Expectativas, Novos Clássicos e Novos Keynesianos</v>
      </c>
      <c r="L875">
        <f>COUNTIFS(Base_Itens!$E$5:$E$1504,J875,Base_Itens!$G$5:$G$1504,K875)</f>
        <v>1</v>
      </c>
    </row>
    <row r="876" spans="1:12">
      <c r="A876" t="s">
        <v>3017</v>
      </c>
      <c r="B876">
        <v>2023</v>
      </c>
      <c r="C876" t="s">
        <v>82</v>
      </c>
      <c r="D876">
        <v>1</v>
      </c>
      <c r="E876">
        <v>1</v>
      </c>
      <c r="F876">
        <f>SUMIF(Base_Itens!$E$5:$E$1504,A876,Base_Itens!$I$5:$I$1504)</f>
        <v>1</v>
      </c>
      <c r="G876">
        <f t="shared" si="42"/>
        <v>0</v>
      </c>
      <c r="H876">
        <f>COUNTIF(Base_Itens!$E$5:$E$1504,A876)</f>
        <v>1</v>
      </c>
      <c r="I876" t="str">
        <f t="shared" si="41"/>
        <v>OK</v>
      </c>
      <c r="J876" t="str">
        <f>Base_Itens!E853</f>
        <v>2022-Q14-4</v>
      </c>
      <c r="K876" t="str">
        <f>Base_Itens!G853</f>
        <v>08 — Curva de Phillips</v>
      </c>
      <c r="L876">
        <f>COUNTIFS(Base_Itens!$E$5:$E$1504,J876,Base_Itens!$G$5:$G$1504,K876)</f>
        <v>1</v>
      </c>
    </row>
    <row r="877" spans="1:12">
      <c r="A877" t="s">
        <v>3018</v>
      </c>
      <c r="B877">
        <v>2023</v>
      </c>
      <c r="C877" t="s">
        <v>82</v>
      </c>
      <c r="D877">
        <v>1</v>
      </c>
      <c r="E877">
        <v>1</v>
      </c>
      <c r="F877">
        <f>SUMIF(Base_Itens!$E$5:$E$1504,A877,Base_Itens!$I$5:$I$1504)</f>
        <v>1</v>
      </c>
      <c r="G877">
        <f t="shared" si="42"/>
        <v>0</v>
      </c>
      <c r="H877">
        <f>COUNTIF(Base_Itens!$E$5:$E$1504,A877)</f>
        <v>1</v>
      </c>
      <c r="I877" t="str">
        <f t="shared" si="41"/>
        <v>OK</v>
      </c>
      <c r="J877" t="str">
        <f>Base_Itens!E854</f>
        <v>2022-Q15-ABERTA</v>
      </c>
      <c r="K877" t="str">
        <f>Base_Itens!G854</f>
        <v>07a — Paridades</v>
      </c>
      <c r="L877">
        <f>COUNTIFS(Base_Itens!$E$5:$E$1504,J877,Base_Itens!$G$5:$G$1504,K877)</f>
        <v>1</v>
      </c>
    </row>
    <row r="878" spans="1:12">
      <c r="A878" t="s">
        <v>3019</v>
      </c>
      <c r="B878">
        <v>2023</v>
      </c>
      <c r="C878" t="s">
        <v>82</v>
      </c>
      <c r="D878">
        <v>1</v>
      </c>
      <c r="E878">
        <v>1</v>
      </c>
      <c r="F878">
        <f>SUMIF(Base_Itens!$E$5:$E$1504,A878,Base_Itens!$I$5:$I$1504)</f>
        <v>1</v>
      </c>
      <c r="G878">
        <f t="shared" si="42"/>
        <v>0</v>
      </c>
      <c r="H878">
        <f>COUNTIF(Base_Itens!$E$5:$E$1504,A878)</f>
        <v>1</v>
      </c>
      <c r="I878" t="str">
        <f t="shared" si="41"/>
        <v>OK</v>
      </c>
      <c r="J878" t="str">
        <f>Base_Itens!E855</f>
        <v>2023-Q1-0</v>
      </c>
      <c r="K878" t="str">
        <f>Base_Itens!G855</f>
        <v>06 — IS-LM-BP</v>
      </c>
      <c r="L878">
        <f>COUNTIFS(Base_Itens!$E$5:$E$1504,J878,Base_Itens!$G$5:$G$1504,K878)</f>
        <v>1</v>
      </c>
    </row>
    <row r="879" spans="1:12">
      <c r="A879" t="s">
        <v>3020</v>
      </c>
      <c r="B879">
        <v>2023</v>
      </c>
      <c r="C879" t="s">
        <v>82</v>
      </c>
      <c r="D879">
        <v>1</v>
      </c>
      <c r="E879">
        <v>1</v>
      </c>
      <c r="F879">
        <f>SUMIF(Base_Itens!$E$5:$E$1504,A879,Base_Itens!$I$5:$I$1504)</f>
        <v>1</v>
      </c>
      <c r="G879">
        <f t="shared" si="42"/>
        <v>0</v>
      </c>
      <c r="H879">
        <f>COUNTIF(Base_Itens!$E$5:$E$1504,A879)</f>
        <v>1</v>
      </c>
      <c r="I879" t="str">
        <f t="shared" si="41"/>
        <v>OK</v>
      </c>
      <c r="J879" t="str">
        <f>Base_Itens!E856</f>
        <v>2023-Q1-1</v>
      </c>
      <c r="K879" t="str">
        <f>Base_Itens!G856</f>
        <v>06 — IS-LM-BP</v>
      </c>
      <c r="L879">
        <f>COUNTIFS(Base_Itens!$E$5:$E$1504,J879,Base_Itens!$G$5:$G$1504,K879)</f>
        <v>1</v>
      </c>
    </row>
    <row r="880" spans="1:12">
      <c r="A880" t="s">
        <v>3021</v>
      </c>
      <c r="B880">
        <v>2023</v>
      </c>
      <c r="C880" t="s">
        <v>82</v>
      </c>
      <c r="D880">
        <v>1</v>
      </c>
      <c r="E880">
        <v>1</v>
      </c>
      <c r="F880">
        <f>SUMIF(Base_Itens!$E$5:$E$1504,A880,Base_Itens!$I$5:$I$1504)</f>
        <v>1</v>
      </c>
      <c r="G880">
        <f t="shared" si="42"/>
        <v>0</v>
      </c>
      <c r="H880">
        <f>COUNTIF(Base_Itens!$E$5:$E$1504,A880)</f>
        <v>1</v>
      </c>
      <c r="I880" t="str">
        <f t="shared" si="41"/>
        <v>OK</v>
      </c>
      <c r="J880" t="str">
        <f>Base_Itens!E857</f>
        <v>2023-Q1-2</v>
      </c>
      <c r="K880" t="str">
        <f>Base_Itens!G857</f>
        <v>06 — IS-LM-BP</v>
      </c>
      <c r="L880">
        <f>COUNTIFS(Base_Itens!$E$5:$E$1504,J880,Base_Itens!$G$5:$G$1504,K880)</f>
        <v>1</v>
      </c>
    </row>
    <row r="881" spans="1:12">
      <c r="A881" t="s">
        <v>3022</v>
      </c>
      <c r="B881">
        <v>2023</v>
      </c>
      <c r="C881" t="s">
        <v>82</v>
      </c>
      <c r="D881">
        <v>1</v>
      </c>
      <c r="E881">
        <v>1</v>
      </c>
      <c r="F881">
        <f>SUMIF(Base_Itens!$E$5:$E$1504,A881,Base_Itens!$I$5:$I$1504)</f>
        <v>1</v>
      </c>
      <c r="G881">
        <f t="shared" si="42"/>
        <v>0</v>
      </c>
      <c r="H881">
        <f>COUNTIF(Base_Itens!$E$5:$E$1504,A881)</f>
        <v>1</v>
      </c>
      <c r="I881" t="str">
        <f t="shared" si="41"/>
        <v>OK</v>
      </c>
      <c r="J881" t="str">
        <f>Base_Itens!E858</f>
        <v>2023-Q1-3</v>
      </c>
      <c r="K881" t="str">
        <f>Base_Itens!G858</f>
        <v>07a — Paridades</v>
      </c>
      <c r="L881">
        <f>COUNTIFS(Base_Itens!$E$5:$E$1504,J881,Base_Itens!$G$5:$G$1504,K881)</f>
        <v>1</v>
      </c>
    </row>
    <row r="882" spans="1:12">
      <c r="A882" t="s">
        <v>3023</v>
      </c>
      <c r="B882">
        <v>2023</v>
      </c>
      <c r="C882" t="s">
        <v>82</v>
      </c>
      <c r="D882">
        <v>1</v>
      </c>
      <c r="E882">
        <v>1</v>
      </c>
      <c r="F882">
        <f>SUMIF(Base_Itens!$E$5:$E$1504,A882,Base_Itens!$I$5:$I$1504)</f>
        <v>1</v>
      </c>
      <c r="G882">
        <f t="shared" si="42"/>
        <v>0</v>
      </c>
      <c r="H882">
        <f>COUNTIF(Base_Itens!$E$5:$E$1504,A882)</f>
        <v>1</v>
      </c>
      <c r="I882" t="str">
        <f t="shared" si="41"/>
        <v>OK</v>
      </c>
      <c r="J882" t="str">
        <f>Base_Itens!E859</f>
        <v>2023-Q1-4</v>
      </c>
      <c r="K882" t="str">
        <f>Base_Itens!G859</f>
        <v>07a — Paridades</v>
      </c>
      <c r="L882">
        <f>COUNTIFS(Base_Itens!$E$5:$E$1504,J882,Base_Itens!$G$5:$G$1504,K882)</f>
        <v>1</v>
      </c>
    </row>
    <row r="883" spans="1:12">
      <c r="A883" t="s">
        <v>3024</v>
      </c>
      <c r="B883">
        <v>2023</v>
      </c>
      <c r="C883" t="s">
        <v>82</v>
      </c>
      <c r="D883">
        <v>1</v>
      </c>
      <c r="E883">
        <v>1</v>
      </c>
      <c r="F883">
        <f>SUMIF(Base_Itens!$E$5:$E$1504,A883,Base_Itens!$I$5:$I$1504)</f>
        <v>1</v>
      </c>
      <c r="G883">
        <f t="shared" si="42"/>
        <v>0</v>
      </c>
      <c r="H883">
        <f>COUNTIF(Base_Itens!$E$5:$E$1504,A883)</f>
        <v>1</v>
      </c>
      <c r="I883" t="str">
        <f t="shared" si="41"/>
        <v>OK</v>
      </c>
      <c r="J883" t="str">
        <f>Base_Itens!E860</f>
        <v>2023-Q2-ABERTA</v>
      </c>
      <c r="K883" t="str">
        <f>Base_Itens!G860</f>
        <v>14 — Dívida Pública e Senhoriagem</v>
      </c>
      <c r="L883">
        <f>COUNTIFS(Base_Itens!$E$5:$E$1504,J883,Base_Itens!$G$5:$G$1504,K883)</f>
        <v>1</v>
      </c>
    </row>
    <row r="884" spans="1:12">
      <c r="A884" t="s">
        <v>3025</v>
      </c>
      <c r="B884">
        <v>2023</v>
      </c>
      <c r="C884" t="s">
        <v>82</v>
      </c>
      <c r="D884">
        <v>1</v>
      </c>
      <c r="E884">
        <v>1</v>
      </c>
      <c r="F884">
        <f>SUMIF(Base_Itens!$E$5:$E$1504,A884,Base_Itens!$I$5:$I$1504)</f>
        <v>1</v>
      </c>
      <c r="G884">
        <f t="shared" si="42"/>
        <v>0</v>
      </c>
      <c r="H884">
        <f>COUNTIF(Base_Itens!$E$5:$E$1504,A884)</f>
        <v>1</v>
      </c>
      <c r="I884" t="str">
        <f t="shared" si="41"/>
        <v>OK</v>
      </c>
      <c r="J884" t="str">
        <f>Base_Itens!E861</f>
        <v>2023-Q3-ABERTA</v>
      </c>
      <c r="K884" t="str">
        <f>Base_Itens!G861</f>
        <v>08 — Curva de Phillips</v>
      </c>
      <c r="L884">
        <f>COUNTIFS(Base_Itens!$E$5:$E$1504,J884,Base_Itens!$G$5:$G$1504,K884)</f>
        <v>1</v>
      </c>
    </row>
    <row r="885" spans="1:12">
      <c r="A885" t="s">
        <v>3026</v>
      </c>
      <c r="B885">
        <v>2023</v>
      </c>
      <c r="C885" t="s">
        <v>82</v>
      </c>
      <c r="D885">
        <v>1</v>
      </c>
      <c r="E885">
        <v>1</v>
      </c>
      <c r="F885">
        <f>SUMIF(Base_Itens!$E$5:$E$1504,A885,Base_Itens!$I$5:$I$1504)</f>
        <v>1</v>
      </c>
      <c r="G885">
        <f t="shared" si="42"/>
        <v>0</v>
      </c>
      <c r="H885">
        <f>COUNTIF(Base_Itens!$E$5:$E$1504,A885)</f>
        <v>1</v>
      </c>
      <c r="I885" t="str">
        <f t="shared" si="41"/>
        <v>OK</v>
      </c>
      <c r="J885" t="str">
        <f>Base_Itens!E862</f>
        <v>2023-Q4-0</v>
      </c>
      <c r="K885" t="str">
        <f>Base_Itens!G862</f>
        <v>06 — IS-LM-BP</v>
      </c>
      <c r="L885">
        <f>COUNTIFS(Base_Itens!$E$5:$E$1504,J885,Base_Itens!$G$5:$G$1504,K885)</f>
        <v>1</v>
      </c>
    </row>
    <row r="886" spans="1:12">
      <c r="A886" t="s">
        <v>3027</v>
      </c>
      <c r="B886">
        <v>2023</v>
      </c>
      <c r="C886" t="s">
        <v>82</v>
      </c>
      <c r="D886">
        <v>1</v>
      </c>
      <c r="E886">
        <v>1</v>
      </c>
      <c r="F886">
        <f>SUMIF(Base_Itens!$E$5:$E$1504,A886,Base_Itens!$I$5:$I$1504)</f>
        <v>1</v>
      </c>
      <c r="G886">
        <f t="shared" si="42"/>
        <v>0</v>
      </c>
      <c r="H886">
        <f>COUNTIF(Base_Itens!$E$5:$E$1504,A886)</f>
        <v>1</v>
      </c>
      <c r="I886" t="str">
        <f t="shared" si="41"/>
        <v>OK</v>
      </c>
      <c r="J886" t="str">
        <f>Base_Itens!E863</f>
        <v>2023-Q4-1</v>
      </c>
      <c r="K886" t="str">
        <f>Base_Itens!G863</f>
        <v>06 — IS-LM-BP</v>
      </c>
      <c r="L886">
        <f>COUNTIFS(Base_Itens!$E$5:$E$1504,J886,Base_Itens!$G$5:$G$1504,K886)</f>
        <v>1</v>
      </c>
    </row>
    <row r="887" spans="1:12">
      <c r="A887" t="s">
        <v>3028</v>
      </c>
      <c r="B887">
        <v>2023</v>
      </c>
      <c r="C887" t="s">
        <v>82</v>
      </c>
      <c r="D887">
        <v>1</v>
      </c>
      <c r="E887">
        <v>1</v>
      </c>
      <c r="F887">
        <f>SUMIF(Base_Itens!$E$5:$E$1504,A887,Base_Itens!$I$5:$I$1504)</f>
        <v>1</v>
      </c>
      <c r="G887">
        <f t="shared" si="42"/>
        <v>0</v>
      </c>
      <c r="H887">
        <f>COUNTIF(Base_Itens!$E$5:$E$1504,A887)</f>
        <v>1</v>
      </c>
      <c r="I887" t="str">
        <f t="shared" si="41"/>
        <v>OK</v>
      </c>
      <c r="J887" t="str">
        <f>Base_Itens!E864</f>
        <v>2023-Q4-2</v>
      </c>
      <c r="K887" t="str">
        <f>Base_Itens!G864</f>
        <v>07a — Paridades</v>
      </c>
      <c r="L887">
        <f>COUNTIFS(Base_Itens!$E$5:$E$1504,J887,Base_Itens!$G$5:$G$1504,K887)</f>
        <v>1</v>
      </c>
    </row>
    <row r="888" spans="1:12">
      <c r="A888" t="s">
        <v>3029</v>
      </c>
      <c r="B888">
        <v>2023</v>
      </c>
      <c r="C888" t="s">
        <v>82</v>
      </c>
      <c r="D888">
        <v>1</v>
      </c>
      <c r="E888">
        <v>1</v>
      </c>
      <c r="F888">
        <f>SUMIF(Base_Itens!$E$5:$E$1504,A888,Base_Itens!$I$5:$I$1504)</f>
        <v>1</v>
      </c>
      <c r="G888">
        <f t="shared" si="42"/>
        <v>0</v>
      </c>
      <c r="H888">
        <f>COUNTIF(Base_Itens!$E$5:$E$1504,A888)</f>
        <v>1</v>
      </c>
      <c r="I888" t="str">
        <f t="shared" si="41"/>
        <v>OK</v>
      </c>
      <c r="J888" t="str">
        <f>Base_Itens!E865</f>
        <v>2023-Q4-3</v>
      </c>
      <c r="K888" t="str">
        <f>Base_Itens!G865</f>
        <v>03 — Sistema Monetário</v>
      </c>
      <c r="L888">
        <f>COUNTIFS(Base_Itens!$E$5:$E$1504,J888,Base_Itens!$G$5:$G$1504,K888)</f>
        <v>1</v>
      </c>
    </row>
    <row r="889" spans="1:12">
      <c r="A889" t="s">
        <v>3030</v>
      </c>
      <c r="B889">
        <v>2023</v>
      </c>
      <c r="C889" t="s">
        <v>82</v>
      </c>
      <c r="D889">
        <v>1</v>
      </c>
      <c r="E889">
        <v>1</v>
      </c>
      <c r="F889">
        <f>SUMIF(Base_Itens!$E$5:$E$1504,A889,Base_Itens!$I$5:$I$1504)</f>
        <v>1</v>
      </c>
      <c r="G889">
        <f t="shared" si="42"/>
        <v>0</v>
      </c>
      <c r="H889">
        <f>COUNTIF(Base_Itens!$E$5:$E$1504,A889)</f>
        <v>1</v>
      </c>
      <c r="I889" t="str">
        <f t="shared" si="41"/>
        <v>OK</v>
      </c>
      <c r="J889" t="str">
        <f>Base_Itens!E866</f>
        <v>2023-Q4-4</v>
      </c>
      <c r="K889" t="str">
        <f>Base_Itens!G866</f>
        <v>04 — Demanda por Moeda</v>
      </c>
      <c r="L889">
        <f>COUNTIFS(Base_Itens!$E$5:$E$1504,J889,Base_Itens!$G$5:$G$1504,K889)</f>
        <v>1</v>
      </c>
    </row>
    <row r="890" spans="1:12">
      <c r="A890" t="s">
        <v>3031</v>
      </c>
      <c r="B890">
        <v>2023</v>
      </c>
      <c r="C890" t="s">
        <v>82</v>
      </c>
      <c r="D890">
        <v>1</v>
      </c>
      <c r="E890">
        <v>1</v>
      </c>
      <c r="F890">
        <f>SUMIF(Base_Itens!$E$5:$E$1504,A890,Base_Itens!$I$5:$I$1504)</f>
        <v>1</v>
      </c>
      <c r="G890">
        <f t="shared" si="42"/>
        <v>0</v>
      </c>
      <c r="H890">
        <f>COUNTIF(Base_Itens!$E$5:$E$1504,A890)</f>
        <v>1</v>
      </c>
      <c r="I890" t="str">
        <f t="shared" si="41"/>
        <v>OK</v>
      </c>
      <c r="J890" t="str">
        <f>Base_Itens!E867</f>
        <v>2023-Q5-ABERTA</v>
      </c>
      <c r="K890" t="str">
        <f>Base_Itens!G867</f>
        <v>07a — Paridades</v>
      </c>
      <c r="L890">
        <f>COUNTIFS(Base_Itens!$E$5:$E$1504,J890,Base_Itens!$G$5:$G$1504,K890)</f>
        <v>1</v>
      </c>
    </row>
    <row r="891" spans="1:12">
      <c r="A891" t="s">
        <v>3032</v>
      </c>
      <c r="B891">
        <v>2023</v>
      </c>
      <c r="C891" t="s">
        <v>82</v>
      </c>
      <c r="D891">
        <v>1</v>
      </c>
      <c r="E891">
        <v>1</v>
      </c>
      <c r="F891">
        <f>SUMIF(Base_Itens!$E$5:$E$1504,A891,Base_Itens!$I$5:$I$1504)</f>
        <v>1</v>
      </c>
      <c r="G891">
        <f t="shared" si="42"/>
        <v>0</v>
      </c>
      <c r="H891">
        <f>COUNTIF(Base_Itens!$E$5:$E$1504,A891)</f>
        <v>1</v>
      </c>
      <c r="I891" t="str">
        <f t="shared" si="41"/>
        <v>OK</v>
      </c>
      <c r="J891" t="str">
        <f>Base_Itens!E868</f>
        <v>2023-Q6-0</v>
      </c>
      <c r="K891" t="str">
        <f>Base_Itens!G868</f>
        <v>01 — Contas Nacionais</v>
      </c>
      <c r="L891">
        <f>COUNTIFS(Base_Itens!$E$5:$E$1504,J891,Base_Itens!$G$5:$G$1504,K891)</f>
        <v>1</v>
      </c>
    </row>
    <row r="892" spans="1:12">
      <c r="A892" t="s">
        <v>3033</v>
      </c>
      <c r="B892">
        <v>2023</v>
      </c>
      <c r="C892" t="s">
        <v>82</v>
      </c>
      <c r="D892">
        <v>1</v>
      </c>
      <c r="E892">
        <v>1</v>
      </c>
      <c r="F892">
        <f>SUMIF(Base_Itens!$E$5:$E$1504,A892,Base_Itens!$I$5:$I$1504)</f>
        <v>1</v>
      </c>
      <c r="G892">
        <f t="shared" si="42"/>
        <v>0</v>
      </c>
      <c r="H892">
        <f>COUNTIF(Base_Itens!$E$5:$E$1504,A892)</f>
        <v>1</v>
      </c>
      <c r="I892" t="str">
        <f t="shared" ref="I892:I955" si="43">IF(AND(G892=0,H892=E892),"OK","REVER")</f>
        <v>OK</v>
      </c>
      <c r="J892" t="str">
        <f>Base_Itens!E869</f>
        <v>2023-Q6-1</v>
      </c>
      <c r="K892" t="str">
        <f>Base_Itens!G869</f>
        <v>01 — Contas Nacionais</v>
      </c>
      <c r="L892">
        <f>COUNTIFS(Base_Itens!$E$5:$E$1504,J892,Base_Itens!$G$5:$G$1504,K892)</f>
        <v>1</v>
      </c>
    </row>
    <row r="893" spans="1:12">
      <c r="A893" t="s">
        <v>3034</v>
      </c>
      <c r="B893">
        <v>2023</v>
      </c>
      <c r="C893" t="s">
        <v>82</v>
      </c>
      <c r="D893">
        <v>1</v>
      </c>
      <c r="E893">
        <v>1</v>
      </c>
      <c r="F893">
        <f>SUMIF(Base_Itens!$E$5:$E$1504,A893,Base_Itens!$I$5:$I$1504)</f>
        <v>1</v>
      </c>
      <c r="G893">
        <f t="shared" si="42"/>
        <v>0</v>
      </c>
      <c r="H893">
        <f>COUNTIF(Base_Itens!$E$5:$E$1504,A893)</f>
        <v>1</v>
      </c>
      <c r="I893" t="str">
        <f t="shared" si="43"/>
        <v>OK</v>
      </c>
      <c r="J893" t="str">
        <f>Base_Itens!E870</f>
        <v>2023-Q6-2</v>
      </c>
      <c r="K893" t="str">
        <f>Base_Itens!G870</f>
        <v>02 — Balanço de Pagamentos</v>
      </c>
      <c r="L893">
        <f>COUNTIFS(Base_Itens!$E$5:$E$1504,J893,Base_Itens!$G$5:$G$1504,K893)</f>
        <v>1</v>
      </c>
    </row>
    <row r="894" spans="1:12">
      <c r="A894" t="s">
        <v>3035</v>
      </c>
      <c r="B894">
        <v>2023</v>
      </c>
      <c r="C894" t="s">
        <v>82</v>
      </c>
      <c r="D894">
        <v>1</v>
      </c>
      <c r="E894">
        <v>1</v>
      </c>
      <c r="F894">
        <f>SUMIF(Base_Itens!$E$5:$E$1504,A894,Base_Itens!$I$5:$I$1504)</f>
        <v>1</v>
      </c>
      <c r="G894">
        <f t="shared" si="42"/>
        <v>0</v>
      </c>
      <c r="H894">
        <f>COUNTIF(Base_Itens!$E$5:$E$1504,A894)</f>
        <v>1</v>
      </c>
      <c r="I894" t="str">
        <f t="shared" si="43"/>
        <v>OK</v>
      </c>
      <c r="J894" t="str">
        <f>Base_Itens!E871</f>
        <v>2023-Q6-3</v>
      </c>
      <c r="K894" t="str">
        <f>Base_Itens!G871</f>
        <v>02 — Balanço de Pagamentos</v>
      </c>
      <c r="L894">
        <f>COUNTIFS(Base_Itens!$E$5:$E$1504,J894,Base_Itens!$G$5:$G$1504,K894)</f>
        <v>1</v>
      </c>
    </row>
    <row r="895" spans="1:12">
      <c r="A895" t="s">
        <v>3036</v>
      </c>
      <c r="B895">
        <v>2023</v>
      </c>
      <c r="C895" t="s">
        <v>82</v>
      </c>
      <c r="D895">
        <v>1</v>
      </c>
      <c r="E895">
        <v>1</v>
      </c>
      <c r="F895">
        <f>SUMIF(Base_Itens!$E$5:$E$1504,A895,Base_Itens!$I$5:$I$1504)</f>
        <v>1</v>
      </c>
      <c r="G895">
        <f t="shared" si="42"/>
        <v>0</v>
      </c>
      <c r="H895">
        <f>COUNTIF(Base_Itens!$E$5:$E$1504,A895)</f>
        <v>1</v>
      </c>
      <c r="I895" t="str">
        <f t="shared" si="43"/>
        <v>OK</v>
      </c>
      <c r="J895" t="str">
        <f>Base_Itens!E872</f>
        <v>2023-Q6-4</v>
      </c>
      <c r="K895" t="str">
        <f>Base_Itens!G872</f>
        <v>02 — Balanço de Pagamentos</v>
      </c>
      <c r="L895">
        <f>COUNTIFS(Base_Itens!$E$5:$E$1504,J895,Base_Itens!$G$5:$G$1504,K895)</f>
        <v>1</v>
      </c>
    </row>
    <row r="896" spans="1:12">
      <c r="A896" t="s">
        <v>3037</v>
      </c>
      <c r="B896">
        <v>2023</v>
      </c>
      <c r="C896" t="s">
        <v>82</v>
      </c>
      <c r="D896">
        <v>1</v>
      </c>
      <c r="E896">
        <v>1</v>
      </c>
      <c r="F896">
        <f>SUMIF(Base_Itens!$E$5:$E$1504,A896,Base_Itens!$I$5:$I$1504)</f>
        <v>1</v>
      </c>
      <c r="G896">
        <f t="shared" si="42"/>
        <v>0</v>
      </c>
      <c r="H896">
        <f>COUNTIF(Base_Itens!$E$5:$E$1504,A896)</f>
        <v>1</v>
      </c>
      <c r="I896" t="str">
        <f t="shared" si="43"/>
        <v>OK</v>
      </c>
      <c r="J896" t="str">
        <f>Base_Itens!E873</f>
        <v>2023-Q7-0</v>
      </c>
      <c r="K896" t="str">
        <f>Base_Itens!G873</f>
        <v>03 — Sistema Monetário</v>
      </c>
      <c r="L896">
        <f>COUNTIFS(Base_Itens!$E$5:$E$1504,J896,Base_Itens!$G$5:$G$1504,K896)</f>
        <v>1</v>
      </c>
    </row>
    <row r="897" spans="1:12">
      <c r="A897" t="s">
        <v>3038</v>
      </c>
      <c r="B897">
        <v>2023</v>
      </c>
      <c r="C897" t="s">
        <v>82</v>
      </c>
      <c r="D897">
        <v>1</v>
      </c>
      <c r="E897">
        <v>1</v>
      </c>
      <c r="F897">
        <f>SUMIF(Base_Itens!$E$5:$E$1504,A897,Base_Itens!$I$5:$I$1504)</f>
        <v>1</v>
      </c>
      <c r="G897">
        <f t="shared" si="42"/>
        <v>0</v>
      </c>
      <c r="H897">
        <f>COUNTIF(Base_Itens!$E$5:$E$1504,A897)</f>
        <v>1</v>
      </c>
      <c r="I897" t="str">
        <f t="shared" si="43"/>
        <v>OK</v>
      </c>
      <c r="J897" t="str">
        <f>Base_Itens!E874</f>
        <v>2023-Q7-1</v>
      </c>
      <c r="K897" t="str">
        <f>Base_Itens!G874</f>
        <v>03 — Sistema Monetário</v>
      </c>
      <c r="L897">
        <f>COUNTIFS(Base_Itens!$E$5:$E$1504,J897,Base_Itens!$G$5:$G$1504,K897)</f>
        <v>1</v>
      </c>
    </row>
    <row r="898" spans="1:12">
      <c r="A898" t="s">
        <v>3039</v>
      </c>
      <c r="B898">
        <v>2023</v>
      </c>
      <c r="C898" t="s">
        <v>82</v>
      </c>
      <c r="D898">
        <v>1</v>
      </c>
      <c r="E898">
        <v>1</v>
      </c>
      <c r="F898">
        <f>SUMIF(Base_Itens!$E$5:$E$1504,A898,Base_Itens!$I$5:$I$1504)</f>
        <v>1</v>
      </c>
      <c r="G898">
        <f t="shared" si="42"/>
        <v>0</v>
      </c>
      <c r="H898">
        <f>COUNTIF(Base_Itens!$E$5:$E$1504,A898)</f>
        <v>1</v>
      </c>
      <c r="I898" t="str">
        <f t="shared" si="43"/>
        <v>OK</v>
      </c>
      <c r="J898" t="str">
        <f>Base_Itens!E875</f>
        <v>2023-Q7-2</v>
      </c>
      <c r="K898" t="str">
        <f>Base_Itens!G875</f>
        <v>03 — Sistema Monetário</v>
      </c>
      <c r="L898">
        <f>COUNTIFS(Base_Itens!$E$5:$E$1504,J898,Base_Itens!$G$5:$G$1504,K898)</f>
        <v>1</v>
      </c>
    </row>
    <row r="899" spans="1:12">
      <c r="A899" t="s">
        <v>3040</v>
      </c>
      <c r="B899">
        <v>2023</v>
      </c>
      <c r="C899" t="s">
        <v>82</v>
      </c>
      <c r="D899">
        <v>1</v>
      </c>
      <c r="E899">
        <v>1</v>
      </c>
      <c r="F899">
        <f>SUMIF(Base_Itens!$E$5:$E$1504,A899,Base_Itens!$I$5:$I$1504)</f>
        <v>1</v>
      </c>
      <c r="G899">
        <f t="shared" si="42"/>
        <v>0</v>
      </c>
      <c r="H899">
        <f>COUNTIF(Base_Itens!$E$5:$E$1504,A899)</f>
        <v>1</v>
      </c>
      <c r="I899" t="str">
        <f t="shared" si="43"/>
        <v>OK</v>
      </c>
      <c r="J899" t="str">
        <f>Base_Itens!E876</f>
        <v>2023-Q7-3</v>
      </c>
      <c r="K899" t="str">
        <f>Base_Itens!G876</f>
        <v>03 — Sistema Monetário</v>
      </c>
      <c r="L899">
        <f>COUNTIFS(Base_Itens!$E$5:$E$1504,J899,Base_Itens!$G$5:$G$1504,K899)</f>
        <v>1</v>
      </c>
    </row>
    <row r="900" spans="1:12">
      <c r="A900" t="s">
        <v>3041</v>
      </c>
      <c r="B900">
        <v>2023</v>
      </c>
      <c r="C900" t="s">
        <v>82</v>
      </c>
      <c r="D900">
        <v>1</v>
      </c>
      <c r="E900">
        <v>1</v>
      </c>
      <c r="F900">
        <f>SUMIF(Base_Itens!$E$5:$E$1504,A900,Base_Itens!$I$5:$I$1504)</f>
        <v>1</v>
      </c>
      <c r="G900">
        <f t="shared" si="42"/>
        <v>0</v>
      </c>
      <c r="H900">
        <f>COUNTIF(Base_Itens!$E$5:$E$1504,A900)</f>
        <v>1</v>
      </c>
      <c r="I900" t="str">
        <f t="shared" si="43"/>
        <v>OK</v>
      </c>
      <c r="J900" t="str">
        <f>Base_Itens!E877</f>
        <v>2023-Q7-4</v>
      </c>
      <c r="K900" t="str">
        <f>Base_Itens!G877</f>
        <v>03 — Sistema Monetário</v>
      </c>
      <c r="L900">
        <f>COUNTIFS(Base_Itens!$E$5:$E$1504,J900,Base_Itens!$G$5:$G$1504,K900)</f>
        <v>1</v>
      </c>
    </row>
    <row r="901" spans="1:12">
      <c r="A901" t="s">
        <v>3042</v>
      </c>
      <c r="B901">
        <v>2023</v>
      </c>
      <c r="C901" t="s">
        <v>82</v>
      </c>
      <c r="D901">
        <v>1</v>
      </c>
      <c r="E901">
        <v>1</v>
      </c>
      <c r="F901">
        <f>SUMIF(Base_Itens!$E$5:$E$1504,A901,Base_Itens!$I$5:$I$1504)</f>
        <v>1</v>
      </c>
      <c r="G901">
        <f t="shared" si="42"/>
        <v>0</v>
      </c>
      <c r="H901">
        <f>COUNTIF(Base_Itens!$E$5:$E$1504,A901)</f>
        <v>1</v>
      </c>
      <c r="I901" t="str">
        <f t="shared" si="43"/>
        <v>OK</v>
      </c>
      <c r="J901" t="str">
        <f>Base_Itens!E878</f>
        <v>2023-Q8-0</v>
      </c>
      <c r="K901" t="str">
        <f>Base_Itens!G878</f>
        <v>06 — IS-LM-BP</v>
      </c>
      <c r="L901">
        <f>COUNTIFS(Base_Itens!$E$5:$E$1504,J901,Base_Itens!$G$5:$G$1504,K901)</f>
        <v>1</v>
      </c>
    </row>
    <row r="902" spans="1:12">
      <c r="A902" t="s">
        <v>3043</v>
      </c>
      <c r="B902">
        <v>2023</v>
      </c>
      <c r="C902" t="s">
        <v>82</v>
      </c>
      <c r="D902">
        <v>1</v>
      </c>
      <c r="E902">
        <v>1</v>
      </c>
      <c r="F902">
        <f>SUMIF(Base_Itens!$E$5:$E$1504,A902,Base_Itens!$I$5:$I$1504)</f>
        <v>1</v>
      </c>
      <c r="G902">
        <f t="shared" si="42"/>
        <v>0</v>
      </c>
      <c r="H902">
        <f>COUNTIF(Base_Itens!$E$5:$E$1504,A902)</f>
        <v>1</v>
      </c>
      <c r="I902" t="str">
        <f t="shared" si="43"/>
        <v>OK</v>
      </c>
      <c r="J902" t="str">
        <f>Base_Itens!E879</f>
        <v>2023-Q8-1</v>
      </c>
      <c r="K902" t="str">
        <f>Base_Itens!G879</f>
        <v>06 — IS-LM-BP</v>
      </c>
      <c r="L902">
        <f>COUNTIFS(Base_Itens!$E$5:$E$1504,J902,Base_Itens!$G$5:$G$1504,K902)</f>
        <v>1</v>
      </c>
    </row>
    <row r="903" spans="1:12">
      <c r="A903" t="s">
        <v>3044</v>
      </c>
      <c r="B903">
        <v>2023</v>
      </c>
      <c r="C903" t="s">
        <v>82</v>
      </c>
      <c r="D903">
        <v>1</v>
      </c>
      <c r="E903">
        <v>1</v>
      </c>
      <c r="F903">
        <f>SUMIF(Base_Itens!$E$5:$E$1504,A903,Base_Itens!$I$5:$I$1504)</f>
        <v>1</v>
      </c>
      <c r="G903">
        <f t="shared" si="42"/>
        <v>0</v>
      </c>
      <c r="H903">
        <f>COUNTIF(Base_Itens!$E$5:$E$1504,A903)</f>
        <v>1</v>
      </c>
      <c r="I903" t="str">
        <f t="shared" si="43"/>
        <v>OK</v>
      </c>
      <c r="J903" t="str">
        <f>Base_Itens!E880</f>
        <v>2023-Q8-2</v>
      </c>
      <c r="K903" t="str">
        <f>Base_Itens!G880</f>
        <v>06 — IS-LM-BP</v>
      </c>
      <c r="L903">
        <f>COUNTIFS(Base_Itens!$E$5:$E$1504,J903,Base_Itens!$G$5:$G$1504,K903)</f>
        <v>1</v>
      </c>
    </row>
    <row r="904" spans="1:12">
      <c r="A904" t="s">
        <v>3045</v>
      </c>
      <c r="B904">
        <v>2023</v>
      </c>
      <c r="C904" t="s">
        <v>82</v>
      </c>
      <c r="D904">
        <v>1</v>
      </c>
      <c r="E904">
        <v>1</v>
      </c>
      <c r="F904">
        <f>SUMIF(Base_Itens!$E$5:$E$1504,A904,Base_Itens!$I$5:$I$1504)</f>
        <v>1</v>
      </c>
      <c r="G904">
        <f t="shared" si="42"/>
        <v>0</v>
      </c>
      <c r="H904">
        <f>COUNTIF(Base_Itens!$E$5:$E$1504,A904)</f>
        <v>1</v>
      </c>
      <c r="I904" t="str">
        <f t="shared" si="43"/>
        <v>OK</v>
      </c>
      <c r="J904" t="str">
        <f>Base_Itens!E881</f>
        <v>2023-Q8-3</v>
      </c>
      <c r="K904" t="str">
        <f>Base_Itens!G881</f>
        <v>06 — IS-LM-BP</v>
      </c>
      <c r="L904">
        <f>COUNTIFS(Base_Itens!$E$5:$E$1504,J904,Base_Itens!$G$5:$G$1504,K904)</f>
        <v>1</v>
      </c>
    </row>
    <row r="905" spans="1:12">
      <c r="A905" t="s">
        <v>3046</v>
      </c>
      <c r="B905">
        <v>2023</v>
      </c>
      <c r="C905" t="s">
        <v>82</v>
      </c>
      <c r="D905">
        <v>1</v>
      </c>
      <c r="E905">
        <v>1</v>
      </c>
      <c r="F905">
        <f>SUMIF(Base_Itens!$E$5:$E$1504,A905,Base_Itens!$I$5:$I$1504)</f>
        <v>1</v>
      </c>
      <c r="G905">
        <f t="shared" si="42"/>
        <v>0</v>
      </c>
      <c r="H905">
        <f>COUNTIF(Base_Itens!$E$5:$E$1504,A905)</f>
        <v>1</v>
      </c>
      <c r="I905" t="str">
        <f t="shared" si="43"/>
        <v>OK</v>
      </c>
      <c r="J905" t="str">
        <f>Base_Itens!E882</f>
        <v>2023-Q8-4</v>
      </c>
      <c r="K905" t="str">
        <f>Base_Itens!G882</f>
        <v>06 — IS-LM-BP</v>
      </c>
      <c r="L905">
        <f>COUNTIFS(Base_Itens!$E$5:$E$1504,J905,Base_Itens!$G$5:$G$1504,K905)</f>
        <v>1</v>
      </c>
    </row>
    <row r="906" spans="1:12">
      <c r="A906" t="s">
        <v>3047</v>
      </c>
      <c r="B906">
        <v>2023</v>
      </c>
      <c r="C906" t="s">
        <v>82</v>
      </c>
      <c r="D906">
        <v>1</v>
      </c>
      <c r="E906">
        <v>1</v>
      </c>
      <c r="F906">
        <f>SUMIF(Base_Itens!$E$5:$E$1504,A906,Base_Itens!$I$5:$I$1504)</f>
        <v>1</v>
      </c>
      <c r="G906">
        <f t="shared" si="42"/>
        <v>0</v>
      </c>
      <c r="H906">
        <f>COUNTIF(Base_Itens!$E$5:$E$1504,A906)</f>
        <v>1</v>
      </c>
      <c r="I906" t="str">
        <f t="shared" si="43"/>
        <v>OK</v>
      </c>
      <c r="J906" t="str">
        <f>Base_Itens!E883</f>
        <v>2023-Q9-0</v>
      </c>
      <c r="K906" t="str">
        <f>Base_Itens!G883</f>
        <v>08 — Curva de Phillips</v>
      </c>
      <c r="L906">
        <f>COUNTIFS(Base_Itens!$E$5:$E$1504,J906,Base_Itens!$G$5:$G$1504,K906)</f>
        <v>1</v>
      </c>
    </row>
    <row r="907" spans="1:12">
      <c r="A907" t="s">
        <v>3048</v>
      </c>
      <c r="B907">
        <v>2023</v>
      </c>
      <c r="C907" t="s">
        <v>82</v>
      </c>
      <c r="D907">
        <v>1</v>
      </c>
      <c r="E907">
        <v>1</v>
      </c>
      <c r="F907">
        <f>SUMIF(Base_Itens!$E$5:$E$1504,A907,Base_Itens!$I$5:$I$1504)</f>
        <v>1</v>
      </c>
      <c r="G907">
        <f t="shared" si="42"/>
        <v>0</v>
      </c>
      <c r="H907">
        <f>COUNTIF(Base_Itens!$E$5:$E$1504,A907)</f>
        <v>1</v>
      </c>
      <c r="I907" t="str">
        <f t="shared" si="43"/>
        <v>OK</v>
      </c>
      <c r="J907" t="str">
        <f>Base_Itens!E884</f>
        <v>2023-Q9-1</v>
      </c>
      <c r="K907" t="str">
        <f>Base_Itens!G884</f>
        <v>08 — Curva de Phillips</v>
      </c>
      <c r="L907">
        <f>COUNTIFS(Base_Itens!$E$5:$E$1504,J907,Base_Itens!$G$5:$G$1504,K907)</f>
        <v>1</v>
      </c>
    </row>
    <row r="908" spans="1:12">
      <c r="A908" t="s">
        <v>3049</v>
      </c>
      <c r="B908">
        <v>2023</v>
      </c>
      <c r="C908" t="s">
        <v>82</v>
      </c>
      <c r="D908">
        <v>1</v>
      </c>
      <c r="E908">
        <v>1</v>
      </c>
      <c r="F908">
        <f>SUMIF(Base_Itens!$E$5:$E$1504,A908,Base_Itens!$I$5:$I$1504)</f>
        <v>1</v>
      </c>
      <c r="G908">
        <f t="shared" si="42"/>
        <v>0</v>
      </c>
      <c r="H908">
        <f>COUNTIF(Base_Itens!$E$5:$E$1504,A908)</f>
        <v>1</v>
      </c>
      <c r="I908" t="str">
        <f t="shared" si="43"/>
        <v>OK</v>
      </c>
      <c r="J908" t="str">
        <f>Base_Itens!E885</f>
        <v>2023-Q9-2</v>
      </c>
      <c r="K908" t="str">
        <f>Base_Itens!G885</f>
        <v>08 — Curva de Phillips</v>
      </c>
      <c r="L908">
        <f>COUNTIFS(Base_Itens!$E$5:$E$1504,J908,Base_Itens!$G$5:$G$1504,K908)</f>
        <v>1</v>
      </c>
    </row>
    <row r="909" spans="1:12">
      <c r="A909" t="s">
        <v>3050</v>
      </c>
      <c r="B909">
        <v>2023</v>
      </c>
      <c r="C909" t="s">
        <v>82</v>
      </c>
      <c r="D909">
        <v>1</v>
      </c>
      <c r="E909">
        <v>1</v>
      </c>
      <c r="F909">
        <f>SUMIF(Base_Itens!$E$5:$E$1504,A909,Base_Itens!$I$5:$I$1504)</f>
        <v>1</v>
      </c>
      <c r="G909">
        <f t="shared" si="42"/>
        <v>0</v>
      </c>
      <c r="H909">
        <f>COUNTIF(Base_Itens!$E$5:$E$1504,A909)</f>
        <v>1</v>
      </c>
      <c r="I909" t="str">
        <f t="shared" si="43"/>
        <v>OK</v>
      </c>
      <c r="J909" t="str">
        <f>Base_Itens!E886</f>
        <v>2023-Q9-3</v>
      </c>
      <c r="K909" t="str">
        <f>Base_Itens!G886</f>
        <v>08 — Curva de Phillips</v>
      </c>
      <c r="L909">
        <f>COUNTIFS(Base_Itens!$E$5:$E$1504,J909,Base_Itens!$G$5:$G$1504,K909)</f>
        <v>1</v>
      </c>
    </row>
    <row r="910" spans="1:12">
      <c r="A910" t="s">
        <v>3051</v>
      </c>
      <c r="B910">
        <v>2024</v>
      </c>
      <c r="C910" t="s">
        <v>2153</v>
      </c>
      <c r="D910">
        <v>5</v>
      </c>
      <c r="E910">
        <v>1</v>
      </c>
      <c r="F910">
        <f>SUMIF(Base_Itens!$E$5:$E$1504,A910,Base_Itens!$I$5:$I$1504)</f>
        <v>5</v>
      </c>
      <c r="G910">
        <f t="shared" si="42"/>
        <v>0</v>
      </c>
      <c r="H910">
        <f>COUNTIF(Base_Itens!$E$5:$E$1504,A910)</f>
        <v>1</v>
      </c>
      <c r="I910" t="str">
        <f t="shared" si="43"/>
        <v>OK</v>
      </c>
      <c r="J910" t="str">
        <f>Base_Itens!E887</f>
        <v>2023-Q9-4</v>
      </c>
      <c r="K910" t="str">
        <f>Base_Itens!G887</f>
        <v>08 — Curva de Phillips</v>
      </c>
      <c r="L910">
        <f>COUNTIFS(Base_Itens!$E$5:$E$1504,J910,Base_Itens!$G$5:$G$1504,K910)</f>
        <v>1</v>
      </c>
    </row>
    <row r="911" spans="1:12">
      <c r="A911" t="s">
        <v>3052</v>
      </c>
      <c r="B911">
        <v>2024</v>
      </c>
      <c r="C911" t="s">
        <v>82</v>
      </c>
      <c r="D911">
        <v>1</v>
      </c>
      <c r="E911">
        <v>1</v>
      </c>
      <c r="F911">
        <f>SUMIF(Base_Itens!$E$5:$E$1504,A911,Base_Itens!$I$5:$I$1504)</f>
        <v>1</v>
      </c>
      <c r="G911">
        <f t="shared" si="42"/>
        <v>0</v>
      </c>
      <c r="H911">
        <f>COUNTIF(Base_Itens!$E$5:$E$1504,A911)</f>
        <v>1</v>
      </c>
      <c r="I911" t="str">
        <f t="shared" si="43"/>
        <v>OK</v>
      </c>
      <c r="J911" t="str">
        <f>Base_Itens!E888</f>
        <v>2023-Q10-0</v>
      </c>
      <c r="K911" t="str">
        <f>Base_Itens!G888</f>
        <v>07a — Paridades</v>
      </c>
      <c r="L911">
        <f>COUNTIFS(Base_Itens!$E$5:$E$1504,J911,Base_Itens!$G$5:$G$1504,K911)</f>
        <v>1</v>
      </c>
    </row>
    <row r="912" spans="1:12">
      <c r="A912" t="s">
        <v>3053</v>
      </c>
      <c r="B912">
        <v>2024</v>
      </c>
      <c r="C912" t="s">
        <v>82</v>
      </c>
      <c r="D912">
        <v>1</v>
      </c>
      <c r="E912">
        <v>1</v>
      </c>
      <c r="F912">
        <f>SUMIF(Base_Itens!$E$5:$E$1504,A912,Base_Itens!$I$5:$I$1504)</f>
        <v>1</v>
      </c>
      <c r="G912">
        <f t="shared" si="42"/>
        <v>0</v>
      </c>
      <c r="H912">
        <f>COUNTIF(Base_Itens!$E$5:$E$1504,A912)</f>
        <v>1</v>
      </c>
      <c r="I912" t="str">
        <f t="shared" si="43"/>
        <v>OK</v>
      </c>
      <c r="J912" t="str">
        <f>Base_Itens!E889</f>
        <v>2023-Q10-1</v>
      </c>
      <c r="K912" t="str">
        <f>Base_Itens!G889</f>
        <v>07a — Paridades</v>
      </c>
      <c r="L912">
        <f>COUNTIFS(Base_Itens!$E$5:$E$1504,J912,Base_Itens!$G$5:$G$1504,K912)</f>
        <v>1</v>
      </c>
    </row>
    <row r="913" spans="1:12">
      <c r="A913" t="s">
        <v>3054</v>
      </c>
      <c r="B913">
        <v>2024</v>
      </c>
      <c r="C913" t="s">
        <v>82</v>
      </c>
      <c r="D913">
        <v>1</v>
      </c>
      <c r="E913">
        <v>1</v>
      </c>
      <c r="F913">
        <f>SUMIF(Base_Itens!$E$5:$E$1504,A913,Base_Itens!$I$5:$I$1504)</f>
        <v>1</v>
      </c>
      <c r="G913">
        <f t="shared" si="42"/>
        <v>0</v>
      </c>
      <c r="H913">
        <f>COUNTIF(Base_Itens!$E$5:$E$1504,A913)</f>
        <v>1</v>
      </c>
      <c r="I913" t="str">
        <f t="shared" si="43"/>
        <v>OK</v>
      </c>
      <c r="J913" t="str">
        <f>Base_Itens!E890</f>
        <v>2023-Q10-2</v>
      </c>
      <c r="K913" t="str">
        <f>Base_Itens!G890</f>
        <v>07a — Paridades</v>
      </c>
      <c r="L913">
        <f>COUNTIFS(Base_Itens!$E$5:$E$1504,J913,Base_Itens!$G$5:$G$1504,K913)</f>
        <v>1</v>
      </c>
    </row>
    <row r="914" spans="1:12">
      <c r="A914" t="s">
        <v>3055</v>
      </c>
      <c r="B914">
        <v>2024</v>
      </c>
      <c r="C914" t="s">
        <v>82</v>
      </c>
      <c r="D914">
        <v>1</v>
      </c>
      <c r="E914">
        <v>1</v>
      </c>
      <c r="F914">
        <f>SUMIF(Base_Itens!$E$5:$E$1504,A914,Base_Itens!$I$5:$I$1504)</f>
        <v>1</v>
      </c>
      <c r="G914">
        <f t="shared" si="42"/>
        <v>0</v>
      </c>
      <c r="H914">
        <f>COUNTIF(Base_Itens!$E$5:$E$1504,A914)</f>
        <v>1</v>
      </c>
      <c r="I914" t="str">
        <f t="shared" si="43"/>
        <v>OK</v>
      </c>
      <c r="J914" t="str">
        <f>Base_Itens!E891</f>
        <v>2023-Q10-3</v>
      </c>
      <c r="K914" t="str">
        <f>Base_Itens!G891</f>
        <v>07a — Paridades</v>
      </c>
      <c r="L914">
        <f>COUNTIFS(Base_Itens!$E$5:$E$1504,J914,Base_Itens!$G$5:$G$1504,K914)</f>
        <v>1</v>
      </c>
    </row>
    <row r="915" spans="1:12">
      <c r="A915" t="s">
        <v>3056</v>
      </c>
      <c r="B915">
        <v>2024</v>
      </c>
      <c r="C915" t="s">
        <v>82</v>
      </c>
      <c r="D915">
        <v>1</v>
      </c>
      <c r="E915">
        <v>1</v>
      </c>
      <c r="F915">
        <f>SUMIF(Base_Itens!$E$5:$E$1504,A915,Base_Itens!$I$5:$I$1504)</f>
        <v>1</v>
      </c>
      <c r="G915">
        <f t="shared" si="42"/>
        <v>0</v>
      </c>
      <c r="H915">
        <f>COUNTIF(Base_Itens!$E$5:$E$1504,A915)</f>
        <v>1</v>
      </c>
      <c r="I915" t="str">
        <f t="shared" si="43"/>
        <v>OK</v>
      </c>
      <c r="J915" t="str">
        <f>Base_Itens!E892</f>
        <v>2023-Q10-4</v>
      </c>
      <c r="K915" t="str">
        <f>Base_Itens!G892</f>
        <v>07a — Paridades</v>
      </c>
      <c r="L915">
        <f>COUNTIFS(Base_Itens!$E$5:$E$1504,J915,Base_Itens!$G$5:$G$1504,K915)</f>
        <v>1</v>
      </c>
    </row>
    <row r="916" spans="1:12">
      <c r="A916" t="s">
        <v>3057</v>
      </c>
      <c r="B916">
        <v>2024</v>
      </c>
      <c r="C916" t="s">
        <v>82</v>
      </c>
      <c r="D916">
        <v>1</v>
      </c>
      <c r="E916">
        <v>1</v>
      </c>
      <c r="F916">
        <f>SUMIF(Base_Itens!$E$5:$E$1504,A916,Base_Itens!$I$5:$I$1504)</f>
        <v>1</v>
      </c>
      <c r="G916">
        <f t="shared" si="42"/>
        <v>0</v>
      </c>
      <c r="H916">
        <f>COUNTIF(Base_Itens!$E$5:$E$1504,A916)</f>
        <v>1</v>
      </c>
      <c r="I916" t="str">
        <f t="shared" si="43"/>
        <v>OK</v>
      </c>
      <c r="J916" t="str">
        <f>Base_Itens!E893</f>
        <v>2023-Q11-0</v>
      </c>
      <c r="K916" t="str">
        <f>Base_Itens!G893</f>
        <v>09 — Expectativas, Novos Clássicos e Novos Keynesianos</v>
      </c>
      <c r="L916">
        <f>COUNTIFS(Base_Itens!$E$5:$E$1504,J916,Base_Itens!$G$5:$G$1504,K916)</f>
        <v>1</v>
      </c>
    </row>
    <row r="917" spans="1:12">
      <c r="A917" t="s">
        <v>3058</v>
      </c>
      <c r="B917">
        <v>2024</v>
      </c>
      <c r="C917" t="s">
        <v>82</v>
      </c>
      <c r="D917">
        <v>1</v>
      </c>
      <c r="E917">
        <v>1</v>
      </c>
      <c r="F917">
        <f>SUMIF(Base_Itens!$E$5:$E$1504,A917,Base_Itens!$I$5:$I$1504)</f>
        <v>1</v>
      </c>
      <c r="G917">
        <f t="shared" si="42"/>
        <v>0</v>
      </c>
      <c r="H917">
        <f>COUNTIF(Base_Itens!$E$5:$E$1504,A917)</f>
        <v>1</v>
      </c>
      <c r="I917" t="str">
        <f t="shared" si="43"/>
        <v>OK</v>
      </c>
      <c r="J917" t="str">
        <f>Base_Itens!E894</f>
        <v>2023-Q11-1</v>
      </c>
      <c r="K917" t="str">
        <f>Base_Itens!G894</f>
        <v>09 — Expectativas, Novos Clássicos e Novos Keynesianos</v>
      </c>
      <c r="L917">
        <f>COUNTIFS(Base_Itens!$E$5:$E$1504,J917,Base_Itens!$G$5:$G$1504,K917)</f>
        <v>1</v>
      </c>
    </row>
    <row r="918" spans="1:12">
      <c r="A918" t="s">
        <v>3059</v>
      </c>
      <c r="B918">
        <v>2024</v>
      </c>
      <c r="C918" t="s">
        <v>82</v>
      </c>
      <c r="D918">
        <v>1</v>
      </c>
      <c r="E918">
        <v>1</v>
      </c>
      <c r="F918">
        <f>SUMIF(Base_Itens!$E$5:$E$1504,A918,Base_Itens!$I$5:$I$1504)</f>
        <v>1</v>
      </c>
      <c r="G918">
        <f t="shared" si="42"/>
        <v>0</v>
      </c>
      <c r="H918">
        <f>COUNTIF(Base_Itens!$E$5:$E$1504,A918)</f>
        <v>1</v>
      </c>
      <c r="I918" t="str">
        <f t="shared" si="43"/>
        <v>OK</v>
      </c>
      <c r="J918" t="str">
        <f>Base_Itens!E895</f>
        <v>2023-Q11-2</v>
      </c>
      <c r="K918" t="str">
        <f>Base_Itens!G895</f>
        <v>09 — Expectativas, Novos Clássicos e Novos Keynesianos</v>
      </c>
      <c r="L918">
        <f>COUNTIFS(Base_Itens!$E$5:$E$1504,J918,Base_Itens!$G$5:$G$1504,K918)</f>
        <v>1</v>
      </c>
    </row>
    <row r="919" spans="1:12">
      <c r="A919" t="s">
        <v>3060</v>
      </c>
      <c r="B919">
        <v>2024</v>
      </c>
      <c r="C919" t="s">
        <v>82</v>
      </c>
      <c r="D919">
        <v>1</v>
      </c>
      <c r="E919">
        <v>1</v>
      </c>
      <c r="F919">
        <f>SUMIF(Base_Itens!$E$5:$E$1504,A919,Base_Itens!$I$5:$I$1504)</f>
        <v>1</v>
      </c>
      <c r="G919">
        <f t="shared" si="42"/>
        <v>0</v>
      </c>
      <c r="H919">
        <f>COUNTIF(Base_Itens!$E$5:$E$1504,A919)</f>
        <v>1</v>
      </c>
      <c r="I919" t="str">
        <f t="shared" si="43"/>
        <v>OK</v>
      </c>
      <c r="J919" t="str">
        <f>Base_Itens!E896</f>
        <v>2023-Q11-3</v>
      </c>
      <c r="K919" t="str">
        <f>Base_Itens!G896</f>
        <v>09 — Expectativas, Novos Clássicos e Novos Keynesianos</v>
      </c>
      <c r="L919">
        <f>COUNTIFS(Base_Itens!$E$5:$E$1504,J919,Base_Itens!$G$5:$G$1504,K919)</f>
        <v>1</v>
      </c>
    </row>
    <row r="920" spans="1:12">
      <c r="A920" t="s">
        <v>3061</v>
      </c>
      <c r="B920">
        <v>2024</v>
      </c>
      <c r="C920" t="s">
        <v>82</v>
      </c>
      <c r="D920">
        <v>1</v>
      </c>
      <c r="E920">
        <v>1</v>
      </c>
      <c r="F920">
        <f>SUMIF(Base_Itens!$E$5:$E$1504,A920,Base_Itens!$I$5:$I$1504)</f>
        <v>1</v>
      </c>
      <c r="G920">
        <f t="shared" si="42"/>
        <v>0</v>
      </c>
      <c r="H920">
        <f>COUNTIF(Base_Itens!$E$5:$E$1504,A920)</f>
        <v>1</v>
      </c>
      <c r="I920" t="str">
        <f t="shared" si="43"/>
        <v>OK</v>
      </c>
      <c r="J920" t="str">
        <f>Base_Itens!E897</f>
        <v>2023-Q11-4</v>
      </c>
      <c r="K920" t="str">
        <f>Base_Itens!G897</f>
        <v>09 — Expectativas, Novos Clássicos e Novos Keynesianos</v>
      </c>
      <c r="L920">
        <f>COUNTIFS(Base_Itens!$E$5:$E$1504,J920,Base_Itens!$G$5:$G$1504,K920)</f>
        <v>1</v>
      </c>
    </row>
    <row r="921" spans="1:12">
      <c r="A921" t="s">
        <v>3062</v>
      </c>
      <c r="B921">
        <v>2024</v>
      </c>
      <c r="C921" t="s">
        <v>82</v>
      </c>
      <c r="D921">
        <v>1</v>
      </c>
      <c r="E921">
        <v>1</v>
      </c>
      <c r="F921">
        <f>SUMIF(Base_Itens!$E$5:$E$1504,A921,Base_Itens!$I$5:$I$1504)</f>
        <v>1</v>
      </c>
      <c r="G921">
        <f t="shared" si="42"/>
        <v>0</v>
      </c>
      <c r="H921">
        <f>COUNTIF(Base_Itens!$E$5:$E$1504,A921)</f>
        <v>1</v>
      </c>
      <c r="I921" t="str">
        <f t="shared" si="43"/>
        <v>OK</v>
      </c>
      <c r="J921" t="str">
        <f>Base_Itens!E898</f>
        <v>2023-Q12-0</v>
      </c>
      <c r="K921" t="str">
        <f>Base_Itens!G898</f>
        <v>04 — Demanda por Moeda</v>
      </c>
      <c r="L921">
        <f>COUNTIFS(Base_Itens!$E$5:$E$1504,J921,Base_Itens!$G$5:$G$1504,K921)</f>
        <v>1</v>
      </c>
    </row>
    <row r="922" spans="1:12">
      <c r="A922" t="s">
        <v>3063</v>
      </c>
      <c r="B922">
        <v>2024</v>
      </c>
      <c r="C922" t="s">
        <v>82</v>
      </c>
      <c r="D922">
        <v>1</v>
      </c>
      <c r="E922">
        <v>1</v>
      </c>
      <c r="F922">
        <f>SUMIF(Base_Itens!$E$5:$E$1504,A922,Base_Itens!$I$5:$I$1504)</f>
        <v>1</v>
      </c>
      <c r="G922">
        <f t="shared" si="42"/>
        <v>0</v>
      </c>
      <c r="H922">
        <f>COUNTIF(Base_Itens!$E$5:$E$1504,A922)</f>
        <v>1</v>
      </c>
      <c r="I922" t="str">
        <f t="shared" si="43"/>
        <v>OK</v>
      </c>
      <c r="J922" t="str">
        <f>Base_Itens!E899</f>
        <v>2023-Q12-1</v>
      </c>
      <c r="K922" t="str">
        <f>Base_Itens!G899</f>
        <v>04 — Demanda por Moeda</v>
      </c>
      <c r="L922">
        <f>COUNTIFS(Base_Itens!$E$5:$E$1504,J922,Base_Itens!$G$5:$G$1504,K922)</f>
        <v>1</v>
      </c>
    </row>
    <row r="923" spans="1:12">
      <c r="A923" t="s">
        <v>3064</v>
      </c>
      <c r="B923">
        <v>2024</v>
      </c>
      <c r="C923" t="s">
        <v>82</v>
      </c>
      <c r="D923">
        <v>1</v>
      </c>
      <c r="E923">
        <v>2</v>
      </c>
      <c r="F923">
        <f>SUMIF(Base_Itens!$E$5:$E$1504,A923,Base_Itens!$I$5:$I$1504)</f>
        <v>1</v>
      </c>
      <c r="G923">
        <f t="shared" si="42"/>
        <v>0</v>
      </c>
      <c r="H923">
        <f>COUNTIF(Base_Itens!$E$5:$E$1504,A923)</f>
        <v>2</v>
      </c>
      <c r="I923" t="str">
        <f t="shared" si="43"/>
        <v>OK</v>
      </c>
      <c r="J923" t="str">
        <f>Base_Itens!E900</f>
        <v>2023-Q12-2</v>
      </c>
      <c r="K923" t="str">
        <f>Base_Itens!G900</f>
        <v>07a — Paridades</v>
      </c>
      <c r="L923">
        <f>COUNTIFS(Base_Itens!$E$5:$E$1504,J923,Base_Itens!$G$5:$G$1504,K923)</f>
        <v>1</v>
      </c>
    </row>
    <row r="924" spans="1:12">
      <c r="A924" t="s">
        <v>3065</v>
      </c>
      <c r="B924">
        <v>2024</v>
      </c>
      <c r="C924" t="s">
        <v>82</v>
      </c>
      <c r="D924">
        <v>1</v>
      </c>
      <c r="E924">
        <v>1</v>
      </c>
      <c r="F924">
        <f>SUMIF(Base_Itens!$E$5:$E$1504,A924,Base_Itens!$I$5:$I$1504)</f>
        <v>1</v>
      </c>
      <c r="G924">
        <f t="shared" ref="G924:G987" si="44">F924-D924</f>
        <v>0</v>
      </c>
      <c r="H924">
        <f>COUNTIF(Base_Itens!$E$5:$E$1504,A924)</f>
        <v>1</v>
      </c>
      <c r="I924" t="str">
        <f t="shared" si="43"/>
        <v>OK</v>
      </c>
      <c r="J924" t="str">
        <f>Base_Itens!E901</f>
        <v>2023-Q12-3</v>
      </c>
      <c r="K924" t="str">
        <f>Base_Itens!G901</f>
        <v>06 — IS-LM-BP</v>
      </c>
      <c r="L924">
        <f>COUNTIFS(Base_Itens!$E$5:$E$1504,J924,Base_Itens!$G$5:$G$1504,K924)</f>
        <v>1</v>
      </c>
    </row>
    <row r="925" spans="1:12">
      <c r="A925" t="s">
        <v>3066</v>
      </c>
      <c r="B925">
        <v>2024</v>
      </c>
      <c r="C925" t="s">
        <v>82</v>
      </c>
      <c r="D925">
        <v>1</v>
      </c>
      <c r="E925">
        <v>1</v>
      </c>
      <c r="F925">
        <f>SUMIF(Base_Itens!$E$5:$E$1504,A925,Base_Itens!$I$5:$I$1504)</f>
        <v>1</v>
      </c>
      <c r="G925">
        <f t="shared" si="44"/>
        <v>0</v>
      </c>
      <c r="H925">
        <f>COUNTIF(Base_Itens!$E$5:$E$1504,A925)</f>
        <v>1</v>
      </c>
      <c r="I925" t="str">
        <f t="shared" si="43"/>
        <v>OK</v>
      </c>
      <c r="J925" t="str">
        <f>Base_Itens!E902</f>
        <v>2023-Q12-4</v>
      </c>
      <c r="K925" t="str">
        <f>Base_Itens!G902</f>
        <v>07b — OA-DA</v>
      </c>
      <c r="L925">
        <f>COUNTIFS(Base_Itens!$E$5:$E$1504,J925,Base_Itens!$G$5:$G$1504,K925)</f>
        <v>1</v>
      </c>
    </row>
    <row r="926" spans="1:12">
      <c r="A926" t="s">
        <v>3067</v>
      </c>
      <c r="B926">
        <v>2024</v>
      </c>
      <c r="C926" t="s">
        <v>2153</v>
      </c>
      <c r="D926">
        <v>5</v>
      </c>
      <c r="E926">
        <v>1</v>
      </c>
      <c r="F926">
        <f>SUMIF(Base_Itens!$E$5:$E$1504,A926,Base_Itens!$I$5:$I$1504)</f>
        <v>5</v>
      </c>
      <c r="G926">
        <f t="shared" si="44"/>
        <v>0</v>
      </c>
      <c r="H926">
        <f>COUNTIF(Base_Itens!$E$5:$E$1504,A926)</f>
        <v>1</v>
      </c>
      <c r="I926" t="str">
        <f t="shared" si="43"/>
        <v>OK</v>
      </c>
      <c r="J926" t="str">
        <f>Base_Itens!E903</f>
        <v>2023-Q13-0</v>
      </c>
      <c r="K926" t="str">
        <f>Base_Itens!G903</f>
        <v>07a — Paridades</v>
      </c>
      <c r="L926">
        <f>COUNTIFS(Base_Itens!$E$5:$E$1504,J926,Base_Itens!$G$5:$G$1504,K926)</f>
        <v>1</v>
      </c>
    </row>
    <row r="927" spans="1:12">
      <c r="A927" t="s">
        <v>3068</v>
      </c>
      <c r="B927">
        <v>2024</v>
      </c>
      <c r="C927" t="s">
        <v>82</v>
      </c>
      <c r="D927">
        <v>1</v>
      </c>
      <c r="E927">
        <v>1</v>
      </c>
      <c r="F927">
        <f>SUMIF(Base_Itens!$E$5:$E$1504,A927,Base_Itens!$I$5:$I$1504)</f>
        <v>1</v>
      </c>
      <c r="G927">
        <f t="shared" si="44"/>
        <v>0</v>
      </c>
      <c r="H927">
        <f>COUNTIF(Base_Itens!$E$5:$E$1504,A927)</f>
        <v>1</v>
      </c>
      <c r="I927" t="str">
        <f t="shared" si="43"/>
        <v>OK</v>
      </c>
      <c r="J927" t="str">
        <f>Base_Itens!E904</f>
        <v>2023-Q13-1</v>
      </c>
      <c r="K927" t="str">
        <f>Base_Itens!G904</f>
        <v>07a — Paridades</v>
      </c>
      <c r="L927">
        <f>COUNTIFS(Base_Itens!$E$5:$E$1504,J927,Base_Itens!$G$5:$G$1504,K927)</f>
        <v>1</v>
      </c>
    </row>
    <row r="928" spans="1:12">
      <c r="A928" t="s">
        <v>3069</v>
      </c>
      <c r="B928">
        <v>2024</v>
      </c>
      <c r="C928" t="s">
        <v>82</v>
      </c>
      <c r="D928">
        <v>1</v>
      </c>
      <c r="E928">
        <v>1</v>
      </c>
      <c r="F928">
        <f>SUMIF(Base_Itens!$E$5:$E$1504,A928,Base_Itens!$I$5:$I$1504)</f>
        <v>1</v>
      </c>
      <c r="G928">
        <f t="shared" si="44"/>
        <v>0</v>
      </c>
      <c r="H928">
        <f>COUNTIF(Base_Itens!$E$5:$E$1504,A928)</f>
        <v>1</v>
      </c>
      <c r="I928" t="str">
        <f t="shared" si="43"/>
        <v>OK</v>
      </c>
      <c r="J928" t="str">
        <f>Base_Itens!E905</f>
        <v>2023-Q13-2</v>
      </c>
      <c r="K928" t="str">
        <f>Base_Itens!G905</f>
        <v>07a — Paridades</v>
      </c>
      <c r="L928">
        <f>COUNTIFS(Base_Itens!$E$5:$E$1504,J928,Base_Itens!$G$5:$G$1504,K928)</f>
        <v>1</v>
      </c>
    </row>
    <row r="929" spans="1:12">
      <c r="A929" t="s">
        <v>3070</v>
      </c>
      <c r="B929">
        <v>2024</v>
      </c>
      <c r="C929" t="s">
        <v>82</v>
      </c>
      <c r="D929">
        <v>1</v>
      </c>
      <c r="E929">
        <v>1</v>
      </c>
      <c r="F929">
        <f>SUMIF(Base_Itens!$E$5:$E$1504,A929,Base_Itens!$I$5:$I$1504)</f>
        <v>1</v>
      </c>
      <c r="G929">
        <f t="shared" si="44"/>
        <v>0</v>
      </c>
      <c r="H929">
        <f>COUNTIF(Base_Itens!$E$5:$E$1504,A929)</f>
        <v>1</v>
      </c>
      <c r="I929" t="str">
        <f t="shared" si="43"/>
        <v>OK</v>
      </c>
      <c r="J929" t="str">
        <f>Base_Itens!E906</f>
        <v>2023-Q13-3</v>
      </c>
      <c r="K929" t="str">
        <f>Base_Itens!G906</f>
        <v>07a — Paridades</v>
      </c>
      <c r="L929">
        <f>COUNTIFS(Base_Itens!$E$5:$E$1504,J929,Base_Itens!$G$5:$G$1504,K929)</f>
        <v>1</v>
      </c>
    </row>
    <row r="930" spans="1:12">
      <c r="A930" t="s">
        <v>3071</v>
      </c>
      <c r="B930">
        <v>2024</v>
      </c>
      <c r="C930" t="s">
        <v>82</v>
      </c>
      <c r="D930">
        <v>1</v>
      </c>
      <c r="E930">
        <v>1</v>
      </c>
      <c r="F930">
        <f>SUMIF(Base_Itens!$E$5:$E$1504,A930,Base_Itens!$I$5:$I$1504)</f>
        <v>1</v>
      </c>
      <c r="G930">
        <f t="shared" si="44"/>
        <v>0</v>
      </c>
      <c r="H930">
        <f>COUNTIF(Base_Itens!$E$5:$E$1504,A930)</f>
        <v>1</v>
      </c>
      <c r="I930" t="str">
        <f t="shared" si="43"/>
        <v>OK</v>
      </c>
      <c r="J930" t="str">
        <f>Base_Itens!E907</f>
        <v>2023-Q13-4</v>
      </c>
      <c r="K930" t="str">
        <f>Base_Itens!G907</f>
        <v>07a — Paridades</v>
      </c>
      <c r="L930">
        <f>COUNTIFS(Base_Itens!$E$5:$E$1504,J930,Base_Itens!$G$5:$G$1504,K930)</f>
        <v>1</v>
      </c>
    </row>
    <row r="931" spans="1:12">
      <c r="A931" t="s">
        <v>3072</v>
      </c>
      <c r="B931">
        <v>2024</v>
      </c>
      <c r="C931" t="s">
        <v>82</v>
      </c>
      <c r="D931">
        <v>1</v>
      </c>
      <c r="E931">
        <v>1</v>
      </c>
      <c r="F931">
        <f>SUMIF(Base_Itens!$E$5:$E$1504,A931,Base_Itens!$I$5:$I$1504)</f>
        <v>1</v>
      </c>
      <c r="G931">
        <f t="shared" si="44"/>
        <v>0</v>
      </c>
      <c r="H931">
        <f>COUNTIF(Base_Itens!$E$5:$E$1504,A931)</f>
        <v>1</v>
      </c>
      <c r="I931" t="str">
        <f t="shared" si="43"/>
        <v>OK</v>
      </c>
      <c r="J931" t="str">
        <f>Base_Itens!E908</f>
        <v>2023-Q14-0</v>
      </c>
      <c r="K931" t="str">
        <f>Base_Itens!G908</f>
        <v>11 — Crescimento Econômico</v>
      </c>
      <c r="L931">
        <f>COUNTIFS(Base_Itens!$E$5:$E$1504,J931,Base_Itens!$G$5:$G$1504,K931)</f>
        <v>1</v>
      </c>
    </row>
    <row r="932" spans="1:12">
      <c r="A932" t="s">
        <v>3073</v>
      </c>
      <c r="B932">
        <v>2024</v>
      </c>
      <c r="C932" t="s">
        <v>2153</v>
      </c>
      <c r="D932">
        <v>5</v>
      </c>
      <c r="E932">
        <v>1</v>
      </c>
      <c r="F932">
        <f>SUMIF(Base_Itens!$E$5:$E$1504,A932,Base_Itens!$I$5:$I$1504)</f>
        <v>5</v>
      </c>
      <c r="G932">
        <f t="shared" si="44"/>
        <v>0</v>
      </c>
      <c r="H932">
        <f>COUNTIF(Base_Itens!$E$5:$E$1504,A932)</f>
        <v>1</v>
      </c>
      <c r="I932" t="str">
        <f t="shared" si="43"/>
        <v>OK</v>
      </c>
      <c r="J932" t="str">
        <f>Base_Itens!E909</f>
        <v>2023-Q14-1</v>
      </c>
      <c r="K932" t="str">
        <f>Base_Itens!G909</f>
        <v>11 — Crescimento Econômico</v>
      </c>
      <c r="L932">
        <f>COUNTIFS(Base_Itens!$E$5:$E$1504,J932,Base_Itens!$G$5:$G$1504,K932)</f>
        <v>1</v>
      </c>
    </row>
    <row r="933" spans="1:12">
      <c r="A933" t="s">
        <v>3074</v>
      </c>
      <c r="B933">
        <v>2024</v>
      </c>
      <c r="C933" t="s">
        <v>82</v>
      </c>
      <c r="D933">
        <v>1</v>
      </c>
      <c r="E933">
        <v>1</v>
      </c>
      <c r="F933">
        <f>SUMIF(Base_Itens!$E$5:$E$1504,A933,Base_Itens!$I$5:$I$1504)</f>
        <v>1</v>
      </c>
      <c r="G933">
        <f t="shared" si="44"/>
        <v>0</v>
      </c>
      <c r="H933">
        <f>COUNTIF(Base_Itens!$E$5:$E$1504,A933)</f>
        <v>1</v>
      </c>
      <c r="I933" t="str">
        <f t="shared" si="43"/>
        <v>OK</v>
      </c>
      <c r="J933" t="str">
        <f>Base_Itens!E910</f>
        <v>2023-Q14-2</v>
      </c>
      <c r="K933" t="str">
        <f>Base_Itens!G910</f>
        <v>11 — Crescimento Econômico</v>
      </c>
      <c r="L933">
        <f>COUNTIFS(Base_Itens!$E$5:$E$1504,J933,Base_Itens!$G$5:$G$1504,K933)</f>
        <v>1</v>
      </c>
    </row>
    <row r="934" spans="1:12">
      <c r="A934" t="s">
        <v>3075</v>
      </c>
      <c r="B934">
        <v>2024</v>
      </c>
      <c r="C934" t="s">
        <v>82</v>
      </c>
      <c r="D934">
        <v>1</v>
      </c>
      <c r="E934">
        <v>1</v>
      </c>
      <c r="F934">
        <f>SUMIF(Base_Itens!$E$5:$E$1504,A934,Base_Itens!$I$5:$I$1504)</f>
        <v>1</v>
      </c>
      <c r="G934">
        <f t="shared" si="44"/>
        <v>0</v>
      </c>
      <c r="H934">
        <f>COUNTIF(Base_Itens!$E$5:$E$1504,A934)</f>
        <v>1</v>
      </c>
      <c r="I934" t="str">
        <f t="shared" si="43"/>
        <v>OK</v>
      </c>
      <c r="J934" t="str">
        <f>Base_Itens!E911</f>
        <v>2023-Q14-3</v>
      </c>
      <c r="K934" t="str">
        <f>Base_Itens!G911</f>
        <v>11 — Crescimento Econômico</v>
      </c>
      <c r="L934">
        <f>COUNTIFS(Base_Itens!$E$5:$E$1504,J934,Base_Itens!$G$5:$G$1504,K934)</f>
        <v>1</v>
      </c>
    </row>
    <row r="935" spans="1:12">
      <c r="A935" t="s">
        <v>3076</v>
      </c>
      <c r="B935">
        <v>2024</v>
      </c>
      <c r="C935" t="s">
        <v>82</v>
      </c>
      <c r="D935">
        <v>1</v>
      </c>
      <c r="E935">
        <v>1</v>
      </c>
      <c r="F935">
        <f>SUMIF(Base_Itens!$E$5:$E$1504,A935,Base_Itens!$I$5:$I$1504)</f>
        <v>1</v>
      </c>
      <c r="G935">
        <f t="shared" si="44"/>
        <v>0</v>
      </c>
      <c r="H935">
        <f>COUNTIF(Base_Itens!$E$5:$E$1504,A935)</f>
        <v>1</v>
      </c>
      <c r="I935" t="str">
        <f t="shared" si="43"/>
        <v>OK</v>
      </c>
      <c r="J935" t="str">
        <f>Base_Itens!E912</f>
        <v>2023-Q14-4</v>
      </c>
      <c r="K935" t="str">
        <f>Base_Itens!G912</f>
        <v>11 — Crescimento Econômico</v>
      </c>
      <c r="L935">
        <f>COUNTIFS(Base_Itens!$E$5:$E$1504,J935,Base_Itens!$G$5:$G$1504,K935)</f>
        <v>1</v>
      </c>
    </row>
    <row r="936" spans="1:12">
      <c r="A936" t="s">
        <v>3077</v>
      </c>
      <c r="B936">
        <v>2024</v>
      </c>
      <c r="C936" t="s">
        <v>82</v>
      </c>
      <c r="D936">
        <v>1</v>
      </c>
      <c r="E936">
        <v>1</v>
      </c>
      <c r="F936">
        <f>SUMIF(Base_Itens!$E$5:$E$1504,A936,Base_Itens!$I$5:$I$1504)</f>
        <v>1</v>
      </c>
      <c r="G936">
        <f t="shared" si="44"/>
        <v>0</v>
      </c>
      <c r="H936">
        <f>COUNTIF(Base_Itens!$E$5:$E$1504,A936)</f>
        <v>1</v>
      </c>
      <c r="I936" t="str">
        <f t="shared" si="43"/>
        <v>OK</v>
      </c>
      <c r="J936" t="str">
        <f>Base_Itens!E913</f>
        <v>2023-Q15-0</v>
      </c>
      <c r="K936" t="str">
        <f>Base_Itens!G913</f>
        <v>12 — Consumo</v>
      </c>
      <c r="L936">
        <f>COUNTIFS(Base_Itens!$E$5:$E$1504,J936,Base_Itens!$G$5:$G$1504,K936)</f>
        <v>1</v>
      </c>
    </row>
    <row r="937" spans="1:12">
      <c r="A937" t="s">
        <v>3078</v>
      </c>
      <c r="B937">
        <v>2024</v>
      </c>
      <c r="C937" t="s">
        <v>82</v>
      </c>
      <c r="D937">
        <v>1</v>
      </c>
      <c r="E937">
        <v>1</v>
      </c>
      <c r="F937">
        <f>SUMIF(Base_Itens!$E$5:$E$1504,A937,Base_Itens!$I$5:$I$1504)</f>
        <v>1</v>
      </c>
      <c r="G937">
        <f t="shared" si="44"/>
        <v>0</v>
      </c>
      <c r="H937">
        <f>COUNTIF(Base_Itens!$E$5:$E$1504,A937)</f>
        <v>1</v>
      </c>
      <c r="I937" t="str">
        <f t="shared" si="43"/>
        <v>OK</v>
      </c>
      <c r="J937" t="str">
        <f>Base_Itens!E914</f>
        <v>2023-Q15-1</v>
      </c>
      <c r="K937" t="str">
        <f>Base_Itens!G914</f>
        <v>12 — Consumo</v>
      </c>
      <c r="L937">
        <f>COUNTIFS(Base_Itens!$E$5:$E$1504,J937,Base_Itens!$G$5:$G$1504,K937)</f>
        <v>1</v>
      </c>
    </row>
    <row r="938" spans="1:12">
      <c r="A938" t="s">
        <v>3079</v>
      </c>
      <c r="B938">
        <v>2024</v>
      </c>
      <c r="C938" t="s">
        <v>82</v>
      </c>
      <c r="D938">
        <v>1</v>
      </c>
      <c r="E938">
        <v>1</v>
      </c>
      <c r="F938">
        <f>SUMIF(Base_Itens!$E$5:$E$1504,A938,Base_Itens!$I$5:$I$1504)</f>
        <v>1</v>
      </c>
      <c r="G938">
        <f t="shared" si="44"/>
        <v>0</v>
      </c>
      <c r="H938">
        <f>COUNTIF(Base_Itens!$E$5:$E$1504,A938)</f>
        <v>1</v>
      </c>
      <c r="I938" t="str">
        <f t="shared" si="43"/>
        <v>OK</v>
      </c>
      <c r="J938" t="str">
        <f>Base_Itens!E915</f>
        <v>2023-Q15-2</v>
      </c>
      <c r="K938" t="str">
        <f>Base_Itens!G915</f>
        <v>12 — Consumo</v>
      </c>
      <c r="L938">
        <f>COUNTIFS(Base_Itens!$E$5:$E$1504,J938,Base_Itens!$G$5:$G$1504,K938)</f>
        <v>1</v>
      </c>
    </row>
    <row r="939" spans="1:12">
      <c r="A939" t="s">
        <v>3080</v>
      </c>
      <c r="B939">
        <v>2024</v>
      </c>
      <c r="C939" t="s">
        <v>82</v>
      </c>
      <c r="D939">
        <v>1</v>
      </c>
      <c r="E939">
        <v>1</v>
      </c>
      <c r="F939">
        <f>SUMIF(Base_Itens!$E$5:$E$1504,A939,Base_Itens!$I$5:$I$1504)</f>
        <v>1</v>
      </c>
      <c r="G939">
        <f t="shared" si="44"/>
        <v>0</v>
      </c>
      <c r="H939">
        <f>COUNTIF(Base_Itens!$E$5:$E$1504,A939)</f>
        <v>1</v>
      </c>
      <c r="I939" t="str">
        <f t="shared" si="43"/>
        <v>OK</v>
      </c>
      <c r="J939" t="str">
        <f>Base_Itens!E916</f>
        <v>2023-Q15-3</v>
      </c>
      <c r="K939" t="str">
        <f>Base_Itens!G916</f>
        <v>14 — Dívida Pública e Senhoriagem</v>
      </c>
      <c r="L939">
        <f>COUNTIFS(Base_Itens!$E$5:$E$1504,J939,Base_Itens!$G$5:$G$1504,K939)</f>
        <v>1</v>
      </c>
    </row>
    <row r="940" spans="1:12">
      <c r="A940" t="s">
        <v>3081</v>
      </c>
      <c r="B940">
        <v>2024</v>
      </c>
      <c r="C940" t="s">
        <v>82</v>
      </c>
      <c r="D940">
        <v>1</v>
      </c>
      <c r="E940">
        <v>1</v>
      </c>
      <c r="F940">
        <f>SUMIF(Base_Itens!$E$5:$E$1504,A940,Base_Itens!$I$5:$I$1504)</f>
        <v>1</v>
      </c>
      <c r="G940">
        <f t="shared" si="44"/>
        <v>0</v>
      </c>
      <c r="H940">
        <f>COUNTIF(Base_Itens!$E$5:$E$1504,A940)</f>
        <v>1</v>
      </c>
      <c r="I940" t="str">
        <f t="shared" si="43"/>
        <v>OK</v>
      </c>
      <c r="J940" t="str">
        <f>Base_Itens!E917</f>
        <v>2023-Q15-4</v>
      </c>
      <c r="K940" t="str">
        <f>Base_Itens!G917</f>
        <v>12 — Consumo</v>
      </c>
      <c r="L940">
        <f>COUNTIFS(Base_Itens!$E$5:$E$1504,J940,Base_Itens!$G$5:$G$1504,K940)</f>
        <v>1</v>
      </c>
    </row>
    <row r="941" spans="1:12">
      <c r="A941" t="s">
        <v>3082</v>
      </c>
      <c r="B941">
        <v>2024</v>
      </c>
      <c r="C941" t="s">
        <v>82</v>
      </c>
      <c r="D941">
        <v>1</v>
      </c>
      <c r="E941">
        <v>1</v>
      </c>
      <c r="F941">
        <f>SUMIF(Base_Itens!$E$5:$E$1504,A941,Base_Itens!$I$5:$I$1504)</f>
        <v>1</v>
      </c>
      <c r="G941">
        <f t="shared" si="44"/>
        <v>0</v>
      </c>
      <c r="H941">
        <f>COUNTIF(Base_Itens!$E$5:$E$1504,A941)</f>
        <v>1</v>
      </c>
      <c r="I941" t="str">
        <f t="shared" si="43"/>
        <v>OK</v>
      </c>
      <c r="J941" t="str">
        <f>Base_Itens!E918</f>
        <v>2024-Q1-ABERTA</v>
      </c>
      <c r="K941" t="str">
        <f>Base_Itens!G918</f>
        <v>02 — Balanço de Pagamentos</v>
      </c>
      <c r="L941">
        <f>COUNTIFS(Base_Itens!$E$5:$E$1504,J941,Base_Itens!$G$5:$G$1504,K941)</f>
        <v>1</v>
      </c>
    </row>
    <row r="942" spans="1:12">
      <c r="A942" t="s">
        <v>3083</v>
      </c>
      <c r="B942">
        <v>2024</v>
      </c>
      <c r="C942" t="s">
        <v>82</v>
      </c>
      <c r="D942">
        <v>1</v>
      </c>
      <c r="E942">
        <v>1</v>
      </c>
      <c r="F942">
        <f>SUMIF(Base_Itens!$E$5:$E$1504,A942,Base_Itens!$I$5:$I$1504)</f>
        <v>1</v>
      </c>
      <c r="G942">
        <f t="shared" si="44"/>
        <v>0</v>
      </c>
      <c r="H942">
        <f>COUNTIF(Base_Itens!$E$5:$E$1504,A942)</f>
        <v>1</v>
      </c>
      <c r="I942" t="str">
        <f t="shared" si="43"/>
        <v>OK</v>
      </c>
      <c r="J942" t="str">
        <f>Base_Itens!E919</f>
        <v>2024-Q2-0</v>
      </c>
      <c r="K942" t="str">
        <f>Base_Itens!G919</f>
        <v>08 — Curva de Phillips</v>
      </c>
      <c r="L942">
        <f>COUNTIFS(Base_Itens!$E$5:$E$1504,J942,Base_Itens!$G$5:$G$1504,K942)</f>
        <v>1</v>
      </c>
    </row>
    <row r="943" spans="1:12">
      <c r="A943" t="s">
        <v>3084</v>
      </c>
      <c r="B943">
        <v>2024</v>
      </c>
      <c r="C943" t="s">
        <v>82</v>
      </c>
      <c r="D943">
        <v>1</v>
      </c>
      <c r="E943">
        <v>1</v>
      </c>
      <c r="F943">
        <f>SUMIF(Base_Itens!$E$5:$E$1504,A943,Base_Itens!$I$5:$I$1504)</f>
        <v>1</v>
      </c>
      <c r="G943">
        <f t="shared" si="44"/>
        <v>0</v>
      </c>
      <c r="H943">
        <f>COUNTIF(Base_Itens!$E$5:$E$1504,A943)</f>
        <v>1</v>
      </c>
      <c r="I943" t="str">
        <f t="shared" si="43"/>
        <v>OK</v>
      </c>
      <c r="J943" t="str">
        <f>Base_Itens!E920</f>
        <v>2024-Q2-1</v>
      </c>
      <c r="K943" t="str">
        <f>Base_Itens!G920</f>
        <v>04 — Demanda por Moeda</v>
      </c>
      <c r="L943">
        <f>COUNTIFS(Base_Itens!$E$5:$E$1504,J943,Base_Itens!$G$5:$G$1504,K943)</f>
        <v>1</v>
      </c>
    </row>
    <row r="944" spans="1:12">
      <c r="A944" t="s">
        <v>3085</v>
      </c>
      <c r="B944">
        <v>2024</v>
      </c>
      <c r="C944" t="s">
        <v>82</v>
      </c>
      <c r="D944">
        <v>1</v>
      </c>
      <c r="E944">
        <v>1</v>
      </c>
      <c r="F944">
        <f>SUMIF(Base_Itens!$E$5:$E$1504,A944,Base_Itens!$I$5:$I$1504)</f>
        <v>1</v>
      </c>
      <c r="G944">
        <f t="shared" si="44"/>
        <v>0</v>
      </c>
      <c r="H944">
        <f>COUNTIF(Base_Itens!$E$5:$E$1504,A944)</f>
        <v>1</v>
      </c>
      <c r="I944" t="str">
        <f t="shared" si="43"/>
        <v>OK</v>
      </c>
      <c r="J944" t="str">
        <f>Base_Itens!E921</f>
        <v>2024-Q2-2</v>
      </c>
      <c r="K944" t="str">
        <f>Base_Itens!G921</f>
        <v>08 — Curva de Phillips</v>
      </c>
      <c r="L944">
        <f>COUNTIFS(Base_Itens!$E$5:$E$1504,J944,Base_Itens!$G$5:$G$1504,K944)</f>
        <v>1</v>
      </c>
    </row>
    <row r="945" spans="1:12">
      <c r="A945" t="s">
        <v>3086</v>
      </c>
      <c r="B945">
        <v>2024</v>
      </c>
      <c r="C945" t="s">
        <v>82</v>
      </c>
      <c r="D945">
        <v>1</v>
      </c>
      <c r="E945">
        <v>1</v>
      </c>
      <c r="F945">
        <f>SUMIF(Base_Itens!$E$5:$E$1504,A945,Base_Itens!$I$5:$I$1504)</f>
        <v>1</v>
      </c>
      <c r="G945">
        <f t="shared" si="44"/>
        <v>0</v>
      </c>
      <c r="H945">
        <f>COUNTIF(Base_Itens!$E$5:$E$1504,A945)</f>
        <v>1</v>
      </c>
      <c r="I945" t="str">
        <f t="shared" si="43"/>
        <v>OK</v>
      </c>
      <c r="J945" t="str">
        <f>Base_Itens!E922</f>
        <v>2024-Q2-3</v>
      </c>
      <c r="K945" t="str">
        <f>Base_Itens!G922</f>
        <v>08 — Curva de Phillips</v>
      </c>
      <c r="L945">
        <f>COUNTIFS(Base_Itens!$E$5:$E$1504,J945,Base_Itens!$G$5:$G$1504,K945)</f>
        <v>1</v>
      </c>
    </row>
    <row r="946" spans="1:12">
      <c r="A946" t="s">
        <v>3087</v>
      </c>
      <c r="B946">
        <v>2024</v>
      </c>
      <c r="C946" t="s">
        <v>82</v>
      </c>
      <c r="D946">
        <v>1</v>
      </c>
      <c r="E946">
        <v>1</v>
      </c>
      <c r="F946">
        <f>SUMIF(Base_Itens!$E$5:$E$1504,A946,Base_Itens!$I$5:$I$1504)</f>
        <v>1</v>
      </c>
      <c r="G946">
        <f t="shared" si="44"/>
        <v>0</v>
      </c>
      <c r="H946">
        <f>COUNTIF(Base_Itens!$E$5:$E$1504,A946)</f>
        <v>1</v>
      </c>
      <c r="I946" t="str">
        <f t="shared" si="43"/>
        <v>OK</v>
      </c>
      <c r="J946" t="str">
        <f>Base_Itens!E923</f>
        <v>2024-Q2-4</v>
      </c>
      <c r="K946" t="str">
        <f>Base_Itens!G923</f>
        <v>08 — Curva de Phillips</v>
      </c>
      <c r="L946">
        <f>COUNTIFS(Base_Itens!$E$5:$E$1504,J946,Base_Itens!$G$5:$G$1504,K946)</f>
        <v>1</v>
      </c>
    </row>
    <row r="947" spans="1:12">
      <c r="A947" t="s">
        <v>3088</v>
      </c>
      <c r="B947">
        <v>2024</v>
      </c>
      <c r="C947" t="s">
        <v>82</v>
      </c>
      <c r="D947">
        <v>1</v>
      </c>
      <c r="E947">
        <v>1</v>
      </c>
      <c r="F947">
        <f>SUMIF(Base_Itens!$E$5:$E$1504,A947,Base_Itens!$I$5:$I$1504)</f>
        <v>1</v>
      </c>
      <c r="G947">
        <f t="shared" si="44"/>
        <v>0</v>
      </c>
      <c r="H947">
        <f>COUNTIF(Base_Itens!$E$5:$E$1504,A947)</f>
        <v>1</v>
      </c>
      <c r="I947" t="str">
        <f t="shared" si="43"/>
        <v>OK</v>
      </c>
      <c r="J947" t="str">
        <f>Base_Itens!E924</f>
        <v>2024-Q3-0</v>
      </c>
      <c r="K947" t="str">
        <f>Base_Itens!G924</f>
        <v>06 — IS-LM-BP</v>
      </c>
      <c r="L947">
        <f>COUNTIFS(Base_Itens!$E$5:$E$1504,J947,Base_Itens!$G$5:$G$1504,K947)</f>
        <v>1</v>
      </c>
    </row>
    <row r="948" spans="1:12">
      <c r="A948" t="s">
        <v>3089</v>
      </c>
      <c r="B948">
        <v>2025</v>
      </c>
      <c r="C948" t="s">
        <v>82</v>
      </c>
      <c r="D948">
        <v>1</v>
      </c>
      <c r="E948">
        <v>1</v>
      </c>
      <c r="F948">
        <f>SUMIF(Base_Itens!$E$5:$E$1504,A948,Base_Itens!$I$5:$I$1504)</f>
        <v>1</v>
      </c>
      <c r="G948">
        <f t="shared" si="44"/>
        <v>0</v>
      </c>
      <c r="H948">
        <f>COUNTIF(Base_Itens!$E$5:$E$1504,A948)</f>
        <v>1</v>
      </c>
      <c r="I948" t="str">
        <f t="shared" si="43"/>
        <v>OK</v>
      </c>
      <c r="J948" t="str">
        <f>Base_Itens!E925</f>
        <v>2024-Q3-1</v>
      </c>
      <c r="K948" t="str">
        <f>Base_Itens!G925</f>
        <v>06 — IS-LM-BP</v>
      </c>
      <c r="L948">
        <f>COUNTIFS(Base_Itens!$E$5:$E$1504,J948,Base_Itens!$G$5:$G$1504,K948)</f>
        <v>1</v>
      </c>
    </row>
    <row r="949" spans="1:12">
      <c r="A949" t="s">
        <v>3090</v>
      </c>
      <c r="B949">
        <v>2025</v>
      </c>
      <c r="C949" t="s">
        <v>82</v>
      </c>
      <c r="D949">
        <v>1</v>
      </c>
      <c r="E949">
        <v>1</v>
      </c>
      <c r="F949">
        <f>SUMIF(Base_Itens!$E$5:$E$1504,A949,Base_Itens!$I$5:$I$1504)</f>
        <v>1</v>
      </c>
      <c r="G949">
        <f t="shared" si="44"/>
        <v>0</v>
      </c>
      <c r="H949">
        <f>COUNTIF(Base_Itens!$E$5:$E$1504,A949)</f>
        <v>1</v>
      </c>
      <c r="I949" t="str">
        <f t="shared" si="43"/>
        <v>OK</v>
      </c>
      <c r="J949" t="str">
        <f>Base_Itens!E926</f>
        <v>2024-Q3-2</v>
      </c>
      <c r="K949" t="str">
        <f>Base_Itens!G926</f>
        <v>06 — IS-LM-BP</v>
      </c>
      <c r="L949">
        <f>COUNTIFS(Base_Itens!$E$5:$E$1504,J949,Base_Itens!$G$5:$G$1504,K949)</f>
        <v>1</v>
      </c>
    </row>
    <row r="950" spans="1:12">
      <c r="A950" t="s">
        <v>3091</v>
      </c>
      <c r="B950">
        <v>2025</v>
      </c>
      <c r="C950" t="s">
        <v>82</v>
      </c>
      <c r="D950">
        <v>1</v>
      </c>
      <c r="E950">
        <v>1</v>
      </c>
      <c r="F950">
        <f>SUMIF(Base_Itens!$E$5:$E$1504,A950,Base_Itens!$I$5:$I$1504)</f>
        <v>1</v>
      </c>
      <c r="G950">
        <f t="shared" si="44"/>
        <v>0</v>
      </c>
      <c r="H950">
        <f>COUNTIF(Base_Itens!$E$5:$E$1504,A950)</f>
        <v>1</v>
      </c>
      <c r="I950" t="str">
        <f t="shared" si="43"/>
        <v>OK</v>
      </c>
      <c r="J950" t="str">
        <f>Base_Itens!E927</f>
        <v>2024-Q3-3</v>
      </c>
      <c r="K950" t="str">
        <f>Base_Itens!G927</f>
        <v>06 — IS-LM-BP</v>
      </c>
      <c r="L950">
        <f>COUNTIFS(Base_Itens!$E$5:$E$1504,J950,Base_Itens!$G$5:$G$1504,K950)</f>
        <v>1</v>
      </c>
    </row>
    <row r="951" spans="1:12">
      <c r="A951" t="s">
        <v>3092</v>
      </c>
      <c r="B951">
        <v>2025</v>
      </c>
      <c r="C951" t="s">
        <v>82</v>
      </c>
      <c r="D951">
        <v>1</v>
      </c>
      <c r="E951">
        <v>1</v>
      </c>
      <c r="F951">
        <f>SUMIF(Base_Itens!$E$5:$E$1504,A951,Base_Itens!$I$5:$I$1504)</f>
        <v>1</v>
      </c>
      <c r="G951">
        <f t="shared" si="44"/>
        <v>0</v>
      </c>
      <c r="H951">
        <f>COUNTIF(Base_Itens!$E$5:$E$1504,A951)</f>
        <v>1</v>
      </c>
      <c r="I951" t="str">
        <f t="shared" si="43"/>
        <v>OK</v>
      </c>
      <c r="J951" t="str">
        <f>Base_Itens!E928</f>
        <v>2024-Q3-4</v>
      </c>
      <c r="K951" t="str">
        <f>Base_Itens!G928</f>
        <v>06 — IS-LM-BP</v>
      </c>
      <c r="L951">
        <f>COUNTIFS(Base_Itens!$E$5:$E$1504,J951,Base_Itens!$G$5:$G$1504,K951)</f>
        <v>1</v>
      </c>
    </row>
    <row r="952" spans="1:12">
      <c r="A952" t="s">
        <v>3093</v>
      </c>
      <c r="B952">
        <v>2025</v>
      </c>
      <c r="C952" t="s">
        <v>82</v>
      </c>
      <c r="D952">
        <v>1</v>
      </c>
      <c r="E952">
        <v>1</v>
      </c>
      <c r="F952">
        <f>SUMIF(Base_Itens!$E$5:$E$1504,A952,Base_Itens!$I$5:$I$1504)</f>
        <v>1</v>
      </c>
      <c r="G952">
        <f t="shared" si="44"/>
        <v>0</v>
      </c>
      <c r="H952">
        <f>COUNTIF(Base_Itens!$E$5:$E$1504,A952)</f>
        <v>1</v>
      </c>
      <c r="I952" t="str">
        <f t="shared" si="43"/>
        <v>OK</v>
      </c>
      <c r="J952" t="str">
        <f>Base_Itens!E929</f>
        <v>2024-Q4-0</v>
      </c>
      <c r="K952" t="str">
        <f>Base_Itens!G929</f>
        <v>09 — Expectativas, Novos Clássicos e Novos Keynesianos</v>
      </c>
      <c r="L952">
        <f>COUNTIFS(Base_Itens!$E$5:$E$1504,J952,Base_Itens!$G$5:$G$1504,K952)</f>
        <v>1</v>
      </c>
    </row>
    <row r="953" spans="1:12">
      <c r="A953" t="s">
        <v>3094</v>
      </c>
      <c r="B953">
        <v>2025</v>
      </c>
      <c r="C953" t="s">
        <v>82</v>
      </c>
      <c r="D953">
        <v>1</v>
      </c>
      <c r="E953">
        <v>1</v>
      </c>
      <c r="F953">
        <f>SUMIF(Base_Itens!$E$5:$E$1504,A953,Base_Itens!$I$5:$I$1504)</f>
        <v>1</v>
      </c>
      <c r="G953">
        <f t="shared" si="44"/>
        <v>0</v>
      </c>
      <c r="H953">
        <f>COUNTIF(Base_Itens!$E$5:$E$1504,A953)</f>
        <v>1</v>
      </c>
      <c r="I953" t="str">
        <f t="shared" si="43"/>
        <v>OK</v>
      </c>
      <c r="J953" t="str">
        <f>Base_Itens!E930</f>
        <v>2024-Q4-1</v>
      </c>
      <c r="K953" t="str">
        <f>Base_Itens!G930</f>
        <v>08 — Curva de Phillips</v>
      </c>
      <c r="L953">
        <f>COUNTIFS(Base_Itens!$E$5:$E$1504,J953,Base_Itens!$G$5:$G$1504,K953)</f>
        <v>1</v>
      </c>
    </row>
    <row r="954" spans="1:12">
      <c r="A954" t="s">
        <v>3095</v>
      </c>
      <c r="B954">
        <v>2025</v>
      </c>
      <c r="C954" t="s">
        <v>82</v>
      </c>
      <c r="D954">
        <v>1</v>
      </c>
      <c r="E954">
        <v>1</v>
      </c>
      <c r="F954">
        <f>SUMIF(Base_Itens!$E$5:$E$1504,A954,Base_Itens!$I$5:$I$1504)</f>
        <v>1</v>
      </c>
      <c r="G954">
        <f t="shared" si="44"/>
        <v>0</v>
      </c>
      <c r="H954">
        <f>COUNTIF(Base_Itens!$E$5:$E$1504,A954)</f>
        <v>1</v>
      </c>
      <c r="I954" t="str">
        <f t="shared" si="43"/>
        <v>OK</v>
      </c>
      <c r="J954" t="str">
        <f>Base_Itens!E931</f>
        <v>2024-Q4-2</v>
      </c>
      <c r="K954" t="str">
        <f>Base_Itens!G931</f>
        <v>09 — Expectativas, Novos Clássicos e Novos Keynesianos</v>
      </c>
      <c r="L954">
        <f>COUNTIFS(Base_Itens!$E$5:$E$1504,J954,Base_Itens!$G$5:$G$1504,K954)</f>
        <v>1</v>
      </c>
    </row>
    <row r="955" spans="1:12">
      <c r="A955" t="s">
        <v>3096</v>
      </c>
      <c r="B955">
        <v>2025</v>
      </c>
      <c r="C955" t="s">
        <v>82</v>
      </c>
      <c r="D955">
        <v>1</v>
      </c>
      <c r="E955">
        <v>1</v>
      </c>
      <c r="F955">
        <f>SUMIF(Base_Itens!$E$5:$E$1504,A955,Base_Itens!$I$5:$I$1504)</f>
        <v>1</v>
      </c>
      <c r="G955">
        <f t="shared" si="44"/>
        <v>0</v>
      </c>
      <c r="H955">
        <f>COUNTIF(Base_Itens!$E$5:$E$1504,A955)</f>
        <v>1</v>
      </c>
      <c r="I955" t="str">
        <f t="shared" si="43"/>
        <v>OK</v>
      </c>
      <c r="J955" t="str">
        <f>Base_Itens!E932</f>
        <v>2024-Q4-2</v>
      </c>
      <c r="K955" t="str">
        <f>Base_Itens!G932</f>
        <v>10 — Ciclos Reais de Negócios (RBC)</v>
      </c>
      <c r="L955">
        <f>COUNTIFS(Base_Itens!$E$5:$E$1504,J955,Base_Itens!$G$5:$G$1504,K955)</f>
        <v>1</v>
      </c>
    </row>
    <row r="956" spans="1:12">
      <c r="A956" t="s">
        <v>3097</v>
      </c>
      <c r="B956">
        <v>2025</v>
      </c>
      <c r="C956" t="s">
        <v>82</v>
      </c>
      <c r="D956">
        <v>1</v>
      </c>
      <c r="E956">
        <v>1</v>
      </c>
      <c r="F956">
        <f>SUMIF(Base_Itens!$E$5:$E$1504,A956,Base_Itens!$I$5:$I$1504)</f>
        <v>1</v>
      </c>
      <c r="G956">
        <f t="shared" si="44"/>
        <v>0</v>
      </c>
      <c r="H956">
        <f>COUNTIF(Base_Itens!$E$5:$E$1504,A956)</f>
        <v>1</v>
      </c>
      <c r="I956" t="str">
        <f t="shared" ref="I956:I1019" si="45">IF(AND(G956=0,H956=E956),"OK","REVER")</f>
        <v>OK</v>
      </c>
      <c r="J956" t="str">
        <f>Base_Itens!E933</f>
        <v>2024-Q4-3</v>
      </c>
      <c r="K956" t="str">
        <f>Base_Itens!G933</f>
        <v>09 — Expectativas, Novos Clássicos e Novos Keynesianos</v>
      </c>
      <c r="L956">
        <f>COUNTIFS(Base_Itens!$E$5:$E$1504,J956,Base_Itens!$G$5:$G$1504,K956)</f>
        <v>1</v>
      </c>
    </row>
    <row r="957" spans="1:12">
      <c r="A957" t="s">
        <v>3098</v>
      </c>
      <c r="B957">
        <v>2025</v>
      </c>
      <c r="C957" t="s">
        <v>82</v>
      </c>
      <c r="D957">
        <v>1</v>
      </c>
      <c r="E957">
        <v>1</v>
      </c>
      <c r="F957">
        <f>SUMIF(Base_Itens!$E$5:$E$1504,A957,Base_Itens!$I$5:$I$1504)</f>
        <v>1</v>
      </c>
      <c r="G957">
        <f t="shared" si="44"/>
        <v>0</v>
      </c>
      <c r="H957">
        <f>COUNTIF(Base_Itens!$E$5:$E$1504,A957)</f>
        <v>1</v>
      </c>
      <c r="I957" t="str">
        <f t="shared" si="45"/>
        <v>OK</v>
      </c>
      <c r="J957" t="str">
        <f>Base_Itens!E934</f>
        <v>2024-Q4-4</v>
      </c>
      <c r="K957" t="str">
        <f>Base_Itens!G934</f>
        <v>09 — Expectativas, Novos Clássicos e Novos Keynesianos</v>
      </c>
      <c r="L957">
        <f>COUNTIFS(Base_Itens!$E$5:$E$1504,J957,Base_Itens!$G$5:$G$1504,K957)</f>
        <v>1</v>
      </c>
    </row>
    <row r="958" spans="1:12">
      <c r="A958" t="s">
        <v>3099</v>
      </c>
      <c r="B958">
        <v>2025</v>
      </c>
      <c r="C958" t="s">
        <v>82</v>
      </c>
      <c r="D958">
        <v>1</v>
      </c>
      <c r="E958">
        <v>1</v>
      </c>
      <c r="F958">
        <f>SUMIF(Base_Itens!$E$5:$E$1504,A958,Base_Itens!$I$5:$I$1504)</f>
        <v>1</v>
      </c>
      <c r="G958">
        <f t="shared" si="44"/>
        <v>0</v>
      </c>
      <c r="H958">
        <f>COUNTIF(Base_Itens!$E$5:$E$1504,A958)</f>
        <v>1</v>
      </c>
      <c r="I958" t="str">
        <f t="shared" si="45"/>
        <v>OK</v>
      </c>
      <c r="J958" t="str">
        <f>Base_Itens!E935</f>
        <v>2024-Q5-ABERTA</v>
      </c>
      <c r="K958" t="str">
        <f>Base_Itens!G935</f>
        <v>09 — Expectativas, Novos Clássicos e Novos Keynesianos</v>
      </c>
      <c r="L958">
        <f>COUNTIFS(Base_Itens!$E$5:$E$1504,J958,Base_Itens!$G$5:$G$1504,K958)</f>
        <v>1</v>
      </c>
    </row>
    <row r="959" spans="1:12">
      <c r="A959" t="s">
        <v>3100</v>
      </c>
      <c r="B959">
        <v>2025</v>
      </c>
      <c r="C959" t="s">
        <v>82</v>
      </c>
      <c r="D959">
        <v>1</v>
      </c>
      <c r="E959">
        <v>1</v>
      </c>
      <c r="F959">
        <f>SUMIF(Base_Itens!$E$5:$E$1504,A959,Base_Itens!$I$5:$I$1504)</f>
        <v>1</v>
      </c>
      <c r="G959">
        <f t="shared" si="44"/>
        <v>0</v>
      </c>
      <c r="H959">
        <f>COUNTIF(Base_Itens!$E$5:$E$1504,A959)</f>
        <v>1</v>
      </c>
      <c r="I959" t="str">
        <f t="shared" si="45"/>
        <v>OK</v>
      </c>
      <c r="J959" t="str">
        <f>Base_Itens!E936</f>
        <v>2024-Q6-0</v>
      </c>
      <c r="K959" t="str">
        <f>Base_Itens!G936</f>
        <v>11 — Crescimento Econômico</v>
      </c>
      <c r="L959">
        <f>COUNTIFS(Base_Itens!$E$5:$E$1504,J959,Base_Itens!$G$5:$G$1504,K959)</f>
        <v>1</v>
      </c>
    </row>
    <row r="960" spans="1:12">
      <c r="A960" t="s">
        <v>3101</v>
      </c>
      <c r="B960">
        <v>2025</v>
      </c>
      <c r="C960" t="s">
        <v>82</v>
      </c>
      <c r="D960">
        <v>1</v>
      </c>
      <c r="E960">
        <v>1</v>
      </c>
      <c r="F960">
        <f>SUMIF(Base_Itens!$E$5:$E$1504,A960,Base_Itens!$I$5:$I$1504)</f>
        <v>1</v>
      </c>
      <c r="G960">
        <f t="shared" si="44"/>
        <v>0</v>
      </c>
      <c r="H960">
        <f>COUNTIF(Base_Itens!$E$5:$E$1504,A960)</f>
        <v>1</v>
      </c>
      <c r="I960" t="str">
        <f t="shared" si="45"/>
        <v>OK</v>
      </c>
      <c r="J960" t="str">
        <f>Base_Itens!E937</f>
        <v>2024-Q6-1</v>
      </c>
      <c r="K960" t="str">
        <f>Base_Itens!G937</f>
        <v>11 — Crescimento Econômico</v>
      </c>
      <c r="L960">
        <f>COUNTIFS(Base_Itens!$E$5:$E$1504,J960,Base_Itens!$G$5:$G$1504,K960)</f>
        <v>1</v>
      </c>
    </row>
    <row r="961" spans="1:12">
      <c r="A961" t="s">
        <v>3102</v>
      </c>
      <c r="B961">
        <v>2025</v>
      </c>
      <c r="C961" t="s">
        <v>82</v>
      </c>
      <c r="D961">
        <v>1</v>
      </c>
      <c r="E961">
        <v>1</v>
      </c>
      <c r="F961">
        <f>SUMIF(Base_Itens!$E$5:$E$1504,A961,Base_Itens!$I$5:$I$1504)</f>
        <v>1</v>
      </c>
      <c r="G961">
        <f t="shared" si="44"/>
        <v>0</v>
      </c>
      <c r="H961">
        <f>COUNTIF(Base_Itens!$E$5:$E$1504,A961)</f>
        <v>1</v>
      </c>
      <c r="I961" t="str">
        <f t="shared" si="45"/>
        <v>OK</v>
      </c>
      <c r="J961" t="str">
        <f>Base_Itens!E938</f>
        <v>2024-Q6-2</v>
      </c>
      <c r="K961" t="str">
        <f>Base_Itens!G938</f>
        <v>11 — Crescimento Econômico</v>
      </c>
      <c r="L961">
        <f>COUNTIFS(Base_Itens!$E$5:$E$1504,J961,Base_Itens!$G$5:$G$1504,K961)</f>
        <v>1</v>
      </c>
    </row>
    <row r="962" spans="1:12">
      <c r="A962" t="s">
        <v>3103</v>
      </c>
      <c r="B962">
        <v>2025</v>
      </c>
      <c r="C962" t="s">
        <v>82</v>
      </c>
      <c r="D962">
        <v>1</v>
      </c>
      <c r="E962">
        <v>1</v>
      </c>
      <c r="F962">
        <f>SUMIF(Base_Itens!$E$5:$E$1504,A962,Base_Itens!$I$5:$I$1504)</f>
        <v>1</v>
      </c>
      <c r="G962">
        <f t="shared" si="44"/>
        <v>0</v>
      </c>
      <c r="H962">
        <f>COUNTIF(Base_Itens!$E$5:$E$1504,A962)</f>
        <v>1</v>
      </c>
      <c r="I962" t="str">
        <f t="shared" si="45"/>
        <v>OK</v>
      </c>
      <c r="J962" t="str">
        <f>Base_Itens!E939</f>
        <v>2024-Q6-3</v>
      </c>
      <c r="K962" t="str">
        <f>Base_Itens!G939</f>
        <v>11 — Crescimento Econômico</v>
      </c>
      <c r="L962">
        <f>COUNTIFS(Base_Itens!$E$5:$E$1504,J962,Base_Itens!$G$5:$G$1504,K962)</f>
        <v>1</v>
      </c>
    </row>
    <row r="963" spans="1:12">
      <c r="A963" t="s">
        <v>3104</v>
      </c>
      <c r="B963">
        <v>2025</v>
      </c>
      <c r="C963" t="s">
        <v>82</v>
      </c>
      <c r="D963">
        <v>1</v>
      </c>
      <c r="E963">
        <v>1</v>
      </c>
      <c r="F963">
        <f>SUMIF(Base_Itens!$E$5:$E$1504,A963,Base_Itens!$I$5:$I$1504)</f>
        <v>1</v>
      </c>
      <c r="G963">
        <f t="shared" si="44"/>
        <v>0</v>
      </c>
      <c r="H963">
        <f>COUNTIF(Base_Itens!$E$5:$E$1504,A963)</f>
        <v>1</v>
      </c>
      <c r="I963" t="str">
        <f t="shared" si="45"/>
        <v>OK</v>
      </c>
      <c r="J963" t="str">
        <f>Base_Itens!E940</f>
        <v>2024-Q6-4</v>
      </c>
      <c r="K963" t="str">
        <f>Base_Itens!G940</f>
        <v>11 — Crescimento Econômico</v>
      </c>
      <c r="L963">
        <f>COUNTIFS(Base_Itens!$E$5:$E$1504,J963,Base_Itens!$G$5:$G$1504,K963)</f>
        <v>1</v>
      </c>
    </row>
    <row r="964" spans="1:12">
      <c r="A964" t="s">
        <v>3105</v>
      </c>
      <c r="B964">
        <v>2025</v>
      </c>
      <c r="C964" t="s">
        <v>82</v>
      </c>
      <c r="D964">
        <v>1</v>
      </c>
      <c r="E964">
        <v>2</v>
      </c>
      <c r="F964">
        <f>SUMIF(Base_Itens!$E$5:$E$1504,A964,Base_Itens!$I$5:$I$1504)</f>
        <v>1</v>
      </c>
      <c r="G964">
        <f t="shared" si="44"/>
        <v>0</v>
      </c>
      <c r="H964">
        <f>COUNTIF(Base_Itens!$E$5:$E$1504,A964)</f>
        <v>2</v>
      </c>
      <c r="I964" t="str">
        <f t="shared" si="45"/>
        <v>OK</v>
      </c>
      <c r="J964" t="str">
        <f>Base_Itens!E941</f>
        <v>2024-Q7-ABERTA</v>
      </c>
      <c r="K964" t="str">
        <f>Base_Itens!G941</f>
        <v>12 — Consumo</v>
      </c>
      <c r="L964">
        <f>COUNTIFS(Base_Itens!$E$5:$E$1504,J964,Base_Itens!$G$5:$G$1504,K964)</f>
        <v>1</v>
      </c>
    </row>
    <row r="965" spans="1:12">
      <c r="A965" t="s">
        <v>3106</v>
      </c>
      <c r="B965">
        <v>2025</v>
      </c>
      <c r="C965" t="s">
        <v>82</v>
      </c>
      <c r="D965">
        <v>1</v>
      </c>
      <c r="E965">
        <v>2</v>
      </c>
      <c r="F965">
        <f>SUMIF(Base_Itens!$E$5:$E$1504,A965,Base_Itens!$I$5:$I$1504)</f>
        <v>1</v>
      </c>
      <c r="G965">
        <f t="shared" si="44"/>
        <v>0</v>
      </c>
      <c r="H965">
        <f>COUNTIF(Base_Itens!$E$5:$E$1504,A965)</f>
        <v>2</v>
      </c>
      <c r="I965" t="str">
        <f t="shared" si="45"/>
        <v>OK</v>
      </c>
      <c r="J965" t="str">
        <f>Base_Itens!E942</f>
        <v>2024-Q8-0</v>
      </c>
      <c r="K965" t="str">
        <f>Base_Itens!G942</f>
        <v>07a — Paridades</v>
      </c>
      <c r="L965">
        <f>COUNTIFS(Base_Itens!$E$5:$E$1504,J965,Base_Itens!$G$5:$G$1504,K965)</f>
        <v>1</v>
      </c>
    </row>
    <row r="966" spans="1:12">
      <c r="A966" t="s">
        <v>3107</v>
      </c>
      <c r="B966">
        <v>2025</v>
      </c>
      <c r="C966" t="s">
        <v>82</v>
      </c>
      <c r="D966">
        <v>1</v>
      </c>
      <c r="E966">
        <v>2</v>
      </c>
      <c r="F966">
        <f>SUMIF(Base_Itens!$E$5:$E$1504,A966,Base_Itens!$I$5:$I$1504)</f>
        <v>1</v>
      </c>
      <c r="G966">
        <f t="shared" si="44"/>
        <v>0</v>
      </c>
      <c r="H966">
        <f>COUNTIF(Base_Itens!$E$5:$E$1504,A966)</f>
        <v>2</v>
      </c>
      <c r="I966" t="str">
        <f t="shared" si="45"/>
        <v>OK</v>
      </c>
      <c r="J966" t="str">
        <f>Base_Itens!E943</f>
        <v>2024-Q8-1</v>
      </c>
      <c r="K966" t="str">
        <f>Base_Itens!G943</f>
        <v>07a — Paridades</v>
      </c>
      <c r="L966">
        <f>COUNTIFS(Base_Itens!$E$5:$E$1504,J966,Base_Itens!$G$5:$G$1504,K966)</f>
        <v>1</v>
      </c>
    </row>
    <row r="967" spans="1:12">
      <c r="A967" t="s">
        <v>3108</v>
      </c>
      <c r="B967">
        <v>2025</v>
      </c>
      <c r="C967" t="s">
        <v>82</v>
      </c>
      <c r="D967">
        <v>1</v>
      </c>
      <c r="E967">
        <v>2</v>
      </c>
      <c r="F967">
        <f>SUMIF(Base_Itens!$E$5:$E$1504,A967,Base_Itens!$I$5:$I$1504)</f>
        <v>1</v>
      </c>
      <c r="G967">
        <f t="shared" si="44"/>
        <v>0</v>
      </c>
      <c r="H967">
        <f>COUNTIF(Base_Itens!$E$5:$E$1504,A967)</f>
        <v>2</v>
      </c>
      <c r="I967" t="str">
        <f t="shared" si="45"/>
        <v>OK</v>
      </c>
      <c r="J967" t="str">
        <f>Base_Itens!E944</f>
        <v>2024-Q8-2</v>
      </c>
      <c r="K967" t="str">
        <f>Base_Itens!G944</f>
        <v>07a — Paridades</v>
      </c>
      <c r="L967">
        <f>COUNTIFS(Base_Itens!$E$5:$E$1504,J967,Base_Itens!$G$5:$G$1504,K967)</f>
        <v>1</v>
      </c>
    </row>
    <row r="968" spans="1:12">
      <c r="A968" t="s">
        <v>3109</v>
      </c>
      <c r="B968">
        <v>2025</v>
      </c>
      <c r="C968" t="s">
        <v>82</v>
      </c>
      <c r="D968">
        <v>1</v>
      </c>
      <c r="E968">
        <v>1</v>
      </c>
      <c r="F968">
        <f>SUMIF(Base_Itens!$E$5:$E$1504,A968,Base_Itens!$I$5:$I$1504)</f>
        <v>1</v>
      </c>
      <c r="G968">
        <f t="shared" si="44"/>
        <v>0</v>
      </c>
      <c r="H968">
        <f>COUNTIF(Base_Itens!$E$5:$E$1504,A968)</f>
        <v>1</v>
      </c>
      <c r="I968" t="str">
        <f t="shared" si="45"/>
        <v>OK</v>
      </c>
      <c r="J968" t="str">
        <f>Base_Itens!E945</f>
        <v>2024-Q8-3</v>
      </c>
      <c r="K968" t="str">
        <f>Base_Itens!G945</f>
        <v>07a — Paridades</v>
      </c>
      <c r="L968">
        <f>COUNTIFS(Base_Itens!$E$5:$E$1504,J968,Base_Itens!$G$5:$G$1504,K968)</f>
        <v>1</v>
      </c>
    </row>
    <row r="969" spans="1:12">
      <c r="A969" t="s">
        <v>3110</v>
      </c>
      <c r="B969">
        <v>2025</v>
      </c>
      <c r="C969" t="s">
        <v>82</v>
      </c>
      <c r="D969">
        <v>1</v>
      </c>
      <c r="E969">
        <v>1</v>
      </c>
      <c r="F969">
        <f>SUMIF(Base_Itens!$E$5:$E$1504,A969,Base_Itens!$I$5:$I$1504)</f>
        <v>1</v>
      </c>
      <c r="G969">
        <f t="shared" si="44"/>
        <v>0</v>
      </c>
      <c r="H969">
        <f>COUNTIF(Base_Itens!$E$5:$E$1504,A969)</f>
        <v>1</v>
      </c>
      <c r="I969" t="str">
        <f t="shared" si="45"/>
        <v>OK</v>
      </c>
      <c r="J969" t="str">
        <f>Base_Itens!E946</f>
        <v>2024-Q8-4</v>
      </c>
      <c r="K969" t="str">
        <f>Base_Itens!G946</f>
        <v>07a — Paridades</v>
      </c>
      <c r="L969">
        <f>COUNTIFS(Base_Itens!$E$5:$E$1504,J969,Base_Itens!$G$5:$G$1504,K969)</f>
        <v>1</v>
      </c>
    </row>
    <row r="970" spans="1:12">
      <c r="A970" t="s">
        <v>3111</v>
      </c>
      <c r="B970">
        <v>2025</v>
      </c>
      <c r="C970" t="s">
        <v>82</v>
      </c>
      <c r="D970">
        <v>1</v>
      </c>
      <c r="E970">
        <v>1</v>
      </c>
      <c r="F970">
        <f>SUMIF(Base_Itens!$E$5:$E$1504,A970,Base_Itens!$I$5:$I$1504)</f>
        <v>1</v>
      </c>
      <c r="G970">
        <f t="shared" si="44"/>
        <v>0</v>
      </c>
      <c r="H970">
        <f>COUNTIF(Base_Itens!$E$5:$E$1504,A970)</f>
        <v>1</v>
      </c>
      <c r="I970" t="str">
        <f t="shared" si="45"/>
        <v>OK</v>
      </c>
      <c r="J970" t="str">
        <f>Base_Itens!E947</f>
        <v>2024-Q9-0</v>
      </c>
      <c r="K970" t="str">
        <f>Base_Itens!G947</f>
        <v>06 — IS-LM-BP</v>
      </c>
      <c r="L970">
        <f>COUNTIFS(Base_Itens!$E$5:$E$1504,J970,Base_Itens!$G$5:$G$1504,K970)</f>
        <v>1</v>
      </c>
    </row>
    <row r="971" spans="1:12">
      <c r="A971" t="s">
        <v>3112</v>
      </c>
      <c r="B971">
        <v>2025</v>
      </c>
      <c r="C971" t="s">
        <v>82</v>
      </c>
      <c r="D971">
        <v>1</v>
      </c>
      <c r="E971">
        <v>1</v>
      </c>
      <c r="F971">
        <f>SUMIF(Base_Itens!$E$5:$E$1504,A971,Base_Itens!$I$5:$I$1504)</f>
        <v>1</v>
      </c>
      <c r="G971">
        <f t="shared" si="44"/>
        <v>0</v>
      </c>
      <c r="H971">
        <f>COUNTIF(Base_Itens!$E$5:$E$1504,A971)</f>
        <v>1</v>
      </c>
      <c r="I971" t="str">
        <f t="shared" si="45"/>
        <v>OK</v>
      </c>
      <c r="J971" t="str">
        <f>Base_Itens!E948</f>
        <v>2024-Q9-1</v>
      </c>
      <c r="K971" t="str">
        <f>Base_Itens!G948</f>
        <v>06 — IS-LM-BP</v>
      </c>
      <c r="L971">
        <f>COUNTIFS(Base_Itens!$E$5:$E$1504,J971,Base_Itens!$G$5:$G$1504,K971)</f>
        <v>1</v>
      </c>
    </row>
    <row r="972" spans="1:12">
      <c r="A972" t="s">
        <v>3113</v>
      </c>
      <c r="B972">
        <v>2025</v>
      </c>
      <c r="C972" t="s">
        <v>82</v>
      </c>
      <c r="D972">
        <v>1</v>
      </c>
      <c r="E972">
        <v>1</v>
      </c>
      <c r="F972">
        <f>SUMIF(Base_Itens!$E$5:$E$1504,A972,Base_Itens!$I$5:$I$1504)</f>
        <v>1</v>
      </c>
      <c r="G972">
        <f t="shared" si="44"/>
        <v>0</v>
      </c>
      <c r="H972">
        <f>COUNTIF(Base_Itens!$E$5:$E$1504,A972)</f>
        <v>1</v>
      </c>
      <c r="I972" t="str">
        <f t="shared" si="45"/>
        <v>OK</v>
      </c>
      <c r="J972" t="str">
        <f>Base_Itens!E949</f>
        <v>2024-Q9-2</v>
      </c>
      <c r="K972" t="str">
        <f>Base_Itens!G949</f>
        <v>07a — Paridades</v>
      </c>
      <c r="L972">
        <f>COUNTIFS(Base_Itens!$E$5:$E$1504,J972,Base_Itens!$G$5:$G$1504,K972)</f>
        <v>1</v>
      </c>
    </row>
    <row r="973" spans="1:12">
      <c r="A973" t="s">
        <v>3114</v>
      </c>
      <c r="B973">
        <v>2025</v>
      </c>
      <c r="C973" t="s">
        <v>82</v>
      </c>
      <c r="D973">
        <v>1</v>
      </c>
      <c r="E973">
        <v>1</v>
      </c>
      <c r="F973">
        <f>SUMIF(Base_Itens!$E$5:$E$1504,A973,Base_Itens!$I$5:$I$1504)</f>
        <v>1</v>
      </c>
      <c r="G973">
        <f t="shared" si="44"/>
        <v>0</v>
      </c>
      <c r="H973">
        <f>COUNTIF(Base_Itens!$E$5:$E$1504,A973)</f>
        <v>1</v>
      </c>
      <c r="I973" t="str">
        <f t="shared" si="45"/>
        <v>OK</v>
      </c>
      <c r="J973" t="str">
        <f>Base_Itens!E950</f>
        <v>2024-Q9-3</v>
      </c>
      <c r="K973" t="str">
        <f>Base_Itens!G950</f>
        <v>06 — IS-LM-BP</v>
      </c>
      <c r="L973">
        <f>COUNTIFS(Base_Itens!$E$5:$E$1504,J973,Base_Itens!$G$5:$G$1504,K973)</f>
        <v>1</v>
      </c>
    </row>
    <row r="974" spans="1:12">
      <c r="A974" t="s">
        <v>3115</v>
      </c>
      <c r="B974">
        <v>2025</v>
      </c>
      <c r="C974" t="s">
        <v>82</v>
      </c>
      <c r="D974">
        <v>1</v>
      </c>
      <c r="E974">
        <v>1</v>
      </c>
      <c r="F974">
        <f>SUMIF(Base_Itens!$E$5:$E$1504,A974,Base_Itens!$I$5:$I$1504)</f>
        <v>1</v>
      </c>
      <c r="G974">
        <f t="shared" si="44"/>
        <v>0</v>
      </c>
      <c r="H974">
        <f>COUNTIF(Base_Itens!$E$5:$E$1504,A974)</f>
        <v>1</v>
      </c>
      <c r="I974" t="str">
        <f t="shared" si="45"/>
        <v>OK</v>
      </c>
      <c r="J974" t="str">
        <f>Base_Itens!E951</f>
        <v>2024-Q9-4</v>
      </c>
      <c r="K974" t="str">
        <f>Base_Itens!G951</f>
        <v>01 — Contas Nacionais</v>
      </c>
      <c r="L974">
        <f>COUNTIFS(Base_Itens!$E$5:$E$1504,J974,Base_Itens!$G$5:$G$1504,K974)</f>
        <v>1</v>
      </c>
    </row>
    <row r="975" spans="1:12">
      <c r="A975" t="s">
        <v>3116</v>
      </c>
      <c r="B975">
        <v>2025</v>
      </c>
      <c r="C975" t="s">
        <v>82</v>
      </c>
      <c r="D975">
        <v>1</v>
      </c>
      <c r="E975">
        <v>1</v>
      </c>
      <c r="F975">
        <f>SUMIF(Base_Itens!$E$5:$E$1504,A975,Base_Itens!$I$5:$I$1504)</f>
        <v>1</v>
      </c>
      <c r="G975">
        <f t="shared" si="44"/>
        <v>0</v>
      </c>
      <c r="H975">
        <f>COUNTIF(Base_Itens!$E$5:$E$1504,A975)</f>
        <v>1</v>
      </c>
      <c r="I975" t="str">
        <f t="shared" si="45"/>
        <v>OK</v>
      </c>
      <c r="J975" t="str">
        <f>Base_Itens!E952</f>
        <v>2024-Q10-0</v>
      </c>
      <c r="K975" t="str">
        <f>Base_Itens!G952</f>
        <v>08 — Curva de Phillips</v>
      </c>
      <c r="L975">
        <f>COUNTIFS(Base_Itens!$E$5:$E$1504,J975,Base_Itens!$G$5:$G$1504,K975)</f>
        <v>1</v>
      </c>
    </row>
    <row r="976" spans="1:12">
      <c r="A976" t="s">
        <v>3117</v>
      </c>
      <c r="B976">
        <v>2025</v>
      </c>
      <c r="C976" t="s">
        <v>82</v>
      </c>
      <c r="D976">
        <v>1</v>
      </c>
      <c r="E976">
        <v>1</v>
      </c>
      <c r="F976">
        <f>SUMIF(Base_Itens!$E$5:$E$1504,A976,Base_Itens!$I$5:$I$1504)</f>
        <v>1</v>
      </c>
      <c r="G976">
        <f t="shared" si="44"/>
        <v>0</v>
      </c>
      <c r="H976">
        <f>COUNTIF(Base_Itens!$E$5:$E$1504,A976)</f>
        <v>1</v>
      </c>
      <c r="I976" t="str">
        <f t="shared" si="45"/>
        <v>OK</v>
      </c>
      <c r="J976" t="str">
        <f>Base_Itens!E953</f>
        <v>2024-Q10-1</v>
      </c>
      <c r="K976" t="str">
        <f>Base_Itens!G953</f>
        <v>05 — IS-LM</v>
      </c>
      <c r="L976">
        <f>COUNTIFS(Base_Itens!$E$5:$E$1504,J976,Base_Itens!$G$5:$G$1504,K976)</f>
        <v>1</v>
      </c>
    </row>
    <row r="977" spans="1:12">
      <c r="A977" t="s">
        <v>3118</v>
      </c>
      <c r="B977">
        <v>2025</v>
      </c>
      <c r="C977" t="s">
        <v>82</v>
      </c>
      <c r="D977">
        <v>1</v>
      </c>
      <c r="E977">
        <v>1</v>
      </c>
      <c r="F977">
        <f>SUMIF(Base_Itens!$E$5:$E$1504,A977,Base_Itens!$I$5:$I$1504)</f>
        <v>1</v>
      </c>
      <c r="G977">
        <f t="shared" si="44"/>
        <v>0</v>
      </c>
      <c r="H977">
        <f>COUNTIF(Base_Itens!$E$5:$E$1504,A977)</f>
        <v>1</v>
      </c>
      <c r="I977" t="str">
        <f t="shared" si="45"/>
        <v>OK</v>
      </c>
      <c r="J977" t="str">
        <f>Base_Itens!E954</f>
        <v>2024-Q10-2</v>
      </c>
      <c r="K977" t="str">
        <f>Base_Itens!G954</f>
        <v>08 — Curva de Phillips</v>
      </c>
      <c r="L977">
        <f>COUNTIFS(Base_Itens!$E$5:$E$1504,J977,Base_Itens!$G$5:$G$1504,K977)</f>
        <v>1</v>
      </c>
    </row>
    <row r="978" spans="1:12">
      <c r="A978" t="s">
        <v>3119</v>
      </c>
      <c r="B978">
        <v>2025</v>
      </c>
      <c r="C978" t="s">
        <v>82</v>
      </c>
      <c r="D978">
        <v>1</v>
      </c>
      <c r="E978">
        <v>1</v>
      </c>
      <c r="F978">
        <f>SUMIF(Base_Itens!$E$5:$E$1504,A978,Base_Itens!$I$5:$I$1504)</f>
        <v>1</v>
      </c>
      <c r="G978">
        <f t="shared" si="44"/>
        <v>0</v>
      </c>
      <c r="H978">
        <f>COUNTIF(Base_Itens!$E$5:$E$1504,A978)</f>
        <v>1</v>
      </c>
      <c r="I978" t="str">
        <f t="shared" si="45"/>
        <v>OK</v>
      </c>
      <c r="J978" t="str">
        <f>Base_Itens!E955</f>
        <v>2024-Q10-3</v>
      </c>
      <c r="K978" t="str">
        <f>Base_Itens!G955</f>
        <v>08 — Curva de Phillips</v>
      </c>
      <c r="L978">
        <f>COUNTIFS(Base_Itens!$E$5:$E$1504,J978,Base_Itens!$G$5:$G$1504,K978)</f>
        <v>1</v>
      </c>
    </row>
    <row r="979" spans="1:12">
      <c r="A979" t="s">
        <v>3120</v>
      </c>
      <c r="B979">
        <v>2025</v>
      </c>
      <c r="C979" t="s">
        <v>82</v>
      </c>
      <c r="D979">
        <v>1</v>
      </c>
      <c r="E979">
        <v>1</v>
      </c>
      <c r="F979">
        <f>SUMIF(Base_Itens!$E$5:$E$1504,A979,Base_Itens!$I$5:$I$1504)</f>
        <v>1</v>
      </c>
      <c r="G979">
        <f t="shared" si="44"/>
        <v>0</v>
      </c>
      <c r="H979">
        <f>COUNTIF(Base_Itens!$E$5:$E$1504,A979)</f>
        <v>1</v>
      </c>
      <c r="I979" t="str">
        <f t="shared" si="45"/>
        <v>OK</v>
      </c>
      <c r="J979" t="str">
        <f>Base_Itens!E956</f>
        <v>2024-Q10-4</v>
      </c>
      <c r="K979" t="str">
        <f>Base_Itens!G956</f>
        <v>08 — Curva de Phillips</v>
      </c>
      <c r="L979">
        <f>COUNTIFS(Base_Itens!$E$5:$E$1504,J979,Base_Itens!$G$5:$G$1504,K979)</f>
        <v>1</v>
      </c>
    </row>
    <row r="980" spans="1:12">
      <c r="A980" t="s">
        <v>3121</v>
      </c>
      <c r="B980">
        <v>2025</v>
      </c>
      <c r="C980" t="s">
        <v>82</v>
      </c>
      <c r="D980">
        <v>1</v>
      </c>
      <c r="E980">
        <v>1</v>
      </c>
      <c r="F980">
        <f>SUMIF(Base_Itens!$E$5:$E$1504,A980,Base_Itens!$I$5:$I$1504)</f>
        <v>1</v>
      </c>
      <c r="G980">
        <f t="shared" si="44"/>
        <v>0</v>
      </c>
      <c r="H980">
        <f>COUNTIF(Base_Itens!$E$5:$E$1504,A980)</f>
        <v>1</v>
      </c>
      <c r="I980" t="str">
        <f t="shared" si="45"/>
        <v>OK</v>
      </c>
      <c r="J980" t="str">
        <f>Base_Itens!E957</f>
        <v>2025-Q1-0</v>
      </c>
      <c r="K980" t="str">
        <f>Base_Itens!G957</f>
        <v>07b — OA-DA</v>
      </c>
      <c r="L980">
        <f>COUNTIFS(Base_Itens!$E$5:$E$1504,J980,Base_Itens!$G$5:$G$1504,K980)</f>
        <v>1</v>
      </c>
    </row>
    <row r="981" spans="1:12">
      <c r="A981" t="s">
        <v>3122</v>
      </c>
      <c r="B981">
        <v>2025</v>
      </c>
      <c r="C981" t="s">
        <v>82</v>
      </c>
      <c r="D981">
        <v>1</v>
      </c>
      <c r="E981">
        <v>1</v>
      </c>
      <c r="F981">
        <f>SUMIF(Base_Itens!$E$5:$E$1504,A981,Base_Itens!$I$5:$I$1504)</f>
        <v>1</v>
      </c>
      <c r="G981">
        <f t="shared" si="44"/>
        <v>0</v>
      </c>
      <c r="H981">
        <f>COUNTIF(Base_Itens!$E$5:$E$1504,A981)</f>
        <v>1</v>
      </c>
      <c r="I981" t="str">
        <f t="shared" si="45"/>
        <v>OK</v>
      </c>
      <c r="J981" t="str">
        <f>Base_Itens!E958</f>
        <v>2025-Q1-1</v>
      </c>
      <c r="K981" t="str">
        <f>Base_Itens!G958</f>
        <v>07b — OA-DA</v>
      </c>
      <c r="L981">
        <f>COUNTIFS(Base_Itens!$E$5:$E$1504,J981,Base_Itens!$G$5:$G$1504,K981)</f>
        <v>1</v>
      </c>
    </row>
    <row r="982" spans="1:12">
      <c r="A982" t="s">
        <v>3123</v>
      </c>
      <c r="B982">
        <v>2025</v>
      </c>
      <c r="C982" t="s">
        <v>82</v>
      </c>
      <c r="D982">
        <v>1</v>
      </c>
      <c r="E982">
        <v>1</v>
      </c>
      <c r="F982">
        <f>SUMIF(Base_Itens!$E$5:$E$1504,A982,Base_Itens!$I$5:$I$1504)</f>
        <v>1</v>
      </c>
      <c r="G982">
        <f t="shared" si="44"/>
        <v>0</v>
      </c>
      <c r="H982">
        <f>COUNTIF(Base_Itens!$E$5:$E$1504,A982)</f>
        <v>1</v>
      </c>
      <c r="I982" t="str">
        <f t="shared" si="45"/>
        <v>OK</v>
      </c>
      <c r="J982" t="str">
        <f>Base_Itens!E959</f>
        <v>2025-Q1-2</v>
      </c>
      <c r="K982" t="str">
        <f>Base_Itens!G959</f>
        <v>07b — OA-DA</v>
      </c>
      <c r="L982">
        <f>COUNTIFS(Base_Itens!$E$5:$E$1504,J982,Base_Itens!$G$5:$G$1504,K982)</f>
        <v>1</v>
      </c>
    </row>
    <row r="983" spans="1:12">
      <c r="A983" t="s">
        <v>3124</v>
      </c>
      <c r="B983">
        <v>2025</v>
      </c>
      <c r="C983" t="s">
        <v>82</v>
      </c>
      <c r="D983">
        <v>1</v>
      </c>
      <c r="E983">
        <v>1</v>
      </c>
      <c r="F983">
        <f>SUMIF(Base_Itens!$E$5:$E$1504,A983,Base_Itens!$I$5:$I$1504)</f>
        <v>1</v>
      </c>
      <c r="G983">
        <f t="shared" si="44"/>
        <v>0</v>
      </c>
      <c r="H983">
        <f>COUNTIF(Base_Itens!$E$5:$E$1504,A983)</f>
        <v>1</v>
      </c>
      <c r="I983" t="str">
        <f t="shared" si="45"/>
        <v>OK</v>
      </c>
      <c r="J983" t="str">
        <f>Base_Itens!E960</f>
        <v>2025-Q1-3</v>
      </c>
      <c r="K983" t="str">
        <f>Base_Itens!G960</f>
        <v>01 — Contas Nacionais</v>
      </c>
      <c r="L983">
        <f>COUNTIFS(Base_Itens!$E$5:$E$1504,J983,Base_Itens!$G$5:$G$1504,K983)</f>
        <v>1</v>
      </c>
    </row>
    <row r="984" spans="1:12">
      <c r="A984" t="s">
        <v>3125</v>
      </c>
      <c r="B984">
        <v>2025</v>
      </c>
      <c r="C984" t="s">
        <v>82</v>
      </c>
      <c r="D984">
        <v>1</v>
      </c>
      <c r="E984">
        <v>1</v>
      </c>
      <c r="F984">
        <f>SUMIF(Base_Itens!$E$5:$E$1504,A984,Base_Itens!$I$5:$I$1504)</f>
        <v>1</v>
      </c>
      <c r="G984">
        <f t="shared" si="44"/>
        <v>0</v>
      </c>
      <c r="H984">
        <f>COUNTIF(Base_Itens!$E$5:$E$1504,A984)</f>
        <v>1</v>
      </c>
      <c r="I984" t="str">
        <f t="shared" si="45"/>
        <v>OK</v>
      </c>
      <c r="J984" t="str">
        <f>Base_Itens!E961</f>
        <v>2025-Q1-4</v>
      </c>
      <c r="K984" t="str">
        <f>Base_Itens!G961</f>
        <v>01 — Contas Nacionais</v>
      </c>
      <c r="L984">
        <f>COUNTIFS(Base_Itens!$E$5:$E$1504,J984,Base_Itens!$G$5:$G$1504,K984)</f>
        <v>1</v>
      </c>
    </row>
    <row r="985" spans="1:12">
      <c r="A985" t="s">
        <v>3126</v>
      </c>
      <c r="B985">
        <v>2025</v>
      </c>
      <c r="C985" t="s">
        <v>82</v>
      </c>
      <c r="D985">
        <v>1</v>
      </c>
      <c r="E985">
        <v>1</v>
      </c>
      <c r="F985">
        <f>SUMIF(Base_Itens!$E$5:$E$1504,A985,Base_Itens!$I$5:$I$1504)</f>
        <v>1</v>
      </c>
      <c r="G985">
        <f t="shared" si="44"/>
        <v>0</v>
      </c>
      <c r="H985">
        <f>COUNTIF(Base_Itens!$E$5:$E$1504,A985)</f>
        <v>1</v>
      </c>
      <c r="I985" t="str">
        <f t="shared" si="45"/>
        <v>OK</v>
      </c>
      <c r="J985" t="str">
        <f>Base_Itens!E962</f>
        <v>2025-Q2-0</v>
      </c>
      <c r="K985" t="str">
        <f>Base_Itens!G962</f>
        <v>05 — IS-LM</v>
      </c>
      <c r="L985">
        <f>COUNTIFS(Base_Itens!$E$5:$E$1504,J985,Base_Itens!$G$5:$G$1504,K985)</f>
        <v>1</v>
      </c>
    </row>
    <row r="986" spans="1:12">
      <c r="A986" t="s">
        <v>3127</v>
      </c>
      <c r="B986">
        <v>2025</v>
      </c>
      <c r="C986" t="s">
        <v>82</v>
      </c>
      <c r="D986">
        <v>1</v>
      </c>
      <c r="E986">
        <v>1</v>
      </c>
      <c r="F986">
        <f>SUMIF(Base_Itens!$E$5:$E$1504,A986,Base_Itens!$I$5:$I$1504)</f>
        <v>1</v>
      </c>
      <c r="G986">
        <f t="shared" si="44"/>
        <v>0</v>
      </c>
      <c r="H986">
        <f>COUNTIF(Base_Itens!$E$5:$E$1504,A986)</f>
        <v>1</v>
      </c>
      <c r="I986" t="str">
        <f t="shared" si="45"/>
        <v>OK</v>
      </c>
      <c r="J986" t="str">
        <f>Base_Itens!E963</f>
        <v>2025-Q2-1</v>
      </c>
      <c r="K986" t="str">
        <f>Base_Itens!G963</f>
        <v>04 — Demanda por Moeda</v>
      </c>
      <c r="L986">
        <f>COUNTIFS(Base_Itens!$E$5:$E$1504,J986,Base_Itens!$G$5:$G$1504,K986)</f>
        <v>1</v>
      </c>
    </row>
    <row r="987" spans="1:12">
      <c r="A987" t="s">
        <v>3128</v>
      </c>
      <c r="B987">
        <v>2025</v>
      </c>
      <c r="C987" t="s">
        <v>82</v>
      </c>
      <c r="D987">
        <v>1</v>
      </c>
      <c r="E987">
        <v>1</v>
      </c>
      <c r="F987">
        <f>SUMIF(Base_Itens!$E$5:$E$1504,A987,Base_Itens!$I$5:$I$1504)</f>
        <v>1</v>
      </c>
      <c r="G987">
        <f t="shared" si="44"/>
        <v>0</v>
      </c>
      <c r="H987">
        <f>COUNTIF(Base_Itens!$E$5:$E$1504,A987)</f>
        <v>1</v>
      </c>
      <c r="I987" t="str">
        <f t="shared" si="45"/>
        <v>OK</v>
      </c>
      <c r="J987" t="str">
        <f>Base_Itens!E964</f>
        <v>2025-Q2-2</v>
      </c>
      <c r="K987" t="str">
        <f>Base_Itens!G964</f>
        <v>08 — Curva de Phillips</v>
      </c>
      <c r="L987">
        <f>COUNTIFS(Base_Itens!$E$5:$E$1504,J987,Base_Itens!$G$5:$G$1504,K987)</f>
        <v>1</v>
      </c>
    </row>
    <row r="988" spans="1:12">
      <c r="A988" t="s">
        <v>3129</v>
      </c>
      <c r="B988">
        <v>2025</v>
      </c>
      <c r="C988" t="s">
        <v>82</v>
      </c>
      <c r="D988">
        <v>1</v>
      </c>
      <c r="E988">
        <v>1</v>
      </c>
      <c r="F988">
        <f>SUMIF(Base_Itens!$E$5:$E$1504,A988,Base_Itens!$I$5:$I$1504)</f>
        <v>1</v>
      </c>
      <c r="G988">
        <f t="shared" ref="G988:G1035" si="46">F988-D988</f>
        <v>0</v>
      </c>
      <c r="H988">
        <f>COUNTIF(Base_Itens!$E$5:$E$1504,A988)</f>
        <v>1</v>
      </c>
      <c r="I988" t="str">
        <f t="shared" si="45"/>
        <v>OK</v>
      </c>
      <c r="J988" t="str">
        <f>Base_Itens!E965</f>
        <v>2025-Q2-3</v>
      </c>
      <c r="K988" t="str">
        <f>Base_Itens!G965</f>
        <v>08 — Curva de Phillips</v>
      </c>
      <c r="L988">
        <f>COUNTIFS(Base_Itens!$E$5:$E$1504,J988,Base_Itens!$G$5:$G$1504,K988)</f>
        <v>1</v>
      </c>
    </row>
    <row r="989" spans="1:12">
      <c r="A989" t="s">
        <v>3130</v>
      </c>
      <c r="B989">
        <v>2025</v>
      </c>
      <c r="C989" t="s">
        <v>82</v>
      </c>
      <c r="D989">
        <v>1</v>
      </c>
      <c r="E989">
        <v>1</v>
      </c>
      <c r="F989">
        <f>SUMIF(Base_Itens!$E$5:$E$1504,A989,Base_Itens!$I$5:$I$1504)</f>
        <v>1</v>
      </c>
      <c r="G989">
        <f t="shared" si="46"/>
        <v>0</v>
      </c>
      <c r="H989">
        <f>COUNTIF(Base_Itens!$E$5:$E$1504,A989)</f>
        <v>1</v>
      </c>
      <c r="I989" t="str">
        <f t="shared" si="45"/>
        <v>OK</v>
      </c>
      <c r="J989" t="str">
        <f>Base_Itens!E966</f>
        <v>2025-Q2-4</v>
      </c>
      <c r="K989" t="str">
        <f>Base_Itens!G966</f>
        <v>05 — IS-LM</v>
      </c>
      <c r="L989">
        <f>COUNTIFS(Base_Itens!$E$5:$E$1504,J989,Base_Itens!$G$5:$G$1504,K989)</f>
        <v>1</v>
      </c>
    </row>
    <row r="990" spans="1:12">
      <c r="A990" t="s">
        <v>3131</v>
      </c>
      <c r="B990">
        <v>2025</v>
      </c>
      <c r="C990" t="s">
        <v>82</v>
      </c>
      <c r="D990">
        <v>1</v>
      </c>
      <c r="E990">
        <v>1</v>
      </c>
      <c r="F990">
        <f>SUMIF(Base_Itens!$E$5:$E$1504,A990,Base_Itens!$I$5:$I$1504)</f>
        <v>1</v>
      </c>
      <c r="G990">
        <f t="shared" si="46"/>
        <v>0</v>
      </c>
      <c r="H990">
        <f>COUNTIF(Base_Itens!$E$5:$E$1504,A990)</f>
        <v>1</v>
      </c>
      <c r="I990" t="str">
        <f t="shared" si="45"/>
        <v>OK</v>
      </c>
      <c r="J990" t="str">
        <f>Base_Itens!E967</f>
        <v>2025-Q3-0</v>
      </c>
      <c r="K990" t="str">
        <f>Base_Itens!G967</f>
        <v>09 — Expectativas, Novos Clássicos e Novos Keynesianos</v>
      </c>
      <c r="L990">
        <f>COUNTIFS(Base_Itens!$E$5:$E$1504,J990,Base_Itens!$G$5:$G$1504,K990)</f>
        <v>1</v>
      </c>
    </row>
    <row r="991" spans="1:12">
      <c r="A991" t="s">
        <v>3132</v>
      </c>
      <c r="B991">
        <v>2025</v>
      </c>
      <c r="C991" t="s">
        <v>82</v>
      </c>
      <c r="D991">
        <v>1</v>
      </c>
      <c r="E991">
        <v>1</v>
      </c>
      <c r="F991">
        <f>SUMIF(Base_Itens!$E$5:$E$1504,A991,Base_Itens!$I$5:$I$1504)</f>
        <v>1</v>
      </c>
      <c r="G991">
        <f t="shared" si="46"/>
        <v>0</v>
      </c>
      <c r="H991">
        <f>COUNTIF(Base_Itens!$E$5:$E$1504,A991)</f>
        <v>1</v>
      </c>
      <c r="I991" t="str">
        <f t="shared" si="45"/>
        <v>OK</v>
      </c>
      <c r="J991" t="str">
        <f>Base_Itens!E968</f>
        <v>2025-Q3-1</v>
      </c>
      <c r="K991" t="str">
        <f>Base_Itens!G968</f>
        <v>09 — Expectativas, Novos Clássicos e Novos Keynesianos</v>
      </c>
      <c r="L991">
        <f>COUNTIFS(Base_Itens!$E$5:$E$1504,J991,Base_Itens!$G$5:$G$1504,K991)</f>
        <v>1</v>
      </c>
    </row>
    <row r="992" spans="1:12">
      <c r="A992" t="s">
        <v>3133</v>
      </c>
      <c r="B992">
        <v>2025</v>
      </c>
      <c r="C992" t="s">
        <v>82</v>
      </c>
      <c r="D992">
        <v>1</v>
      </c>
      <c r="E992">
        <v>1</v>
      </c>
      <c r="F992">
        <f>SUMIF(Base_Itens!$E$5:$E$1504,A992,Base_Itens!$I$5:$I$1504)</f>
        <v>1</v>
      </c>
      <c r="G992">
        <f t="shared" si="46"/>
        <v>0</v>
      </c>
      <c r="H992">
        <f>COUNTIF(Base_Itens!$E$5:$E$1504,A992)</f>
        <v>1</v>
      </c>
      <c r="I992" t="str">
        <f t="shared" si="45"/>
        <v>OK</v>
      </c>
      <c r="J992" t="str">
        <f>Base_Itens!E969</f>
        <v>2025-Q3-2</v>
      </c>
      <c r="K992" t="str">
        <f>Base_Itens!G969</f>
        <v>07a — Paridades</v>
      </c>
      <c r="L992">
        <f>COUNTIFS(Base_Itens!$E$5:$E$1504,J992,Base_Itens!$G$5:$G$1504,K992)</f>
        <v>1</v>
      </c>
    </row>
    <row r="993" spans="1:12">
      <c r="A993" t="s">
        <v>3134</v>
      </c>
      <c r="B993">
        <v>2025</v>
      </c>
      <c r="C993" t="s">
        <v>2153</v>
      </c>
      <c r="D993">
        <v>5</v>
      </c>
      <c r="E993">
        <v>1</v>
      </c>
      <c r="F993">
        <f>SUMIF(Base_Itens!$E$5:$E$1504,A993,Base_Itens!$I$5:$I$1504)</f>
        <v>5</v>
      </c>
      <c r="G993">
        <f t="shared" si="46"/>
        <v>0</v>
      </c>
      <c r="H993">
        <f>COUNTIF(Base_Itens!$E$5:$E$1504,A993)</f>
        <v>1</v>
      </c>
      <c r="I993" t="str">
        <f t="shared" si="45"/>
        <v>OK</v>
      </c>
      <c r="J993" t="str">
        <f>Base_Itens!E970</f>
        <v>2025-Q3-3</v>
      </c>
      <c r="K993" t="str">
        <f>Base_Itens!G970</f>
        <v>09 — Expectativas, Novos Clássicos e Novos Keynesianos</v>
      </c>
      <c r="L993">
        <f>COUNTIFS(Base_Itens!$E$5:$E$1504,J993,Base_Itens!$G$5:$G$1504,K993)</f>
        <v>1</v>
      </c>
    </row>
    <row r="994" spans="1:12">
      <c r="A994" t="s">
        <v>3135</v>
      </c>
      <c r="B994">
        <v>2026</v>
      </c>
      <c r="C994" t="s">
        <v>82</v>
      </c>
      <c r="D994">
        <v>1</v>
      </c>
      <c r="E994">
        <v>1</v>
      </c>
      <c r="F994">
        <f>SUMIF(Base_Itens!$E$5:$E$1504,A994,Base_Itens!$I$5:$I$1504)</f>
        <v>1</v>
      </c>
      <c r="G994">
        <f t="shared" si="46"/>
        <v>0</v>
      </c>
      <c r="H994">
        <f>COUNTIF(Base_Itens!$E$5:$E$1504,A994)</f>
        <v>1</v>
      </c>
      <c r="I994" t="str">
        <f t="shared" si="45"/>
        <v>OK</v>
      </c>
      <c r="J994" t="str">
        <f>Base_Itens!E971</f>
        <v>2025-Q3-4</v>
      </c>
      <c r="K994" t="str">
        <f>Base_Itens!G971</f>
        <v>09 — Expectativas, Novos Clássicos e Novos Keynesianos</v>
      </c>
      <c r="L994">
        <f>COUNTIFS(Base_Itens!$E$5:$E$1504,J994,Base_Itens!$G$5:$G$1504,K994)</f>
        <v>1</v>
      </c>
    </row>
    <row r="995" spans="1:12">
      <c r="A995" t="s">
        <v>3136</v>
      </c>
      <c r="B995">
        <v>2026</v>
      </c>
      <c r="C995" t="s">
        <v>82</v>
      </c>
      <c r="D995">
        <v>1</v>
      </c>
      <c r="E995">
        <v>1</v>
      </c>
      <c r="F995">
        <f>SUMIF(Base_Itens!$E$5:$E$1504,A995,Base_Itens!$I$5:$I$1504)</f>
        <v>1</v>
      </c>
      <c r="G995">
        <f t="shared" si="46"/>
        <v>0</v>
      </c>
      <c r="H995">
        <f>COUNTIF(Base_Itens!$E$5:$E$1504,A995)</f>
        <v>1</v>
      </c>
      <c r="I995" t="str">
        <f t="shared" si="45"/>
        <v>OK</v>
      </c>
      <c r="J995" t="str">
        <f>Base_Itens!E972</f>
        <v>2025-Q4-0</v>
      </c>
      <c r="K995" t="str">
        <f>Base_Itens!G972</f>
        <v>08 — Curva de Phillips</v>
      </c>
      <c r="L995">
        <f>COUNTIFS(Base_Itens!$E$5:$E$1504,J995,Base_Itens!$G$5:$G$1504,K995)</f>
        <v>1</v>
      </c>
    </row>
    <row r="996" spans="1:12">
      <c r="A996" t="s">
        <v>3137</v>
      </c>
      <c r="B996">
        <v>2026</v>
      </c>
      <c r="C996" t="s">
        <v>82</v>
      </c>
      <c r="D996">
        <v>1</v>
      </c>
      <c r="E996">
        <v>1</v>
      </c>
      <c r="F996">
        <f>SUMIF(Base_Itens!$E$5:$E$1504,A996,Base_Itens!$I$5:$I$1504)</f>
        <v>1</v>
      </c>
      <c r="G996">
        <f t="shared" si="46"/>
        <v>0</v>
      </c>
      <c r="H996">
        <f>COUNTIF(Base_Itens!$E$5:$E$1504,A996)</f>
        <v>1</v>
      </c>
      <c r="I996" t="str">
        <f t="shared" si="45"/>
        <v>OK</v>
      </c>
      <c r="J996" t="str">
        <f>Base_Itens!E973</f>
        <v>2025-Q4-1</v>
      </c>
      <c r="K996" t="str">
        <f>Base_Itens!G973</f>
        <v>07b — OA-DA</v>
      </c>
      <c r="L996">
        <f>COUNTIFS(Base_Itens!$E$5:$E$1504,J996,Base_Itens!$G$5:$G$1504,K996)</f>
        <v>1</v>
      </c>
    </row>
    <row r="997" spans="1:12">
      <c r="A997" t="s">
        <v>3138</v>
      </c>
      <c r="B997">
        <v>2026</v>
      </c>
      <c r="C997" t="s">
        <v>82</v>
      </c>
      <c r="D997">
        <v>1</v>
      </c>
      <c r="E997">
        <v>1</v>
      </c>
      <c r="F997">
        <f>SUMIF(Base_Itens!$E$5:$E$1504,A997,Base_Itens!$I$5:$I$1504)</f>
        <v>1</v>
      </c>
      <c r="G997">
        <f t="shared" si="46"/>
        <v>0</v>
      </c>
      <c r="H997">
        <f>COUNTIF(Base_Itens!$E$5:$E$1504,A997)</f>
        <v>1</v>
      </c>
      <c r="I997" t="str">
        <f t="shared" si="45"/>
        <v>OK</v>
      </c>
      <c r="J997" t="str">
        <f>Base_Itens!E974</f>
        <v>2025-Q4-1</v>
      </c>
      <c r="K997" t="str">
        <f>Base_Itens!G974</f>
        <v>08 — Curva de Phillips</v>
      </c>
      <c r="L997">
        <f>COUNTIFS(Base_Itens!$E$5:$E$1504,J997,Base_Itens!$G$5:$G$1504,K997)</f>
        <v>1</v>
      </c>
    </row>
    <row r="998" spans="1:12">
      <c r="A998" t="s">
        <v>3139</v>
      </c>
      <c r="B998">
        <v>2026</v>
      </c>
      <c r="C998" t="s">
        <v>82</v>
      </c>
      <c r="D998">
        <v>1</v>
      </c>
      <c r="E998">
        <v>1</v>
      </c>
      <c r="F998">
        <f>SUMIF(Base_Itens!$E$5:$E$1504,A998,Base_Itens!$I$5:$I$1504)</f>
        <v>1</v>
      </c>
      <c r="G998">
        <f t="shared" si="46"/>
        <v>0</v>
      </c>
      <c r="H998">
        <f>COUNTIF(Base_Itens!$E$5:$E$1504,A998)</f>
        <v>1</v>
      </c>
      <c r="I998" t="str">
        <f t="shared" si="45"/>
        <v>OK</v>
      </c>
      <c r="J998" t="str">
        <f>Base_Itens!E975</f>
        <v>2025-Q4-2</v>
      </c>
      <c r="K998" t="str">
        <f>Base_Itens!G975</f>
        <v>07b — OA-DA</v>
      </c>
      <c r="L998">
        <f>COUNTIFS(Base_Itens!$E$5:$E$1504,J998,Base_Itens!$G$5:$G$1504,K998)</f>
        <v>1</v>
      </c>
    </row>
    <row r="999" spans="1:12">
      <c r="A999" t="s">
        <v>3140</v>
      </c>
      <c r="B999">
        <v>2026</v>
      </c>
      <c r="C999" t="s">
        <v>82</v>
      </c>
      <c r="D999">
        <v>1</v>
      </c>
      <c r="E999">
        <v>2</v>
      </c>
      <c r="F999">
        <f>SUMIF(Base_Itens!$E$5:$E$1504,A999,Base_Itens!$I$5:$I$1504)</f>
        <v>1</v>
      </c>
      <c r="G999">
        <f t="shared" si="46"/>
        <v>0</v>
      </c>
      <c r="H999">
        <f>COUNTIF(Base_Itens!$E$5:$E$1504,A999)</f>
        <v>2</v>
      </c>
      <c r="I999" t="str">
        <f t="shared" si="45"/>
        <v>OK</v>
      </c>
      <c r="J999" t="str">
        <f>Base_Itens!E976</f>
        <v>2025-Q4-2</v>
      </c>
      <c r="K999" t="str">
        <f>Base_Itens!G976</f>
        <v>08 — Curva de Phillips</v>
      </c>
      <c r="L999">
        <f>COUNTIFS(Base_Itens!$E$5:$E$1504,J999,Base_Itens!$G$5:$G$1504,K999)</f>
        <v>1</v>
      </c>
    </row>
    <row r="1000" spans="1:12">
      <c r="A1000" t="s">
        <v>3141</v>
      </c>
      <c r="B1000">
        <v>2026</v>
      </c>
      <c r="C1000" t="s">
        <v>82</v>
      </c>
      <c r="D1000">
        <v>1</v>
      </c>
      <c r="E1000">
        <v>1</v>
      </c>
      <c r="F1000">
        <f>SUMIF(Base_Itens!$E$5:$E$1504,A1000,Base_Itens!$I$5:$I$1504)</f>
        <v>1</v>
      </c>
      <c r="G1000">
        <f t="shared" si="46"/>
        <v>0</v>
      </c>
      <c r="H1000">
        <f>COUNTIF(Base_Itens!$E$5:$E$1504,A1000)</f>
        <v>1</v>
      </c>
      <c r="I1000" t="str">
        <f t="shared" si="45"/>
        <v>OK</v>
      </c>
      <c r="J1000" t="str">
        <f>Base_Itens!E977</f>
        <v>2025-Q4-3</v>
      </c>
      <c r="K1000" t="str">
        <f>Base_Itens!G977</f>
        <v>07a — Paridades</v>
      </c>
      <c r="L1000">
        <f>COUNTIFS(Base_Itens!$E$5:$E$1504,J1000,Base_Itens!$G$5:$G$1504,K1000)</f>
        <v>1</v>
      </c>
    </row>
    <row r="1001" spans="1:12">
      <c r="A1001" t="s">
        <v>3142</v>
      </c>
      <c r="B1001">
        <v>2026</v>
      </c>
      <c r="C1001" t="s">
        <v>82</v>
      </c>
      <c r="D1001">
        <v>1</v>
      </c>
      <c r="E1001">
        <v>1</v>
      </c>
      <c r="F1001">
        <f>SUMIF(Base_Itens!$E$5:$E$1504,A1001,Base_Itens!$I$5:$I$1504)</f>
        <v>1</v>
      </c>
      <c r="G1001">
        <f t="shared" si="46"/>
        <v>0</v>
      </c>
      <c r="H1001">
        <f>COUNTIF(Base_Itens!$E$5:$E$1504,A1001)</f>
        <v>1</v>
      </c>
      <c r="I1001" t="str">
        <f t="shared" si="45"/>
        <v>OK</v>
      </c>
      <c r="J1001" t="str">
        <f>Base_Itens!E978</f>
        <v>2025-Q4-3</v>
      </c>
      <c r="K1001" t="str">
        <f>Base_Itens!G978</f>
        <v>08 — Curva de Phillips</v>
      </c>
      <c r="L1001">
        <f>COUNTIFS(Base_Itens!$E$5:$E$1504,J1001,Base_Itens!$G$5:$G$1504,K1001)</f>
        <v>1</v>
      </c>
    </row>
    <row r="1002" spans="1:12">
      <c r="A1002" t="s">
        <v>3143</v>
      </c>
      <c r="B1002">
        <v>2026</v>
      </c>
      <c r="C1002" t="s">
        <v>82</v>
      </c>
      <c r="D1002">
        <v>1</v>
      </c>
      <c r="E1002">
        <v>1</v>
      </c>
      <c r="F1002">
        <f>SUMIF(Base_Itens!$E$5:$E$1504,A1002,Base_Itens!$I$5:$I$1504)</f>
        <v>1</v>
      </c>
      <c r="G1002">
        <f t="shared" si="46"/>
        <v>0</v>
      </c>
      <c r="H1002">
        <f>COUNTIF(Base_Itens!$E$5:$E$1504,A1002)</f>
        <v>1</v>
      </c>
      <c r="I1002" t="str">
        <f t="shared" si="45"/>
        <v>OK</v>
      </c>
      <c r="J1002" t="str">
        <f>Base_Itens!E979</f>
        <v>2025-Q4-4</v>
      </c>
      <c r="K1002" t="str">
        <f>Base_Itens!G979</f>
        <v>07b — OA-DA</v>
      </c>
      <c r="L1002">
        <f>COUNTIFS(Base_Itens!$E$5:$E$1504,J1002,Base_Itens!$G$5:$G$1504,K1002)</f>
        <v>1</v>
      </c>
    </row>
    <row r="1003" spans="1:12">
      <c r="A1003" t="s">
        <v>3144</v>
      </c>
      <c r="B1003">
        <v>2026</v>
      </c>
      <c r="C1003" t="s">
        <v>82</v>
      </c>
      <c r="D1003">
        <v>1</v>
      </c>
      <c r="E1003">
        <v>1</v>
      </c>
      <c r="F1003">
        <f>SUMIF(Base_Itens!$E$5:$E$1504,A1003,Base_Itens!$I$5:$I$1504)</f>
        <v>1</v>
      </c>
      <c r="G1003">
        <f t="shared" si="46"/>
        <v>0</v>
      </c>
      <c r="H1003">
        <f>COUNTIF(Base_Itens!$E$5:$E$1504,A1003)</f>
        <v>1</v>
      </c>
      <c r="I1003" t="str">
        <f t="shared" si="45"/>
        <v>OK</v>
      </c>
      <c r="J1003" t="str">
        <f>Base_Itens!E980</f>
        <v>2025-Q4-4</v>
      </c>
      <c r="K1003" t="str">
        <f>Base_Itens!G980</f>
        <v>08 — Curva de Phillips</v>
      </c>
      <c r="L1003">
        <f>COUNTIFS(Base_Itens!$E$5:$E$1504,J1003,Base_Itens!$G$5:$G$1504,K1003)</f>
        <v>1</v>
      </c>
    </row>
    <row r="1004" spans="1:12">
      <c r="A1004" t="s">
        <v>3145</v>
      </c>
      <c r="B1004">
        <v>2026</v>
      </c>
      <c r="C1004" t="s">
        <v>2153</v>
      </c>
      <c r="D1004">
        <v>5</v>
      </c>
      <c r="E1004">
        <v>1</v>
      </c>
      <c r="F1004">
        <f>SUMIF(Base_Itens!$E$5:$E$1504,A1004,Base_Itens!$I$5:$I$1504)</f>
        <v>5</v>
      </c>
      <c r="G1004">
        <f t="shared" si="46"/>
        <v>0</v>
      </c>
      <c r="H1004">
        <f>COUNTIF(Base_Itens!$E$5:$E$1504,A1004)</f>
        <v>1</v>
      </c>
      <c r="I1004" t="str">
        <f t="shared" si="45"/>
        <v>OK</v>
      </c>
      <c r="J1004" t="str">
        <f>Base_Itens!E981</f>
        <v>2025-Q5-0</v>
      </c>
      <c r="K1004" t="str">
        <f>Base_Itens!G981</f>
        <v>11 — Crescimento Econômico</v>
      </c>
      <c r="L1004">
        <f>COUNTIFS(Base_Itens!$E$5:$E$1504,J1004,Base_Itens!$G$5:$G$1504,K1004)</f>
        <v>1</v>
      </c>
    </row>
    <row r="1005" spans="1:12">
      <c r="A1005" t="s">
        <v>3146</v>
      </c>
      <c r="B1005">
        <v>2026</v>
      </c>
      <c r="C1005" t="s">
        <v>82</v>
      </c>
      <c r="D1005">
        <v>1</v>
      </c>
      <c r="E1005">
        <v>1</v>
      </c>
      <c r="F1005">
        <f>SUMIF(Base_Itens!$E$5:$E$1504,A1005,Base_Itens!$I$5:$I$1504)</f>
        <v>1</v>
      </c>
      <c r="G1005">
        <f t="shared" si="46"/>
        <v>0</v>
      </c>
      <c r="H1005">
        <f>COUNTIF(Base_Itens!$E$5:$E$1504,A1005)</f>
        <v>1</v>
      </c>
      <c r="I1005" t="str">
        <f t="shared" si="45"/>
        <v>OK</v>
      </c>
      <c r="J1005" t="str">
        <f>Base_Itens!E982</f>
        <v>2025-Q5-1</v>
      </c>
      <c r="K1005" t="str">
        <f>Base_Itens!G982</f>
        <v>11 — Crescimento Econômico</v>
      </c>
      <c r="L1005">
        <f>COUNTIFS(Base_Itens!$E$5:$E$1504,J1005,Base_Itens!$G$5:$G$1504,K1005)</f>
        <v>1</v>
      </c>
    </row>
    <row r="1006" spans="1:12">
      <c r="A1006" t="s">
        <v>3147</v>
      </c>
      <c r="B1006">
        <v>2026</v>
      </c>
      <c r="C1006" t="s">
        <v>82</v>
      </c>
      <c r="D1006">
        <v>1</v>
      </c>
      <c r="E1006">
        <v>2</v>
      </c>
      <c r="F1006">
        <f>SUMIF(Base_Itens!$E$5:$E$1504,A1006,Base_Itens!$I$5:$I$1504)</f>
        <v>1</v>
      </c>
      <c r="G1006">
        <f t="shared" si="46"/>
        <v>0</v>
      </c>
      <c r="H1006">
        <f>COUNTIF(Base_Itens!$E$5:$E$1504,A1006)</f>
        <v>2</v>
      </c>
      <c r="I1006" t="str">
        <f t="shared" si="45"/>
        <v>OK</v>
      </c>
      <c r="J1006" t="str">
        <f>Base_Itens!E983</f>
        <v>2025-Q5-2</v>
      </c>
      <c r="K1006" t="str">
        <f>Base_Itens!G983</f>
        <v>11 — Crescimento Econômico</v>
      </c>
      <c r="L1006">
        <f>COUNTIFS(Base_Itens!$E$5:$E$1504,J1006,Base_Itens!$G$5:$G$1504,K1006)</f>
        <v>1</v>
      </c>
    </row>
    <row r="1007" spans="1:12">
      <c r="A1007" t="s">
        <v>3148</v>
      </c>
      <c r="B1007">
        <v>2026</v>
      </c>
      <c r="C1007" t="s">
        <v>82</v>
      </c>
      <c r="D1007">
        <v>1</v>
      </c>
      <c r="E1007">
        <v>2</v>
      </c>
      <c r="F1007">
        <f>SUMIF(Base_Itens!$E$5:$E$1504,A1007,Base_Itens!$I$5:$I$1504)</f>
        <v>1</v>
      </c>
      <c r="G1007">
        <f t="shared" si="46"/>
        <v>0</v>
      </c>
      <c r="H1007">
        <f>COUNTIF(Base_Itens!$E$5:$E$1504,A1007)</f>
        <v>2</v>
      </c>
      <c r="I1007" t="str">
        <f t="shared" si="45"/>
        <v>OK</v>
      </c>
      <c r="J1007" t="str">
        <f>Base_Itens!E984</f>
        <v>2025-Q5-3</v>
      </c>
      <c r="K1007" t="str">
        <f>Base_Itens!G984</f>
        <v>11 — Crescimento Econômico</v>
      </c>
      <c r="L1007">
        <f>COUNTIFS(Base_Itens!$E$5:$E$1504,J1007,Base_Itens!$G$5:$G$1504,K1007)</f>
        <v>1</v>
      </c>
    </row>
    <row r="1008" spans="1:12">
      <c r="A1008" t="s">
        <v>3149</v>
      </c>
      <c r="B1008">
        <v>2026</v>
      </c>
      <c r="C1008" t="s">
        <v>82</v>
      </c>
      <c r="D1008">
        <v>1</v>
      </c>
      <c r="E1008">
        <v>2</v>
      </c>
      <c r="F1008">
        <f>SUMIF(Base_Itens!$E$5:$E$1504,A1008,Base_Itens!$I$5:$I$1504)</f>
        <v>1</v>
      </c>
      <c r="G1008">
        <f t="shared" si="46"/>
        <v>0</v>
      </c>
      <c r="H1008">
        <f>COUNTIF(Base_Itens!$E$5:$E$1504,A1008)</f>
        <v>2</v>
      </c>
      <c r="I1008" t="str">
        <f t="shared" si="45"/>
        <v>OK</v>
      </c>
      <c r="J1008" t="str">
        <f>Base_Itens!E985</f>
        <v>2025-Q5-4</v>
      </c>
      <c r="K1008" t="str">
        <f>Base_Itens!G985</f>
        <v>11 — Crescimento Econômico</v>
      </c>
      <c r="L1008">
        <f>COUNTIFS(Base_Itens!$E$5:$E$1504,J1008,Base_Itens!$G$5:$G$1504,K1008)</f>
        <v>1</v>
      </c>
    </row>
    <row r="1009" spans="1:12">
      <c r="A1009" t="s">
        <v>3150</v>
      </c>
      <c r="B1009">
        <v>2026</v>
      </c>
      <c r="C1009" t="s">
        <v>82</v>
      </c>
      <c r="D1009">
        <v>1</v>
      </c>
      <c r="E1009">
        <v>1</v>
      </c>
      <c r="F1009">
        <f>SUMIF(Base_Itens!$E$5:$E$1504,A1009,Base_Itens!$I$5:$I$1504)</f>
        <v>1</v>
      </c>
      <c r="G1009">
        <f t="shared" si="46"/>
        <v>0</v>
      </c>
      <c r="H1009">
        <f>COUNTIF(Base_Itens!$E$5:$E$1504,A1009)</f>
        <v>1</v>
      </c>
      <c r="I1009" t="str">
        <f t="shared" si="45"/>
        <v>OK</v>
      </c>
      <c r="J1009" t="str">
        <f>Base_Itens!E986</f>
        <v>2025-Q6-0</v>
      </c>
      <c r="K1009" t="str">
        <f>Base_Itens!G986</f>
        <v>12 — Consumo</v>
      </c>
      <c r="L1009">
        <f>COUNTIFS(Base_Itens!$E$5:$E$1504,J1009,Base_Itens!$G$5:$G$1504,K1009)</f>
        <v>1</v>
      </c>
    </row>
    <row r="1010" spans="1:12">
      <c r="A1010" t="s">
        <v>3151</v>
      </c>
      <c r="B1010">
        <v>2026</v>
      </c>
      <c r="C1010" t="s">
        <v>82</v>
      </c>
      <c r="D1010">
        <v>1</v>
      </c>
      <c r="E1010">
        <v>1</v>
      </c>
      <c r="F1010">
        <f>SUMIF(Base_Itens!$E$5:$E$1504,A1010,Base_Itens!$I$5:$I$1504)</f>
        <v>1</v>
      </c>
      <c r="G1010">
        <f t="shared" si="46"/>
        <v>0</v>
      </c>
      <c r="H1010">
        <f>COUNTIF(Base_Itens!$E$5:$E$1504,A1010)</f>
        <v>1</v>
      </c>
      <c r="I1010" t="str">
        <f t="shared" si="45"/>
        <v>OK</v>
      </c>
      <c r="J1010" t="str">
        <f>Base_Itens!E987</f>
        <v>2025-Q6-1</v>
      </c>
      <c r="K1010" t="str">
        <f>Base_Itens!G987</f>
        <v>12 — Consumo</v>
      </c>
      <c r="L1010">
        <f>COUNTIFS(Base_Itens!$E$5:$E$1504,J1010,Base_Itens!$G$5:$G$1504,K1010)</f>
        <v>1</v>
      </c>
    </row>
    <row r="1011" spans="1:12">
      <c r="A1011" t="s">
        <v>3152</v>
      </c>
      <c r="B1011">
        <v>2026</v>
      </c>
      <c r="C1011" t="s">
        <v>82</v>
      </c>
      <c r="D1011">
        <v>1</v>
      </c>
      <c r="E1011">
        <v>1</v>
      </c>
      <c r="F1011">
        <f>SUMIF(Base_Itens!$E$5:$E$1504,A1011,Base_Itens!$I$5:$I$1504)</f>
        <v>1</v>
      </c>
      <c r="G1011">
        <f t="shared" si="46"/>
        <v>0</v>
      </c>
      <c r="H1011">
        <f>COUNTIF(Base_Itens!$E$5:$E$1504,A1011)</f>
        <v>1</v>
      </c>
      <c r="I1011" t="str">
        <f t="shared" si="45"/>
        <v>OK</v>
      </c>
      <c r="J1011" t="str">
        <f>Base_Itens!E988</f>
        <v>2025-Q6-2</v>
      </c>
      <c r="K1011" t="str">
        <f>Base_Itens!G988</f>
        <v>12 — Consumo</v>
      </c>
      <c r="L1011">
        <f>COUNTIFS(Base_Itens!$E$5:$E$1504,J1011,Base_Itens!$G$5:$G$1504,K1011)</f>
        <v>1</v>
      </c>
    </row>
    <row r="1012" spans="1:12">
      <c r="A1012" t="s">
        <v>3153</v>
      </c>
      <c r="B1012">
        <v>2026</v>
      </c>
      <c r="C1012" t="s">
        <v>82</v>
      </c>
      <c r="D1012">
        <v>1</v>
      </c>
      <c r="E1012">
        <v>1</v>
      </c>
      <c r="F1012">
        <f>SUMIF(Base_Itens!$E$5:$E$1504,A1012,Base_Itens!$I$5:$I$1504)</f>
        <v>1</v>
      </c>
      <c r="G1012">
        <f t="shared" si="46"/>
        <v>0</v>
      </c>
      <c r="H1012">
        <f>COUNTIF(Base_Itens!$E$5:$E$1504,A1012)</f>
        <v>1</v>
      </c>
      <c r="I1012" t="str">
        <f t="shared" si="45"/>
        <v>OK</v>
      </c>
      <c r="J1012" t="str">
        <f>Base_Itens!E989</f>
        <v>2025-Q6-3</v>
      </c>
      <c r="K1012" t="str">
        <f>Base_Itens!G989</f>
        <v>12 — Consumo</v>
      </c>
      <c r="L1012">
        <f>COUNTIFS(Base_Itens!$E$5:$E$1504,J1012,Base_Itens!$G$5:$G$1504,K1012)</f>
        <v>1</v>
      </c>
    </row>
    <row r="1013" spans="1:12">
      <c r="A1013" t="s">
        <v>3154</v>
      </c>
      <c r="B1013">
        <v>2026</v>
      </c>
      <c r="C1013" t="s">
        <v>82</v>
      </c>
      <c r="D1013">
        <v>1</v>
      </c>
      <c r="E1013">
        <v>1</v>
      </c>
      <c r="F1013">
        <f>SUMIF(Base_Itens!$E$5:$E$1504,A1013,Base_Itens!$I$5:$I$1504)</f>
        <v>1</v>
      </c>
      <c r="G1013">
        <f t="shared" si="46"/>
        <v>0</v>
      </c>
      <c r="H1013">
        <f>COUNTIF(Base_Itens!$E$5:$E$1504,A1013)</f>
        <v>1</v>
      </c>
      <c r="I1013" t="str">
        <f t="shared" si="45"/>
        <v>OK</v>
      </c>
      <c r="J1013" t="str">
        <f>Base_Itens!E990</f>
        <v>2025-Q6-4</v>
      </c>
      <c r="K1013" t="str">
        <f>Base_Itens!G990</f>
        <v>12 — Consumo</v>
      </c>
      <c r="L1013">
        <f>COUNTIFS(Base_Itens!$E$5:$E$1504,J1013,Base_Itens!$G$5:$G$1504,K1013)</f>
        <v>1</v>
      </c>
    </row>
    <row r="1014" spans="1:12">
      <c r="A1014" t="s">
        <v>3155</v>
      </c>
      <c r="B1014">
        <v>2026</v>
      </c>
      <c r="C1014" t="s">
        <v>82</v>
      </c>
      <c r="D1014">
        <v>1</v>
      </c>
      <c r="E1014">
        <v>1</v>
      </c>
      <c r="F1014">
        <f>SUMIF(Base_Itens!$E$5:$E$1504,A1014,Base_Itens!$I$5:$I$1504)</f>
        <v>1</v>
      </c>
      <c r="G1014">
        <f t="shared" si="46"/>
        <v>0</v>
      </c>
      <c r="H1014">
        <f>COUNTIF(Base_Itens!$E$5:$E$1504,A1014)</f>
        <v>1</v>
      </c>
      <c r="I1014" t="str">
        <f t="shared" si="45"/>
        <v>OK</v>
      </c>
      <c r="J1014" t="str">
        <f>Base_Itens!E991</f>
        <v>2025-Q7-0</v>
      </c>
      <c r="K1014" t="str">
        <f>Base_Itens!G991</f>
        <v>09 — Expectativas, Novos Clássicos e Novos Keynesianos</v>
      </c>
      <c r="L1014">
        <f>COUNTIFS(Base_Itens!$E$5:$E$1504,J1014,Base_Itens!$G$5:$G$1504,K1014)</f>
        <v>1</v>
      </c>
    </row>
    <row r="1015" spans="1:12">
      <c r="A1015" t="s">
        <v>3156</v>
      </c>
      <c r="B1015">
        <v>2026</v>
      </c>
      <c r="C1015" t="s">
        <v>82</v>
      </c>
      <c r="D1015">
        <v>1</v>
      </c>
      <c r="E1015">
        <v>1</v>
      </c>
      <c r="F1015">
        <f>SUMIF(Base_Itens!$E$5:$E$1504,A1015,Base_Itens!$I$5:$I$1504)</f>
        <v>1</v>
      </c>
      <c r="G1015">
        <f t="shared" si="46"/>
        <v>0</v>
      </c>
      <c r="H1015">
        <f>COUNTIF(Base_Itens!$E$5:$E$1504,A1015)</f>
        <v>1</v>
      </c>
      <c r="I1015" t="str">
        <f t="shared" si="45"/>
        <v>OK</v>
      </c>
      <c r="J1015" t="str">
        <f>Base_Itens!E992</f>
        <v>2025-Q7-1</v>
      </c>
      <c r="K1015" t="str">
        <f>Base_Itens!G992</f>
        <v>09 — Expectativas, Novos Clássicos e Novos Keynesianos</v>
      </c>
      <c r="L1015">
        <f>COUNTIFS(Base_Itens!$E$5:$E$1504,J1015,Base_Itens!$G$5:$G$1504,K1015)</f>
        <v>1</v>
      </c>
    </row>
    <row r="1016" spans="1:12">
      <c r="A1016" t="s">
        <v>3157</v>
      </c>
      <c r="B1016">
        <v>2026</v>
      </c>
      <c r="C1016" t="s">
        <v>82</v>
      </c>
      <c r="D1016">
        <v>1</v>
      </c>
      <c r="E1016">
        <v>1</v>
      </c>
      <c r="F1016">
        <f>SUMIF(Base_Itens!$E$5:$E$1504,A1016,Base_Itens!$I$5:$I$1504)</f>
        <v>1</v>
      </c>
      <c r="G1016">
        <f t="shared" si="46"/>
        <v>0</v>
      </c>
      <c r="H1016">
        <f>COUNTIF(Base_Itens!$E$5:$E$1504,A1016)</f>
        <v>1</v>
      </c>
      <c r="I1016" t="str">
        <f t="shared" si="45"/>
        <v>OK</v>
      </c>
      <c r="J1016" t="str">
        <f>Base_Itens!E993</f>
        <v>2025-Q7-2</v>
      </c>
      <c r="K1016" t="str">
        <f>Base_Itens!G993</f>
        <v>09 — Expectativas, Novos Clássicos e Novos Keynesianos</v>
      </c>
      <c r="L1016">
        <f>COUNTIFS(Base_Itens!$E$5:$E$1504,J1016,Base_Itens!$G$5:$G$1504,K1016)</f>
        <v>1</v>
      </c>
    </row>
    <row r="1017" spans="1:12">
      <c r="A1017" t="s">
        <v>3158</v>
      </c>
      <c r="B1017">
        <v>2026</v>
      </c>
      <c r="C1017" t="s">
        <v>82</v>
      </c>
      <c r="D1017">
        <v>1</v>
      </c>
      <c r="E1017">
        <v>1</v>
      </c>
      <c r="F1017">
        <f>SUMIF(Base_Itens!$E$5:$E$1504,A1017,Base_Itens!$I$5:$I$1504)</f>
        <v>1</v>
      </c>
      <c r="G1017">
        <f t="shared" si="46"/>
        <v>0</v>
      </c>
      <c r="H1017">
        <f>COUNTIF(Base_Itens!$E$5:$E$1504,A1017)</f>
        <v>1</v>
      </c>
      <c r="I1017" t="str">
        <f t="shared" si="45"/>
        <v>OK</v>
      </c>
      <c r="J1017" t="str">
        <f>Base_Itens!E994</f>
        <v>2025-Q7-3</v>
      </c>
      <c r="K1017" t="str">
        <f>Base_Itens!G994</f>
        <v>07a — Paridades</v>
      </c>
      <c r="L1017">
        <f>COUNTIFS(Base_Itens!$E$5:$E$1504,J1017,Base_Itens!$G$5:$G$1504,K1017)</f>
        <v>1</v>
      </c>
    </row>
    <row r="1018" spans="1:12">
      <c r="A1018" t="s">
        <v>3159</v>
      </c>
      <c r="B1018">
        <v>2026</v>
      </c>
      <c r="C1018" t="s">
        <v>82</v>
      </c>
      <c r="D1018">
        <v>1</v>
      </c>
      <c r="E1018">
        <v>1</v>
      </c>
      <c r="F1018">
        <f>SUMIF(Base_Itens!$E$5:$E$1504,A1018,Base_Itens!$I$5:$I$1504)</f>
        <v>1</v>
      </c>
      <c r="G1018">
        <f t="shared" si="46"/>
        <v>0</v>
      </c>
      <c r="H1018">
        <f>COUNTIF(Base_Itens!$E$5:$E$1504,A1018)</f>
        <v>1</v>
      </c>
      <c r="I1018" t="str">
        <f t="shared" si="45"/>
        <v>OK</v>
      </c>
      <c r="J1018" t="str">
        <f>Base_Itens!E995</f>
        <v>2025-Q7-4</v>
      </c>
      <c r="K1018" t="str">
        <f>Base_Itens!G995</f>
        <v>09 — Expectativas, Novos Clássicos e Novos Keynesianos</v>
      </c>
      <c r="L1018">
        <f>COUNTIFS(Base_Itens!$E$5:$E$1504,J1018,Base_Itens!$G$5:$G$1504,K1018)</f>
        <v>1</v>
      </c>
    </row>
    <row r="1019" spans="1:12">
      <c r="A1019" t="s">
        <v>3160</v>
      </c>
      <c r="B1019">
        <v>2026</v>
      </c>
      <c r="C1019" t="s">
        <v>82</v>
      </c>
      <c r="D1019">
        <v>1</v>
      </c>
      <c r="E1019">
        <v>1</v>
      </c>
      <c r="F1019">
        <f>SUMIF(Base_Itens!$E$5:$E$1504,A1019,Base_Itens!$I$5:$I$1504)</f>
        <v>1</v>
      </c>
      <c r="G1019">
        <f t="shared" si="46"/>
        <v>0</v>
      </c>
      <c r="H1019">
        <f>COUNTIF(Base_Itens!$E$5:$E$1504,A1019)</f>
        <v>1</v>
      </c>
      <c r="I1019" t="str">
        <f t="shared" si="45"/>
        <v>OK</v>
      </c>
      <c r="J1019" t="str">
        <f>Base_Itens!E996</f>
        <v>2025-Q8-0</v>
      </c>
      <c r="K1019" t="str">
        <f>Base_Itens!G996</f>
        <v>14 — Dívida Pública e Senhoriagem</v>
      </c>
      <c r="L1019">
        <f>COUNTIFS(Base_Itens!$E$5:$E$1504,J1019,Base_Itens!$G$5:$G$1504,K1019)</f>
        <v>1</v>
      </c>
    </row>
    <row r="1020" spans="1:12">
      <c r="A1020" t="s">
        <v>3161</v>
      </c>
      <c r="B1020">
        <v>2026</v>
      </c>
      <c r="C1020" t="s">
        <v>2153</v>
      </c>
      <c r="D1020">
        <v>5</v>
      </c>
      <c r="E1020">
        <v>1</v>
      </c>
      <c r="F1020">
        <f>SUMIF(Base_Itens!$E$5:$E$1504,A1020,Base_Itens!$I$5:$I$1504)</f>
        <v>5</v>
      </c>
      <c r="G1020">
        <f t="shared" si="46"/>
        <v>0</v>
      </c>
      <c r="H1020">
        <f>COUNTIF(Base_Itens!$E$5:$E$1504,A1020)</f>
        <v>1</v>
      </c>
      <c r="I1020" t="str">
        <f t="shared" ref="I1020:I1035" si="47">IF(AND(G1020=0,H1020=E1020),"OK","REVER")</f>
        <v>OK</v>
      </c>
      <c r="J1020" t="str">
        <f>Base_Itens!E997</f>
        <v>2025-Q8-1</v>
      </c>
      <c r="K1020" t="str">
        <f>Base_Itens!G997</f>
        <v>14 — Dívida Pública e Senhoriagem</v>
      </c>
      <c r="L1020">
        <f>COUNTIFS(Base_Itens!$E$5:$E$1504,J1020,Base_Itens!$G$5:$G$1504,K1020)</f>
        <v>1</v>
      </c>
    </row>
    <row r="1021" spans="1:12">
      <c r="A1021" t="s">
        <v>3162</v>
      </c>
      <c r="B1021">
        <v>2026</v>
      </c>
      <c r="C1021" t="s">
        <v>82</v>
      </c>
      <c r="D1021">
        <v>1</v>
      </c>
      <c r="E1021">
        <v>1</v>
      </c>
      <c r="F1021">
        <f>SUMIF(Base_Itens!$E$5:$E$1504,A1021,Base_Itens!$I$5:$I$1504)</f>
        <v>1</v>
      </c>
      <c r="G1021">
        <f t="shared" si="46"/>
        <v>0</v>
      </c>
      <c r="H1021">
        <f>COUNTIF(Base_Itens!$E$5:$E$1504,A1021)</f>
        <v>1</v>
      </c>
      <c r="I1021" t="str">
        <f t="shared" si="47"/>
        <v>OK</v>
      </c>
      <c r="J1021" t="str">
        <f>Base_Itens!E998</f>
        <v>2025-Q8-2</v>
      </c>
      <c r="K1021" t="str">
        <f>Base_Itens!G998</f>
        <v>14 — Dívida Pública e Senhoriagem</v>
      </c>
      <c r="L1021">
        <f>COUNTIFS(Base_Itens!$E$5:$E$1504,J1021,Base_Itens!$G$5:$G$1504,K1021)</f>
        <v>1</v>
      </c>
    </row>
    <row r="1022" spans="1:12">
      <c r="A1022" t="s">
        <v>3163</v>
      </c>
      <c r="B1022">
        <v>2026</v>
      </c>
      <c r="C1022" t="s">
        <v>82</v>
      </c>
      <c r="D1022">
        <v>1</v>
      </c>
      <c r="E1022">
        <v>1</v>
      </c>
      <c r="F1022">
        <f>SUMIF(Base_Itens!$E$5:$E$1504,A1022,Base_Itens!$I$5:$I$1504)</f>
        <v>1</v>
      </c>
      <c r="G1022">
        <f t="shared" si="46"/>
        <v>0</v>
      </c>
      <c r="H1022">
        <f>COUNTIF(Base_Itens!$E$5:$E$1504,A1022)</f>
        <v>1</v>
      </c>
      <c r="I1022" t="str">
        <f t="shared" si="47"/>
        <v>OK</v>
      </c>
      <c r="J1022" t="str">
        <f>Base_Itens!E999</f>
        <v>2025-Q8-3</v>
      </c>
      <c r="K1022" t="str">
        <f>Base_Itens!G999</f>
        <v>14 — Dívida Pública e Senhoriagem</v>
      </c>
      <c r="L1022">
        <f>COUNTIFS(Base_Itens!$E$5:$E$1504,J1022,Base_Itens!$G$5:$G$1504,K1022)</f>
        <v>1</v>
      </c>
    </row>
    <row r="1023" spans="1:12">
      <c r="A1023" t="s">
        <v>3164</v>
      </c>
      <c r="B1023">
        <v>2026</v>
      </c>
      <c r="C1023" t="s">
        <v>82</v>
      </c>
      <c r="D1023">
        <v>1</v>
      </c>
      <c r="E1023">
        <v>1</v>
      </c>
      <c r="F1023">
        <f>SUMIF(Base_Itens!$E$5:$E$1504,A1023,Base_Itens!$I$5:$I$1504)</f>
        <v>1</v>
      </c>
      <c r="G1023">
        <f t="shared" si="46"/>
        <v>0</v>
      </c>
      <c r="H1023">
        <f>COUNTIF(Base_Itens!$E$5:$E$1504,A1023)</f>
        <v>1</v>
      </c>
      <c r="I1023" t="str">
        <f t="shared" si="47"/>
        <v>OK</v>
      </c>
      <c r="J1023" t="str">
        <f>Base_Itens!E1000</f>
        <v>2025-Q8-4</v>
      </c>
      <c r="K1023" t="str">
        <f>Base_Itens!G1000</f>
        <v>14 — Dívida Pública e Senhoriagem</v>
      </c>
      <c r="L1023">
        <f>COUNTIFS(Base_Itens!$E$5:$E$1504,J1023,Base_Itens!$G$5:$G$1504,K1023)</f>
        <v>1</v>
      </c>
    </row>
    <row r="1024" spans="1:12">
      <c r="A1024" t="s">
        <v>3165</v>
      </c>
      <c r="B1024">
        <v>2026</v>
      </c>
      <c r="C1024" t="s">
        <v>82</v>
      </c>
      <c r="D1024">
        <v>1</v>
      </c>
      <c r="E1024">
        <v>1</v>
      </c>
      <c r="F1024">
        <f>SUMIF(Base_Itens!$E$5:$E$1504,A1024,Base_Itens!$I$5:$I$1504)</f>
        <v>1</v>
      </c>
      <c r="G1024">
        <f t="shared" si="46"/>
        <v>0</v>
      </c>
      <c r="H1024">
        <f>COUNTIF(Base_Itens!$E$5:$E$1504,A1024)</f>
        <v>1</v>
      </c>
      <c r="I1024" t="str">
        <f t="shared" si="47"/>
        <v>OK</v>
      </c>
      <c r="J1024" t="str">
        <f>Base_Itens!E1001</f>
        <v>2025-Q9-0</v>
      </c>
      <c r="K1024" t="str">
        <f>Base_Itens!G1001</f>
        <v>01 — Contas Nacionais</v>
      </c>
      <c r="L1024">
        <f>COUNTIFS(Base_Itens!$E$5:$E$1504,J1024,Base_Itens!$G$5:$G$1504,K1024)</f>
        <v>1</v>
      </c>
    </row>
    <row r="1025" spans="1:12">
      <c r="A1025" t="s">
        <v>3166</v>
      </c>
      <c r="B1025">
        <v>2026</v>
      </c>
      <c r="C1025" t="s">
        <v>82</v>
      </c>
      <c r="D1025">
        <v>1</v>
      </c>
      <c r="E1025">
        <v>1</v>
      </c>
      <c r="F1025">
        <f>SUMIF(Base_Itens!$E$5:$E$1504,A1025,Base_Itens!$I$5:$I$1504)</f>
        <v>1</v>
      </c>
      <c r="G1025">
        <f t="shared" si="46"/>
        <v>0</v>
      </c>
      <c r="H1025">
        <f>COUNTIF(Base_Itens!$E$5:$E$1504,A1025)</f>
        <v>1</v>
      </c>
      <c r="I1025" t="str">
        <f t="shared" si="47"/>
        <v>OK</v>
      </c>
      <c r="J1025" t="str">
        <f>Base_Itens!E1002</f>
        <v>2025-Q9-1</v>
      </c>
      <c r="K1025" t="str">
        <f>Base_Itens!G1002</f>
        <v>01 — Contas Nacionais</v>
      </c>
      <c r="L1025">
        <f>COUNTIFS(Base_Itens!$E$5:$E$1504,J1025,Base_Itens!$G$5:$G$1504,K1025)</f>
        <v>1</v>
      </c>
    </row>
    <row r="1026" spans="1:12">
      <c r="A1026" t="s">
        <v>3167</v>
      </c>
      <c r="B1026">
        <v>2026</v>
      </c>
      <c r="C1026" t="s">
        <v>82</v>
      </c>
      <c r="D1026">
        <v>1</v>
      </c>
      <c r="E1026">
        <v>1</v>
      </c>
      <c r="F1026">
        <f>SUMIF(Base_Itens!$E$5:$E$1504,A1026,Base_Itens!$I$5:$I$1504)</f>
        <v>1</v>
      </c>
      <c r="G1026">
        <f t="shared" si="46"/>
        <v>0</v>
      </c>
      <c r="H1026">
        <f>COUNTIF(Base_Itens!$E$5:$E$1504,A1026)</f>
        <v>1</v>
      </c>
      <c r="I1026" t="str">
        <f t="shared" si="47"/>
        <v>OK</v>
      </c>
      <c r="J1026" t="str">
        <f>Base_Itens!E1003</f>
        <v>2025-Q9-2</v>
      </c>
      <c r="K1026" t="str">
        <f>Base_Itens!G1003</f>
        <v>01 — Contas Nacionais</v>
      </c>
      <c r="L1026">
        <f>COUNTIFS(Base_Itens!$E$5:$E$1504,J1026,Base_Itens!$G$5:$G$1504,K1026)</f>
        <v>1</v>
      </c>
    </row>
    <row r="1027" spans="1:12">
      <c r="A1027" t="s">
        <v>3168</v>
      </c>
      <c r="B1027">
        <v>2026</v>
      </c>
      <c r="C1027" t="s">
        <v>82</v>
      </c>
      <c r="D1027">
        <v>1</v>
      </c>
      <c r="E1027">
        <v>1</v>
      </c>
      <c r="F1027">
        <f>SUMIF(Base_Itens!$E$5:$E$1504,A1027,Base_Itens!$I$5:$I$1504)</f>
        <v>1</v>
      </c>
      <c r="G1027">
        <f t="shared" si="46"/>
        <v>0</v>
      </c>
      <c r="H1027">
        <f>COUNTIF(Base_Itens!$E$5:$E$1504,A1027)</f>
        <v>1</v>
      </c>
      <c r="I1027" t="str">
        <f t="shared" si="47"/>
        <v>OK</v>
      </c>
      <c r="J1027" t="str">
        <f>Base_Itens!E1004</f>
        <v>2025-Q9-3</v>
      </c>
      <c r="K1027" t="str">
        <f>Base_Itens!G1004</f>
        <v>01 — Contas Nacionais</v>
      </c>
      <c r="L1027">
        <f>COUNTIFS(Base_Itens!$E$5:$E$1504,J1027,Base_Itens!$G$5:$G$1504,K1027)</f>
        <v>1</v>
      </c>
    </row>
    <row r="1028" spans="1:12">
      <c r="A1028" t="s">
        <v>3169</v>
      </c>
      <c r="B1028">
        <v>2026</v>
      </c>
      <c r="C1028" t="s">
        <v>82</v>
      </c>
      <c r="D1028">
        <v>1</v>
      </c>
      <c r="E1028">
        <v>1</v>
      </c>
      <c r="F1028">
        <f>SUMIF(Base_Itens!$E$5:$E$1504,A1028,Base_Itens!$I$5:$I$1504)</f>
        <v>1</v>
      </c>
      <c r="G1028">
        <f t="shared" si="46"/>
        <v>0</v>
      </c>
      <c r="H1028">
        <f>COUNTIF(Base_Itens!$E$5:$E$1504,A1028)</f>
        <v>1</v>
      </c>
      <c r="I1028" t="str">
        <f t="shared" si="47"/>
        <v>OK</v>
      </c>
      <c r="J1028" t="str">
        <f>Base_Itens!E1005</f>
        <v>2025-Q9-4</v>
      </c>
      <c r="K1028" t="str">
        <f>Base_Itens!G1005</f>
        <v>01 — Contas Nacionais</v>
      </c>
      <c r="L1028">
        <f>COUNTIFS(Base_Itens!$E$5:$E$1504,J1028,Base_Itens!$G$5:$G$1504,K1028)</f>
        <v>1</v>
      </c>
    </row>
    <row r="1029" spans="1:12">
      <c r="A1029" t="s">
        <v>3170</v>
      </c>
      <c r="B1029">
        <v>2026</v>
      </c>
      <c r="C1029" t="s">
        <v>82</v>
      </c>
      <c r="D1029">
        <v>1</v>
      </c>
      <c r="E1029">
        <v>1</v>
      </c>
      <c r="F1029">
        <f>SUMIF(Base_Itens!$E$5:$E$1504,A1029,Base_Itens!$I$5:$I$1504)</f>
        <v>1</v>
      </c>
      <c r="G1029">
        <f t="shared" si="46"/>
        <v>0</v>
      </c>
      <c r="H1029">
        <f>COUNTIF(Base_Itens!$E$5:$E$1504,A1029)</f>
        <v>1</v>
      </c>
      <c r="I1029" t="str">
        <f t="shared" si="47"/>
        <v>OK</v>
      </c>
      <c r="J1029" t="str">
        <f>Base_Itens!E1006</f>
        <v>2025-Q10-ABERTA</v>
      </c>
      <c r="K1029" t="str">
        <f>Base_Itens!G1006</f>
        <v>09 — Expectativas, Novos Clássicos e Novos Keynesianos</v>
      </c>
      <c r="L1029">
        <f>COUNTIFS(Base_Itens!$E$5:$E$1504,J1029,Base_Itens!$G$5:$G$1504,K1029)</f>
        <v>1</v>
      </c>
    </row>
    <row r="1030" spans="1:12">
      <c r="A1030" t="s">
        <v>3171</v>
      </c>
      <c r="B1030">
        <v>2026</v>
      </c>
      <c r="C1030" t="s">
        <v>82</v>
      </c>
      <c r="D1030">
        <v>1</v>
      </c>
      <c r="E1030">
        <v>1</v>
      </c>
      <c r="F1030">
        <f>SUMIF(Base_Itens!$E$5:$E$1504,A1030,Base_Itens!$I$5:$I$1504)</f>
        <v>1</v>
      </c>
      <c r="G1030">
        <f t="shared" si="46"/>
        <v>0</v>
      </c>
      <c r="H1030">
        <f>COUNTIF(Base_Itens!$E$5:$E$1504,A1030)</f>
        <v>1</v>
      </c>
      <c r="I1030" t="str">
        <f t="shared" si="47"/>
        <v>OK</v>
      </c>
      <c r="J1030" t="str">
        <f>Base_Itens!E1007</f>
        <v>2026-Q1-0</v>
      </c>
      <c r="K1030" t="str">
        <f>Base_Itens!G1007</f>
        <v>07b — OA-DA</v>
      </c>
      <c r="L1030">
        <f>COUNTIFS(Base_Itens!$E$5:$E$1504,J1030,Base_Itens!$G$5:$G$1504,K1030)</f>
        <v>1</v>
      </c>
    </row>
    <row r="1031" spans="1:12">
      <c r="A1031" t="s">
        <v>3172</v>
      </c>
      <c r="B1031">
        <v>2026</v>
      </c>
      <c r="C1031" t="s">
        <v>82</v>
      </c>
      <c r="D1031">
        <v>1</v>
      </c>
      <c r="E1031">
        <v>1</v>
      </c>
      <c r="F1031">
        <f>SUMIF(Base_Itens!$E$5:$E$1504,A1031,Base_Itens!$I$5:$I$1504)</f>
        <v>1</v>
      </c>
      <c r="G1031">
        <f t="shared" si="46"/>
        <v>0</v>
      </c>
      <c r="H1031">
        <f>COUNTIF(Base_Itens!$E$5:$E$1504,A1031)</f>
        <v>1</v>
      </c>
      <c r="I1031" t="str">
        <f t="shared" si="47"/>
        <v>OK</v>
      </c>
      <c r="J1031" t="str">
        <f>Base_Itens!E1008</f>
        <v>2026-Q1-1</v>
      </c>
      <c r="K1031" t="str">
        <f>Base_Itens!G1008</f>
        <v>01 — Contas Nacionais</v>
      </c>
      <c r="L1031">
        <f>COUNTIFS(Base_Itens!$E$5:$E$1504,J1031,Base_Itens!$G$5:$G$1504,K1031)</f>
        <v>1</v>
      </c>
    </row>
    <row r="1032" spans="1:12">
      <c r="A1032" t="s">
        <v>3173</v>
      </c>
      <c r="B1032">
        <v>2026</v>
      </c>
      <c r="C1032" t="s">
        <v>82</v>
      </c>
      <c r="D1032">
        <v>1</v>
      </c>
      <c r="E1032">
        <v>1</v>
      </c>
      <c r="F1032">
        <f>SUMIF(Base_Itens!$E$5:$E$1504,A1032,Base_Itens!$I$5:$I$1504)</f>
        <v>1</v>
      </c>
      <c r="G1032">
        <f t="shared" si="46"/>
        <v>0</v>
      </c>
      <c r="H1032">
        <f>COUNTIF(Base_Itens!$E$5:$E$1504,A1032)</f>
        <v>1</v>
      </c>
      <c r="I1032" t="str">
        <f t="shared" si="47"/>
        <v>OK</v>
      </c>
      <c r="J1032" t="str">
        <f>Base_Itens!E1009</f>
        <v>2026-Q1-2</v>
      </c>
      <c r="K1032" t="str">
        <f>Base_Itens!G1009</f>
        <v>01 — Contas Nacionais</v>
      </c>
      <c r="L1032">
        <f>COUNTIFS(Base_Itens!$E$5:$E$1504,J1032,Base_Itens!$G$5:$G$1504,K1032)</f>
        <v>1</v>
      </c>
    </row>
    <row r="1033" spans="1:12">
      <c r="A1033" t="s">
        <v>3174</v>
      </c>
      <c r="B1033">
        <v>2026</v>
      </c>
      <c r="C1033" t="s">
        <v>82</v>
      </c>
      <c r="D1033">
        <v>1</v>
      </c>
      <c r="E1033">
        <v>1</v>
      </c>
      <c r="F1033">
        <f>SUMIF(Base_Itens!$E$5:$E$1504,A1033,Base_Itens!$I$5:$I$1504)</f>
        <v>1</v>
      </c>
      <c r="G1033">
        <f t="shared" si="46"/>
        <v>0</v>
      </c>
      <c r="H1033">
        <f>COUNTIF(Base_Itens!$E$5:$E$1504,A1033)</f>
        <v>1</v>
      </c>
      <c r="I1033" t="str">
        <f t="shared" si="47"/>
        <v>OK</v>
      </c>
      <c r="J1033" t="str">
        <f>Base_Itens!E1010</f>
        <v>2026-Q1-3</v>
      </c>
      <c r="K1033" t="str">
        <f>Base_Itens!G1010</f>
        <v>01 — Contas Nacionais</v>
      </c>
      <c r="L1033">
        <f>COUNTIFS(Base_Itens!$E$5:$E$1504,J1033,Base_Itens!$G$5:$G$1504,K1033)</f>
        <v>1</v>
      </c>
    </row>
    <row r="1034" spans="1:12">
      <c r="A1034" t="s">
        <v>3175</v>
      </c>
      <c r="B1034">
        <v>2026</v>
      </c>
      <c r="C1034" t="s">
        <v>82</v>
      </c>
      <c r="D1034">
        <v>1</v>
      </c>
      <c r="E1034">
        <v>1</v>
      </c>
      <c r="F1034">
        <f>SUMIF(Base_Itens!$E$5:$E$1504,A1034,Base_Itens!$I$5:$I$1504)</f>
        <v>1</v>
      </c>
      <c r="G1034">
        <f t="shared" si="46"/>
        <v>0</v>
      </c>
      <c r="H1034">
        <f>COUNTIF(Base_Itens!$E$5:$E$1504,A1034)</f>
        <v>1</v>
      </c>
      <c r="I1034" t="str">
        <f t="shared" si="47"/>
        <v>OK</v>
      </c>
      <c r="J1034" t="str">
        <f>Base_Itens!E1011</f>
        <v>2026-Q1-4</v>
      </c>
      <c r="K1034" t="str">
        <f>Base_Itens!G1011</f>
        <v>01 — Contas Nacionais</v>
      </c>
      <c r="L1034">
        <f>COUNTIFS(Base_Itens!$E$5:$E$1504,J1034,Base_Itens!$G$5:$G$1504,K1034)</f>
        <v>1</v>
      </c>
    </row>
    <row r="1035" spans="1:12">
      <c r="A1035" t="s">
        <v>3176</v>
      </c>
      <c r="B1035">
        <v>2026</v>
      </c>
      <c r="C1035" t="s">
        <v>82</v>
      </c>
      <c r="D1035">
        <v>1</v>
      </c>
      <c r="E1035">
        <v>1</v>
      </c>
      <c r="F1035">
        <f>SUMIF(Base_Itens!$E$5:$E$1504,A1035,Base_Itens!$I$5:$I$1504)</f>
        <v>1</v>
      </c>
      <c r="G1035">
        <f t="shared" si="46"/>
        <v>0</v>
      </c>
      <c r="H1035">
        <f>COUNTIF(Base_Itens!$E$5:$E$1504,A1035)</f>
        <v>1</v>
      </c>
      <c r="I1035" t="str">
        <f t="shared" si="47"/>
        <v>OK</v>
      </c>
      <c r="J1035" t="str">
        <f>Base_Itens!E1012</f>
        <v>2026-Q2-0</v>
      </c>
      <c r="K1035" t="str">
        <f>Base_Itens!G1012</f>
        <v>03 — Sistema Monetário</v>
      </c>
      <c r="L1035">
        <f>COUNTIFS(Base_Itens!$E$5:$E$1504,J1035,Base_Itens!$G$5:$G$1504,K1035)</f>
        <v>1</v>
      </c>
    </row>
    <row r="1036" spans="1:12">
      <c r="J1036" t="str">
        <f>Base_Itens!E1013</f>
        <v>2026-Q2-0</v>
      </c>
      <c r="K1036" t="str">
        <f>Base_Itens!G1013</f>
        <v>04 — Demanda por Moeda</v>
      </c>
      <c r="L1036">
        <f>COUNTIFS(Base_Itens!$E$5:$E$1504,J1036,Base_Itens!$G$5:$G$1504,K1036)</f>
        <v>1</v>
      </c>
    </row>
    <row r="1037" spans="1:12">
      <c r="J1037" t="str">
        <f>Base_Itens!E1014</f>
        <v>2026-Q2-1</v>
      </c>
      <c r="K1037" t="str">
        <f>Base_Itens!G1014</f>
        <v>03 — Sistema Monetário</v>
      </c>
      <c r="L1037">
        <f>COUNTIFS(Base_Itens!$E$5:$E$1504,J1037,Base_Itens!$G$5:$G$1504,K1037)</f>
        <v>1</v>
      </c>
    </row>
    <row r="1038" spans="1:12">
      <c r="J1038" t="str">
        <f>Base_Itens!E1015</f>
        <v>2026-Q2-2</v>
      </c>
      <c r="K1038" t="str">
        <f>Base_Itens!G1015</f>
        <v>03 — Sistema Monetário</v>
      </c>
      <c r="L1038">
        <f>COUNTIFS(Base_Itens!$E$5:$E$1504,J1038,Base_Itens!$G$5:$G$1504,K1038)</f>
        <v>1</v>
      </c>
    </row>
    <row r="1039" spans="1:12">
      <c r="J1039" t="str">
        <f>Base_Itens!E1016</f>
        <v>2026-Q2-3</v>
      </c>
      <c r="K1039" t="str">
        <f>Base_Itens!G1016</f>
        <v>04 — Demanda por Moeda</v>
      </c>
      <c r="L1039">
        <f>COUNTIFS(Base_Itens!$E$5:$E$1504,J1039,Base_Itens!$G$5:$G$1504,K1039)</f>
        <v>1</v>
      </c>
    </row>
    <row r="1040" spans="1:12">
      <c r="J1040" t="str">
        <f>Base_Itens!E1017</f>
        <v>2026-Q2-4</v>
      </c>
      <c r="K1040" t="str">
        <f>Base_Itens!G1017</f>
        <v>04 — Demanda por Moeda</v>
      </c>
      <c r="L1040">
        <f>COUNTIFS(Base_Itens!$E$5:$E$1504,J1040,Base_Itens!$G$5:$G$1504,K1040)</f>
        <v>1</v>
      </c>
    </row>
    <row r="1041" spans="10:12">
      <c r="J1041" t="str">
        <f>Base_Itens!E1018</f>
        <v>2026-Q3-ABERTA</v>
      </c>
      <c r="K1041" t="str">
        <f>Base_Itens!G1018</f>
        <v>09 — Expectativas, Novos Clássicos e Novos Keynesianos</v>
      </c>
      <c r="L1041">
        <f>COUNTIFS(Base_Itens!$E$5:$E$1504,J1041,Base_Itens!$G$5:$G$1504,K1041)</f>
        <v>1</v>
      </c>
    </row>
    <row r="1042" spans="10:12">
      <c r="J1042" t="str">
        <f>Base_Itens!E1019</f>
        <v>2026-Q4-0</v>
      </c>
      <c r="K1042" t="str">
        <f>Base_Itens!G1019</f>
        <v>05 — IS-LM</v>
      </c>
      <c r="L1042">
        <f>COUNTIFS(Base_Itens!$E$5:$E$1504,J1042,Base_Itens!$G$5:$G$1504,K1042)</f>
        <v>1</v>
      </c>
    </row>
    <row r="1043" spans="10:12">
      <c r="J1043" t="str">
        <f>Base_Itens!E1020</f>
        <v>2026-Q4-1</v>
      </c>
      <c r="K1043" t="str">
        <f>Base_Itens!G1020</f>
        <v>05 — IS-LM</v>
      </c>
      <c r="L1043">
        <f>COUNTIFS(Base_Itens!$E$5:$E$1504,J1043,Base_Itens!$G$5:$G$1504,K1043)</f>
        <v>1</v>
      </c>
    </row>
    <row r="1044" spans="10:12">
      <c r="J1044" t="str">
        <f>Base_Itens!E1021</f>
        <v>2026-Q4-1</v>
      </c>
      <c r="K1044" t="str">
        <f>Base_Itens!G1021</f>
        <v>08 — Curva de Phillips</v>
      </c>
      <c r="L1044">
        <f>COUNTIFS(Base_Itens!$E$5:$E$1504,J1044,Base_Itens!$G$5:$G$1504,K1044)</f>
        <v>1</v>
      </c>
    </row>
    <row r="1045" spans="10:12">
      <c r="J1045" t="str">
        <f>Base_Itens!E1022</f>
        <v>2026-Q4-2</v>
      </c>
      <c r="K1045" t="str">
        <f>Base_Itens!G1022</f>
        <v>05 — IS-LM</v>
      </c>
      <c r="L1045">
        <f>COUNTIFS(Base_Itens!$E$5:$E$1504,J1045,Base_Itens!$G$5:$G$1504,K1045)</f>
        <v>1</v>
      </c>
    </row>
    <row r="1046" spans="10:12">
      <c r="J1046" t="str">
        <f>Base_Itens!E1023</f>
        <v>2026-Q4-2</v>
      </c>
      <c r="K1046" t="str">
        <f>Base_Itens!G1023</f>
        <v>08 — Curva de Phillips</v>
      </c>
      <c r="L1046">
        <f>COUNTIFS(Base_Itens!$E$5:$E$1504,J1046,Base_Itens!$G$5:$G$1504,K1046)</f>
        <v>1</v>
      </c>
    </row>
    <row r="1047" spans="10:12">
      <c r="J1047" t="str">
        <f>Base_Itens!E1024</f>
        <v>2026-Q4-3</v>
      </c>
      <c r="K1047" t="str">
        <f>Base_Itens!G1024</f>
        <v>05 — IS-LM</v>
      </c>
      <c r="L1047">
        <f>COUNTIFS(Base_Itens!$E$5:$E$1504,J1047,Base_Itens!$G$5:$G$1504,K1047)</f>
        <v>1</v>
      </c>
    </row>
    <row r="1048" spans="10:12">
      <c r="J1048" t="str">
        <f>Base_Itens!E1025</f>
        <v>2026-Q4-3</v>
      </c>
      <c r="K1048" t="str">
        <f>Base_Itens!G1025</f>
        <v>08 — Curva de Phillips</v>
      </c>
      <c r="L1048">
        <f>COUNTIFS(Base_Itens!$E$5:$E$1504,J1048,Base_Itens!$G$5:$G$1504,K1048)</f>
        <v>1</v>
      </c>
    </row>
    <row r="1049" spans="10:12">
      <c r="J1049" t="str">
        <f>Base_Itens!E1026</f>
        <v>2026-Q4-4</v>
      </c>
      <c r="K1049" t="str">
        <f>Base_Itens!G1026</f>
        <v>07b — OA-DA</v>
      </c>
      <c r="L1049">
        <f>COUNTIFS(Base_Itens!$E$5:$E$1504,J1049,Base_Itens!$G$5:$G$1504,K1049)</f>
        <v>1</v>
      </c>
    </row>
    <row r="1050" spans="10:12">
      <c r="J1050" t="str">
        <f>Base_Itens!E1027</f>
        <v>2026-Q5-0</v>
      </c>
      <c r="K1050" t="str">
        <f>Base_Itens!G1027</f>
        <v>11 — Crescimento Econômico</v>
      </c>
      <c r="L1050">
        <f>COUNTIFS(Base_Itens!$E$5:$E$1504,J1050,Base_Itens!$G$5:$G$1504,K1050)</f>
        <v>1</v>
      </c>
    </row>
    <row r="1051" spans="10:12">
      <c r="J1051" t="str">
        <f>Base_Itens!E1028</f>
        <v>2026-Q5-1</v>
      </c>
      <c r="K1051" t="str">
        <f>Base_Itens!G1028</f>
        <v>11 — Crescimento Econômico</v>
      </c>
      <c r="L1051">
        <f>COUNTIFS(Base_Itens!$E$5:$E$1504,J1051,Base_Itens!$G$5:$G$1504,K1051)</f>
        <v>1</v>
      </c>
    </row>
    <row r="1052" spans="10:12">
      <c r="J1052" t="str">
        <f>Base_Itens!E1029</f>
        <v>2026-Q5-2</v>
      </c>
      <c r="K1052" t="str">
        <f>Base_Itens!G1029</f>
        <v>11 — Crescimento Econômico</v>
      </c>
      <c r="L1052">
        <f>COUNTIFS(Base_Itens!$E$5:$E$1504,J1052,Base_Itens!$G$5:$G$1504,K1052)</f>
        <v>1</v>
      </c>
    </row>
    <row r="1053" spans="10:12">
      <c r="J1053" t="str">
        <f>Base_Itens!E1030</f>
        <v>2026-Q5-3</v>
      </c>
      <c r="K1053" t="str">
        <f>Base_Itens!G1030</f>
        <v>11 — Crescimento Econômico</v>
      </c>
      <c r="L1053">
        <f>COUNTIFS(Base_Itens!$E$5:$E$1504,J1053,Base_Itens!$G$5:$G$1504,K1053)</f>
        <v>1</v>
      </c>
    </row>
    <row r="1054" spans="10:12">
      <c r="J1054" t="str">
        <f>Base_Itens!E1031</f>
        <v>2026-Q5-4</v>
      </c>
      <c r="K1054" t="str">
        <f>Base_Itens!G1031</f>
        <v>11 — Crescimento Econômico</v>
      </c>
      <c r="L1054">
        <f>COUNTIFS(Base_Itens!$E$5:$E$1504,J1054,Base_Itens!$G$5:$G$1504,K1054)</f>
        <v>1</v>
      </c>
    </row>
    <row r="1055" spans="10:12">
      <c r="J1055" t="str">
        <f>Base_Itens!E1032</f>
        <v>2026-Q6-0</v>
      </c>
      <c r="K1055" t="str">
        <f>Base_Itens!G1032</f>
        <v>13 — Investimento</v>
      </c>
      <c r="L1055">
        <f>COUNTIFS(Base_Itens!$E$5:$E$1504,J1055,Base_Itens!$G$5:$G$1504,K1055)</f>
        <v>1</v>
      </c>
    </row>
    <row r="1056" spans="10:12">
      <c r="J1056" t="str">
        <f>Base_Itens!E1033</f>
        <v>2026-Q6-1</v>
      </c>
      <c r="K1056" t="str">
        <f>Base_Itens!G1033</f>
        <v>13 — Investimento</v>
      </c>
      <c r="L1056">
        <f>COUNTIFS(Base_Itens!$E$5:$E$1504,J1056,Base_Itens!$G$5:$G$1504,K1056)</f>
        <v>1</v>
      </c>
    </row>
    <row r="1057" spans="10:12">
      <c r="J1057" t="str">
        <f>Base_Itens!E1034</f>
        <v>2026-Q6-2</v>
      </c>
      <c r="K1057" t="str">
        <f>Base_Itens!G1034</f>
        <v>10 — Ciclos Reais de Negócios (RBC)</v>
      </c>
      <c r="L1057">
        <f>COUNTIFS(Base_Itens!$E$5:$E$1504,J1057,Base_Itens!$G$5:$G$1504,K1057)</f>
        <v>1</v>
      </c>
    </row>
    <row r="1058" spans="10:12">
      <c r="J1058" t="str">
        <f>Base_Itens!E1035</f>
        <v>2026-Q6-3</v>
      </c>
      <c r="K1058" t="str">
        <f>Base_Itens!G1035</f>
        <v>09 — Expectativas, Novos Clássicos e Novos Keynesianos</v>
      </c>
      <c r="L1058">
        <f>COUNTIFS(Base_Itens!$E$5:$E$1504,J1058,Base_Itens!$G$5:$G$1504,K1058)</f>
        <v>1</v>
      </c>
    </row>
    <row r="1059" spans="10:12">
      <c r="J1059" t="str">
        <f>Base_Itens!E1036</f>
        <v>2026-Q6-4</v>
      </c>
      <c r="K1059" t="str">
        <f>Base_Itens!G1036</f>
        <v>09 — Expectativas, Novos Clássicos e Novos Keynesianos</v>
      </c>
      <c r="L1059">
        <f>COUNTIFS(Base_Itens!$E$5:$E$1504,J1059,Base_Itens!$G$5:$G$1504,K1059)</f>
        <v>1</v>
      </c>
    </row>
    <row r="1060" spans="10:12">
      <c r="J1060" t="str">
        <f>Base_Itens!E1037</f>
        <v>2026-Q7-ABERTA</v>
      </c>
      <c r="K1060" t="str">
        <f>Base_Itens!G1037</f>
        <v>09 — Expectativas, Novos Clássicos e Novos Keynesianos</v>
      </c>
      <c r="L1060">
        <f>COUNTIFS(Base_Itens!$E$5:$E$1504,J1060,Base_Itens!$G$5:$G$1504,K1060)</f>
        <v>1</v>
      </c>
    </row>
    <row r="1061" spans="10:12">
      <c r="J1061" t="str">
        <f>Base_Itens!E1038</f>
        <v>2026-Q8-0</v>
      </c>
      <c r="K1061" t="str">
        <f>Base_Itens!G1038</f>
        <v>14 — Dívida Pública e Senhoriagem</v>
      </c>
      <c r="L1061">
        <f>COUNTIFS(Base_Itens!$E$5:$E$1504,J1061,Base_Itens!$G$5:$G$1504,K1061)</f>
        <v>1</v>
      </c>
    </row>
    <row r="1062" spans="10:12">
      <c r="J1062" t="str">
        <f>Base_Itens!E1039</f>
        <v>2026-Q8-1</v>
      </c>
      <c r="K1062" t="str">
        <f>Base_Itens!G1039</f>
        <v>12 — Consumo</v>
      </c>
      <c r="L1062">
        <f>COUNTIFS(Base_Itens!$E$5:$E$1504,J1062,Base_Itens!$G$5:$G$1504,K1062)</f>
        <v>1</v>
      </c>
    </row>
    <row r="1063" spans="10:12">
      <c r="J1063" t="str">
        <f>Base_Itens!E1040</f>
        <v>2026-Q8-2</v>
      </c>
      <c r="K1063" t="str">
        <f>Base_Itens!G1040</f>
        <v>12 — Consumo</v>
      </c>
      <c r="L1063">
        <f>COUNTIFS(Base_Itens!$E$5:$E$1504,J1063,Base_Itens!$G$5:$G$1504,K1063)</f>
        <v>1</v>
      </c>
    </row>
    <row r="1064" spans="10:12">
      <c r="J1064" t="str">
        <f>Base_Itens!E1041</f>
        <v>2026-Q8-3</v>
      </c>
      <c r="K1064" t="str">
        <f>Base_Itens!G1041</f>
        <v>14 — Dívida Pública e Senhoriagem</v>
      </c>
      <c r="L1064">
        <f>COUNTIFS(Base_Itens!$E$5:$E$1504,J1064,Base_Itens!$G$5:$G$1504,K1064)</f>
        <v>1</v>
      </c>
    </row>
    <row r="1065" spans="10:12">
      <c r="J1065" t="str">
        <f>Base_Itens!E1042</f>
        <v>2026-Q8-4</v>
      </c>
      <c r="K1065" t="str">
        <f>Base_Itens!G1042</f>
        <v>14 — Dívida Pública e Senhoriagem</v>
      </c>
      <c r="L1065">
        <f>COUNTIFS(Base_Itens!$E$5:$E$1504,J1065,Base_Itens!$G$5:$G$1504,K1065)</f>
        <v>1</v>
      </c>
    </row>
    <row r="1066" spans="10:12">
      <c r="J1066" t="str">
        <f>Base_Itens!E1043</f>
        <v>2026-Q9-0</v>
      </c>
      <c r="K1066" t="str">
        <f>Base_Itens!G1043</f>
        <v>02 — Balanço de Pagamentos</v>
      </c>
      <c r="L1066">
        <f>COUNTIFS(Base_Itens!$E$5:$E$1504,J1066,Base_Itens!$G$5:$G$1504,K1066)</f>
        <v>1</v>
      </c>
    </row>
    <row r="1067" spans="10:12">
      <c r="J1067" t="str">
        <f>Base_Itens!E1044</f>
        <v>2026-Q9-1</v>
      </c>
      <c r="K1067" t="str">
        <f>Base_Itens!G1044</f>
        <v>02 — Balanço de Pagamentos</v>
      </c>
      <c r="L1067">
        <f>COUNTIFS(Base_Itens!$E$5:$E$1504,J1067,Base_Itens!$G$5:$G$1504,K1067)</f>
        <v>1</v>
      </c>
    </row>
    <row r="1068" spans="10:12">
      <c r="J1068" t="str">
        <f>Base_Itens!E1045</f>
        <v>2026-Q9-2</v>
      </c>
      <c r="K1068" t="str">
        <f>Base_Itens!G1045</f>
        <v>02 — Balanço de Pagamentos</v>
      </c>
      <c r="L1068">
        <f>COUNTIFS(Base_Itens!$E$5:$E$1504,J1068,Base_Itens!$G$5:$G$1504,K1068)</f>
        <v>1</v>
      </c>
    </row>
    <row r="1069" spans="10:12">
      <c r="J1069" t="str">
        <f>Base_Itens!E1046</f>
        <v>2026-Q9-3</v>
      </c>
      <c r="K1069" t="str">
        <f>Base_Itens!G1046</f>
        <v>02 — Balanço de Pagamentos</v>
      </c>
      <c r="L1069">
        <f>COUNTIFS(Base_Itens!$E$5:$E$1504,J1069,Base_Itens!$G$5:$G$1504,K1069)</f>
        <v>1</v>
      </c>
    </row>
    <row r="1070" spans="10:12">
      <c r="J1070" t="str">
        <f>Base_Itens!E1047</f>
        <v>2026-Q9-4</v>
      </c>
      <c r="K1070" t="str">
        <f>Base_Itens!G1047</f>
        <v>02 — Balanço de Pagamentos</v>
      </c>
      <c r="L1070">
        <f>COUNTIFS(Base_Itens!$E$5:$E$1504,J1070,Base_Itens!$G$5:$G$1504,K1070)</f>
        <v>1</v>
      </c>
    </row>
    <row r="1071" spans="10:12">
      <c r="J1071" t="str">
        <f>Base_Itens!E1048</f>
        <v>2026-Q10-0</v>
      </c>
      <c r="K1071" t="str">
        <f>Base_Itens!G1048</f>
        <v>07a — Paridades</v>
      </c>
      <c r="L1071">
        <f>COUNTIFS(Base_Itens!$E$5:$E$1504,J1071,Base_Itens!$G$5:$G$1504,K1071)</f>
        <v>1</v>
      </c>
    </row>
    <row r="1072" spans="10:12">
      <c r="J1072" t="str">
        <f>Base_Itens!E1049</f>
        <v>2026-Q10-1</v>
      </c>
      <c r="K1072" t="str">
        <f>Base_Itens!G1049</f>
        <v>07a — Paridades</v>
      </c>
      <c r="L1072">
        <f>COUNTIFS(Base_Itens!$E$5:$E$1504,J1072,Base_Itens!$G$5:$G$1504,K1072)</f>
        <v>1</v>
      </c>
    </row>
    <row r="1073" spans="10:12">
      <c r="J1073" t="str">
        <f>Base_Itens!E1050</f>
        <v>2026-Q10-2</v>
      </c>
      <c r="K1073" t="str">
        <f>Base_Itens!G1050</f>
        <v>07a — Paridades</v>
      </c>
      <c r="L1073">
        <f>COUNTIFS(Base_Itens!$E$5:$E$1504,J1073,Base_Itens!$G$5:$G$1504,K1073)</f>
        <v>1</v>
      </c>
    </row>
    <row r="1074" spans="10:12">
      <c r="J1074" t="str">
        <f>Base_Itens!E1051</f>
        <v>2026-Q10-3</v>
      </c>
      <c r="K1074" t="str">
        <f>Base_Itens!G1051</f>
        <v>07a — Paridades</v>
      </c>
      <c r="L1074">
        <f>COUNTIFS(Base_Itens!$E$5:$E$1504,J1074,Base_Itens!$G$5:$G$1504,K1074)</f>
        <v>1</v>
      </c>
    </row>
    <row r="1075" spans="10:12">
      <c r="J1075" t="str">
        <f>Base_Itens!E1052</f>
        <v>2026-Q10-4</v>
      </c>
      <c r="K1075" t="str">
        <f>Base_Itens!G1052</f>
        <v>07a — Paridades</v>
      </c>
      <c r="L1075">
        <f>COUNTIFS(Base_Itens!$E$5:$E$1504,J1075,Base_Itens!$G$5:$G$1504,K1075)</f>
        <v>1</v>
      </c>
    </row>
  </sheetData>
  <mergeCells count="2">
    <mergeCell ref="A1:I1"/>
    <mergeCell ref="A2:I2"/>
  </mergeCells>
  <printOptions horizontalCentered="1"/>
  <pageMargins left="0.75" right="0.75" top="1" bottom="1" header="0.5" footer="0.5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6</vt:i4>
      </vt:variant>
      <vt:variant>
        <vt:lpstr>Intervalos Nomeados</vt:lpstr>
      </vt:variant>
      <vt:variant>
        <vt:i4>1</vt:i4>
      </vt:variant>
    </vt:vector>
  </HeadingPairs>
  <TitlesOfParts>
    <vt:vector size="7" baseType="lpstr">
      <vt:lpstr>Tópicos</vt:lpstr>
      <vt:lpstr>Matriz</vt:lpstr>
      <vt:lpstr>Dashboard</vt:lpstr>
      <vt:lpstr>Base_Itens</vt:lpstr>
      <vt:lpstr>Metodologia</vt:lpstr>
      <vt:lpstr>Validação</vt:lpstr>
      <vt:lpstr>Validação!Area_de_impressao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Andre William do Couto Chadu</cp:lastModifiedBy>
  <dcterms:created xsi:type="dcterms:W3CDTF">2026-09-08T17:50:23Z</dcterms:created>
  <dcterms:modified xsi:type="dcterms:W3CDTF">2026-09-08T18:26:11Z</dcterms:modified>
</cp:coreProperties>
</file>